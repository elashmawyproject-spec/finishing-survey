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hmawy\AppData\Local\Temp\claude\boqw\"/>
    </mc:Choice>
  </mc:AlternateContent>
  <bookViews>
    <workbookView xWindow="0" yWindow="0" windowWidth="15345" windowHeight="6705"/>
  </bookViews>
  <sheets>
    <sheet name="تعليمات الاستخدام" sheetId="1" r:id="rId1"/>
    <sheet name="بيانات المشروع" sheetId="2" r:id="rId2"/>
    <sheet name="سجل الفراغات" sheetId="3" r:id="rId3"/>
    <sheet name="حصر الأرضيات" sheetId="4" r:id="rId4"/>
    <sheet name="حصر الحوائط والتشطيبات الرأسية" sheetId="5" r:id="rId5"/>
    <sheet name="حصر الفتحات والخصومات" sheetId="6" r:id="rId6"/>
    <sheet name="حصر الوزرات والبنود الطولية" sheetId="7" r:id="rId7"/>
    <sheet name="حصر الأسقف" sheetId="8" r:id="rId8"/>
    <sheet name="حصر اللياسة والمحارة" sheetId="9" r:id="rId9"/>
    <sheet name="ملخص الكميات حسب الفراغ" sheetId="10" r:id="rId10"/>
    <sheet name="ملخص الكميات حسب البند والخامة" sheetId="11" r:id="rId11"/>
    <sheet name="تقرير الدور" sheetId="12" r:id="rId12"/>
    <sheet name="قوائم الخامات والبنود والوحدات" sheetId="13" r:id="rId13"/>
    <sheet name="مثال توضيحي" sheetId="14" r:id="rId14"/>
  </sheets>
  <definedNames>
    <definedName name="_xlnm._FilterDatabase" localSheetId="3" hidden="1">'حصر الأرضيات'!$A$3:$P$303</definedName>
    <definedName name="_xlnm._FilterDatabase" localSheetId="7" hidden="1">'حصر الأسقف'!$A$3:$R$303</definedName>
    <definedName name="_xlnm._FilterDatabase" localSheetId="4" hidden="1">'حصر الحوائط والتشطيبات الرأسية'!$A$3:$T$403</definedName>
    <definedName name="_xlnm._FilterDatabase" localSheetId="5" hidden="1">'حصر الفتحات والخصومات'!$A$3:$T$303</definedName>
    <definedName name="_xlnm._FilterDatabase" localSheetId="8" hidden="1">'حصر اللياسة والمحارة'!$A$3:$Q$403</definedName>
    <definedName name="_xlnm._FilterDatabase" localSheetId="6" hidden="1">'حصر الوزرات والبنود الطولية'!$A$3:$S$303</definedName>
    <definedName name="_xlnm._FilterDatabase" localSheetId="2" hidden="1">'سجل الفراغات'!$A$3:$F$153</definedName>
    <definedName name="_xlnm._FilterDatabase" localSheetId="10" hidden="1">'ملخص الكميات حسب البند والخامة'!$A$26:$K$151</definedName>
    <definedName name="_xlnm._FilterDatabase" localSheetId="9" hidden="1">'ملخص الكميات حسب الفراغ'!$A$3:$R$153</definedName>
    <definedName name="CeilCond">'قوائم الخامات والبنود والوحدات'!$O$4:$O$28</definedName>
    <definedName name="CeilMat">'قوائم الخامات والبنود والوحدات'!$G$4:$G$28</definedName>
    <definedName name="CeilUnit">'قوائم الخامات والبنود والوحدات'!$H$4:$H$28</definedName>
    <definedName name="CL_Gross">'حصر الأسقف'!$M$4:$M$303</definedName>
    <definedName name="CL_Mat">'حصر الأسقف'!$D$4:$D$303</definedName>
    <definedName name="CL_Net">'حصر الأسقف'!$M$4:$M$303</definedName>
    <definedName name="CL_Space">'حصر الأسقف'!$B$4:$B$303</definedName>
    <definedName name="CL_Status">'حصر الأسقف'!$R$4:$R$303</definedName>
    <definedName name="CL_Unit">'حصر الأسقف'!$O$4:$O$303</definedName>
    <definedName name="FL_Gross">'حصر الأرضيات'!$K$4:$K$303</definedName>
    <definedName name="FL_Mat">'حصر الأرضيات'!$D$4:$D$303</definedName>
    <definedName name="FL_Net">'حصر الأرضيات'!$K$4:$K$303</definedName>
    <definedName name="FL_Space">'حصر الأرضيات'!$B$4:$B$303</definedName>
    <definedName name="FL_Status">'حصر الأرضيات'!$P$4:$P$303</definedName>
    <definedName name="FL_Unit">'حصر الأرضيات'!$M$4:$M$303</definedName>
    <definedName name="FloorMat">'قوائم الخامات والبنود والوحدات'!$A$4:$A$28</definedName>
    <definedName name="FloorUnit">'قوائم الخامات والبنود والوحدات'!$B$4:$B$28</definedName>
    <definedName name="Levels">'قوائم الخامات والبنود والوحدات'!$N$4:$N$28</definedName>
    <definedName name="LinMat">'قوائم الخامات والبنود والوحدات'!$E$4:$E$28</definedName>
    <definedName name="LinUnit">'قوائم الخامات والبنود والوحدات'!$F$4:$F$28</definedName>
    <definedName name="LN_Auto">'حصر الوزرات والبنود الطولية'!$L$4:$L$303</definedName>
    <definedName name="LN_AutoEff">'حصر الوزرات والبنود الطولية'!$V$4:$V$303</definedName>
    <definedName name="LN_Ded">'حصر الوزرات والبنود الطولية'!$N$4:$N$303</definedName>
    <definedName name="LN_Gross">'حصر الوزرات والبنود الطولية'!$J$4:$J$303</definedName>
    <definedName name="LN_Mat">'حصر الوزرات والبنود الطولية'!$D$4:$D$303</definedName>
    <definedName name="LN_Net">'حصر الوزرات والبنود الطولية'!$O$4:$O$303</definedName>
    <definedName name="LN_Space">'حصر الوزرات والبنود الطولية'!$B$4:$B$303</definedName>
    <definedName name="LN_Status">'حصر الوزرات والبنود الطولية'!$S$4:$S$303</definedName>
    <definedName name="LN_Unit">'حصر الوزرات والبنود الطولية'!$P$4:$P$303</definedName>
    <definedName name="Method">'قوائم الخامات والبنود والوحدات'!$Q$4:$Q$28</definedName>
    <definedName name="OP_AppFin">'حصر الفتحات والخصومات'!$O$4:$O$303</definedName>
    <definedName name="OP_AppPl">'حصر الفتحات والخصومات'!$P$4:$P$303</definedName>
    <definedName name="OP_AppSk">'حصر الفتحات والخصومات'!$Q$4:$Q$303</definedName>
    <definedName name="OP_Area">'حصر الفتحات والخصومات'!$J$4:$J$303</definedName>
    <definedName name="OP_Code">'حصر الفتحات والخصومات'!$B$4:$B$303</definedName>
    <definedName name="OP_DedFin">'حصر الفتحات والخصومات'!$K$4:$K$303</definedName>
    <definedName name="OP_DedPl">'حصر الفتحات والخصومات'!$M$4:$M$303</definedName>
    <definedName name="OP_DedSk">'حصر الفتحات والخصومات'!$N$4:$N$303</definedName>
    <definedName name="OP_Space">'حصر الفتحات والخصومات'!$C$4:$C$303</definedName>
    <definedName name="OP_Status">'حصر الفتحات والخصومات'!$T$4:$T$303</definedName>
    <definedName name="OP_Target">'حصر الفتحات والخصومات'!$L$4:$L$303</definedName>
    <definedName name="OP_Wall">'حصر الفتحات والخصومات'!$E$4:$E$303</definedName>
    <definedName name="OP_Wtot">'حصر الفتحات والخصومات'!$U$4:$U$303</definedName>
    <definedName name="OpenTypes">'قوائم الخامات والبنود والوحدات'!$K$4:$K$28</definedName>
    <definedName name="PL_Auto">'حصر اللياسة والمحارة'!$J$4:$J$403</definedName>
    <definedName name="PL_Ded">'حصر اللياسة والمحارة'!$L$4:$L$403</definedName>
    <definedName name="PL_FacesEff">'حصر اللياسة والمحارة'!$T$4:$T$403</definedName>
    <definedName name="PL_Gross">'حصر اللياسة والمحارة'!$I$4:$I$403</definedName>
    <definedName name="PL_Mat">'حصر اللياسة والمحارة'!$E$4:$E$403</definedName>
    <definedName name="PL_Net">'حصر اللياسة والمحارة'!$M$4:$M$403</definedName>
    <definedName name="PL_Space">'حصر اللياسة والمحارة'!$B$4:$B$403</definedName>
    <definedName name="PL_Status">'حصر اللياسة والمحارة'!$Q$4:$Q$403</definedName>
    <definedName name="PL_Unit">'حصر اللياسة والمحارة'!$N$4:$N$403</definedName>
    <definedName name="PL_Wall">'حصر اللياسة والمحارة'!$D$4:$D$403</definedName>
    <definedName name="PlMat">'قوائم الخامات والبنود والوحدات'!$I$4:$I$28</definedName>
    <definedName name="PlUnit">'قوائم الخامات والبنود والوحدات'!$J$4:$J$28</definedName>
    <definedName name="_xlnm.Print_Area" localSheetId="11">'تقرير الدور'!$A$1:$I$105</definedName>
    <definedName name="_xlnm.Print_Titles" localSheetId="11">'تقرير الدور'!$1:$2</definedName>
    <definedName name="_xlnm.Print_Titles" localSheetId="3">'حصر الأرضيات'!$1:$3</definedName>
    <definedName name="_xlnm.Print_Titles" localSheetId="7">'حصر الأسقف'!$1:$3</definedName>
    <definedName name="_xlnm.Print_Titles" localSheetId="4">'حصر الحوائط والتشطيبات الرأسية'!$1:$3</definedName>
    <definedName name="_xlnm.Print_Titles" localSheetId="5">'حصر الفتحات والخصومات'!$1:$3</definedName>
    <definedName name="_xlnm.Print_Titles" localSheetId="8">'حصر اللياسة والمحارة'!$1:$3</definedName>
    <definedName name="_xlnm.Print_Titles" localSheetId="6">'حصر الوزرات والبنود الطولية'!$1:$3</definedName>
    <definedName name="_xlnm.Print_Titles" localSheetId="2">'سجل الفراغات'!$1:$3</definedName>
    <definedName name="_xlnm.Print_Titles" localSheetId="12">'قوائم الخامات والبنود والوحدات'!$1:$3</definedName>
    <definedName name="_xlnm.Print_Titles" localSheetId="10">'ملخص الكميات حسب البند والخامة'!$1:$2</definedName>
    <definedName name="_xlnm.Print_Titles" localSheetId="9">'ملخص الكميات حسب الفراغ'!$1:$3</definedName>
    <definedName name="RoomNames">'قوائم الخامات والبنود والوحدات'!$P$4:$P$28</definedName>
    <definedName name="SpaceCodes">'سجل الفراغات'!$B$4:$B$153</definedName>
    <definedName name="SpaceLevels">'سجل الفراغات'!$D$4:$D$153</definedName>
    <definedName name="SpaceNames">'سجل الفراغات'!$C$4:$C$153</definedName>
    <definedName name="Units">'قوائم الخامات والبنود والوحدات'!$L$4:$L$28</definedName>
    <definedName name="WallMat">'قوائم الخامات والبنود والوحدات'!$C$4:$C$28</definedName>
    <definedName name="WallUnit">'قوائم الخامات والبنود والوحدات'!$D$4:$D$28</definedName>
    <definedName name="WL_Auto">'حصر الحوائط والتشطيبات الرأسية'!$M$4:$M$403</definedName>
    <definedName name="WL_Ded">'حصر الحوائط والتشطيبات الرأسية'!$O$4:$O$403</definedName>
    <definedName name="WL_DedOn">'حصر الحوائط والتشطيبات الرأسية'!$X$4:$X$403</definedName>
    <definedName name="WL_Dup">'حصر الحوائط والتشطيبات الرأسية'!$V$4:$V$403</definedName>
    <definedName name="WL_Gross">'حصر الحوائط والتشطيبات الرأسية'!$K$4:$K$403</definedName>
    <definedName name="WL_Mat">'حصر الحوائط والتشطيبات الرأسية'!$E$4:$E$403</definedName>
    <definedName name="WL_Net">'حصر الحوائط والتشطيبات الرأسية'!$P$4:$P$403</definedName>
    <definedName name="WL_Space">'حصر الحوائط والتشطيبات الرأسية'!$B$4:$B$403</definedName>
    <definedName name="WL_Status">'حصر الحوائط والتشطيبات الرأسية'!$T$4:$T$403</definedName>
    <definedName name="WL_Unit">'حصر الحوائط والتشطيبات الرأسية'!$Q$4:$Q$403</definedName>
    <definedName name="WL_Wall">'حصر الحوائط والتشطيبات الرأسية'!$D$4:$D$403</definedName>
    <definedName name="YesNo">'قوائم الخامات والبنود والوحدات'!$M$4:$M$28</definedName>
  </definedNames>
  <calcPr calcId="152511"/>
</workbook>
</file>

<file path=xl/calcChain.xml><?xml version="1.0" encoding="utf-8"?>
<calcChain xmlns="http://schemas.openxmlformats.org/spreadsheetml/2006/main">
  <c r="E22" i="14" l="1"/>
  <c r="D22" i="14"/>
  <c r="H18" i="14"/>
  <c r="G18" i="14"/>
  <c r="H13" i="14"/>
  <c r="E30" i="14" s="1"/>
  <c r="F30" i="14" s="1"/>
  <c r="H12" i="14"/>
  <c r="H8" i="14"/>
  <c r="E27" i="14" s="1"/>
  <c r="F27" i="14" s="1"/>
  <c r="H7" i="14"/>
  <c r="H6" i="14"/>
  <c r="E26" i="14" s="1"/>
  <c r="F26" i="14" s="1"/>
  <c r="Q101" i="12"/>
  <c r="Q100" i="12"/>
  <c r="Q99" i="12"/>
  <c r="F99" i="12"/>
  <c r="E99" i="12"/>
  <c r="A99" i="12"/>
  <c r="B99" i="12" s="1"/>
  <c r="Q98" i="12"/>
  <c r="A98" i="12"/>
  <c r="Q97" i="12"/>
  <c r="H97" i="12"/>
  <c r="G97" i="12"/>
  <c r="A97" i="12"/>
  <c r="Q96" i="12"/>
  <c r="E96" i="12"/>
  <c r="A96" i="12"/>
  <c r="H96" i="12" s="1"/>
  <c r="Q95" i="12"/>
  <c r="G95" i="12"/>
  <c r="F95" i="12"/>
  <c r="E95" i="12"/>
  <c r="A95" i="12"/>
  <c r="Q94" i="12"/>
  <c r="H94" i="12"/>
  <c r="F94" i="12"/>
  <c r="A94" i="12"/>
  <c r="Q93" i="12"/>
  <c r="G93" i="12"/>
  <c r="E93" i="12"/>
  <c r="A93" i="12"/>
  <c r="Q92" i="12"/>
  <c r="F92" i="12"/>
  <c r="E92" i="12"/>
  <c r="D92" i="12"/>
  <c r="A92" i="12"/>
  <c r="I92" i="12" s="1"/>
  <c r="Q91" i="12"/>
  <c r="G91" i="12"/>
  <c r="F91" i="12"/>
  <c r="A91" i="12"/>
  <c r="B91" i="12" s="1"/>
  <c r="Q90" i="12"/>
  <c r="G90" i="12"/>
  <c r="A90" i="12"/>
  <c r="F90" i="12" s="1"/>
  <c r="Q89" i="12"/>
  <c r="I89" i="12"/>
  <c r="E89" i="12"/>
  <c r="D89" i="12"/>
  <c r="A89" i="12"/>
  <c r="F89" i="12" s="1"/>
  <c r="Q88" i="12"/>
  <c r="H88" i="12"/>
  <c r="A88" i="12"/>
  <c r="F88" i="12" s="1"/>
  <c r="Q87" i="12"/>
  <c r="G87" i="12"/>
  <c r="A87" i="12"/>
  <c r="E87" i="12" s="1"/>
  <c r="Q86" i="12"/>
  <c r="G86" i="12"/>
  <c r="A86" i="12"/>
  <c r="F86" i="12" s="1"/>
  <c r="Q85" i="12"/>
  <c r="I85" i="12"/>
  <c r="E85" i="12"/>
  <c r="D85" i="12"/>
  <c r="A85" i="12"/>
  <c r="F85" i="12" s="1"/>
  <c r="Q84" i="12"/>
  <c r="A84" i="12"/>
  <c r="Q83" i="12"/>
  <c r="A83" i="12"/>
  <c r="I83" i="12" s="1"/>
  <c r="Q82" i="12"/>
  <c r="A82" i="12"/>
  <c r="Q81" i="12"/>
  <c r="F81" i="12"/>
  <c r="D81" i="12"/>
  <c r="B81" i="12"/>
  <c r="A81" i="12"/>
  <c r="H81" i="12" s="1"/>
  <c r="Q80" i="12"/>
  <c r="I80" i="12"/>
  <c r="H80" i="12"/>
  <c r="E80" i="12"/>
  <c r="D80" i="12"/>
  <c r="B80" i="12"/>
  <c r="A80" i="12"/>
  <c r="F80" i="12" s="1"/>
  <c r="Q79" i="12"/>
  <c r="A79" i="12"/>
  <c r="Q78" i="12"/>
  <c r="A78" i="12"/>
  <c r="Q77" i="12"/>
  <c r="F77" i="12"/>
  <c r="D77" i="12"/>
  <c r="A77" i="12"/>
  <c r="G76" i="12"/>
  <c r="B76" i="12"/>
  <c r="A76" i="12"/>
  <c r="H76" i="12" s="1"/>
  <c r="A75" i="12"/>
  <c r="I74" i="12"/>
  <c r="A74" i="12"/>
  <c r="G74" i="12" s="1"/>
  <c r="F73" i="12"/>
  <c r="D73" i="12"/>
  <c r="A73" i="12"/>
  <c r="H72" i="12"/>
  <c r="A72" i="12"/>
  <c r="A71" i="12"/>
  <c r="I70" i="12"/>
  <c r="E70" i="12"/>
  <c r="D70" i="12"/>
  <c r="A70" i="12"/>
  <c r="F70" i="12" s="1"/>
  <c r="I69" i="12"/>
  <c r="E69" i="12"/>
  <c r="A69" i="12"/>
  <c r="F69" i="12" s="1"/>
  <c r="A68" i="12"/>
  <c r="H67" i="12"/>
  <c r="A67" i="12"/>
  <c r="I66" i="12"/>
  <c r="E66" i="12"/>
  <c r="D66" i="12"/>
  <c r="A66" i="12"/>
  <c r="F66" i="12" s="1"/>
  <c r="I65" i="12"/>
  <c r="E65" i="12"/>
  <c r="A65" i="12"/>
  <c r="F65" i="12" s="1"/>
  <c r="G64" i="12"/>
  <c r="F64" i="12"/>
  <c r="A64" i="12"/>
  <c r="H63" i="12"/>
  <c r="D63" i="12"/>
  <c r="B63" i="12"/>
  <c r="A63" i="12"/>
  <c r="F63" i="12" s="1"/>
  <c r="A62" i="12"/>
  <c r="D61" i="12"/>
  <c r="A61" i="12"/>
  <c r="A60" i="12"/>
  <c r="N47" i="12"/>
  <c r="Q26" i="12"/>
  <c r="Q25" i="12"/>
  <c r="Q24" i="12"/>
  <c r="Q23" i="12"/>
  <c r="Q22" i="12"/>
  <c r="Q21" i="12"/>
  <c r="Q20" i="12"/>
  <c r="Q19" i="12"/>
  <c r="Q18" i="12"/>
  <c r="Q17" i="12"/>
  <c r="Q16" i="12"/>
  <c r="Q15" i="12"/>
  <c r="Q14" i="12"/>
  <c r="Q13" i="12"/>
  <c r="Q12" i="12"/>
  <c r="F12" i="12"/>
  <c r="Q11" i="12"/>
  <c r="Q10" i="12"/>
  <c r="F10" i="12"/>
  <c r="Q9" i="12"/>
  <c r="Q8" i="12"/>
  <c r="Q7" i="12"/>
  <c r="Q6" i="12"/>
  <c r="H6" i="12"/>
  <c r="E6" i="12"/>
  <c r="B6" i="12"/>
  <c r="Q5" i="12"/>
  <c r="H5" i="12"/>
  <c r="E5" i="12"/>
  <c r="B5" i="12"/>
  <c r="Q4" i="12"/>
  <c r="Q3" i="12"/>
  <c r="Q2" i="12"/>
  <c r="A2" i="12"/>
  <c r="B151" i="11"/>
  <c r="H150" i="11"/>
  <c r="F150" i="11"/>
  <c r="B150" i="11"/>
  <c r="G149" i="11"/>
  <c r="B149" i="11"/>
  <c r="H149" i="11" s="1"/>
  <c r="B148" i="11"/>
  <c r="H147" i="11"/>
  <c r="B147" i="11"/>
  <c r="B146" i="11"/>
  <c r="B145" i="11"/>
  <c r="H145" i="11" s="1"/>
  <c r="B144" i="11"/>
  <c r="G144" i="11" s="1"/>
  <c r="B143" i="11"/>
  <c r="G143" i="11" s="1"/>
  <c r="G142" i="11"/>
  <c r="B142" i="11"/>
  <c r="B141" i="11"/>
  <c r="G141" i="11" s="1"/>
  <c r="G140" i="11"/>
  <c r="B140" i="11"/>
  <c r="B139" i="11"/>
  <c r="G139" i="11" s="1"/>
  <c r="B138" i="11"/>
  <c r="G138" i="11" s="1"/>
  <c r="B137" i="11"/>
  <c r="G137" i="11" s="1"/>
  <c r="B136" i="11"/>
  <c r="G136" i="11" s="1"/>
  <c r="B135" i="11"/>
  <c r="G135" i="11" s="1"/>
  <c r="G134" i="11"/>
  <c r="B134" i="11"/>
  <c r="B133" i="11"/>
  <c r="G133" i="11" s="1"/>
  <c r="G132" i="11"/>
  <c r="B132" i="11"/>
  <c r="B131" i="11"/>
  <c r="G131" i="11" s="1"/>
  <c r="B130" i="11"/>
  <c r="G130" i="11" s="1"/>
  <c r="B129" i="11"/>
  <c r="G129" i="11" s="1"/>
  <c r="B128" i="11"/>
  <c r="G128" i="11" s="1"/>
  <c r="B127" i="11"/>
  <c r="G127" i="11" s="1"/>
  <c r="G126" i="11"/>
  <c r="B126" i="11"/>
  <c r="B125" i="11"/>
  <c r="G125" i="11" s="1"/>
  <c r="G124" i="11"/>
  <c r="B124" i="11"/>
  <c r="B123" i="11"/>
  <c r="G123" i="11" s="1"/>
  <c r="B122" i="11"/>
  <c r="G122" i="11" s="1"/>
  <c r="B121" i="11"/>
  <c r="G121" i="11" s="1"/>
  <c r="B120" i="11"/>
  <c r="G120" i="11" s="1"/>
  <c r="B119" i="11"/>
  <c r="G119" i="11" s="1"/>
  <c r="G118" i="11"/>
  <c r="B118" i="11"/>
  <c r="B117" i="11"/>
  <c r="G117" i="11" s="1"/>
  <c r="G116" i="11"/>
  <c r="B116" i="11"/>
  <c r="B115" i="11"/>
  <c r="G115" i="11" s="1"/>
  <c r="B114" i="11"/>
  <c r="G114" i="11" s="1"/>
  <c r="B113" i="11"/>
  <c r="G113" i="11" s="1"/>
  <c r="B112" i="11"/>
  <c r="G112" i="11" s="1"/>
  <c r="B111" i="11"/>
  <c r="G111" i="11" s="1"/>
  <c r="G110" i="11"/>
  <c r="B110" i="11"/>
  <c r="B109" i="11"/>
  <c r="G109" i="11" s="1"/>
  <c r="G108" i="11"/>
  <c r="B108" i="11"/>
  <c r="B107" i="11"/>
  <c r="G107" i="11" s="1"/>
  <c r="B106" i="11"/>
  <c r="G106" i="11" s="1"/>
  <c r="B105" i="11"/>
  <c r="G105" i="11" s="1"/>
  <c r="G104" i="11"/>
  <c r="B104" i="11"/>
  <c r="B103" i="11"/>
  <c r="G103" i="11" s="1"/>
  <c r="G102" i="11"/>
  <c r="B102" i="11"/>
  <c r="B101" i="11"/>
  <c r="G101" i="11" s="1"/>
  <c r="G100" i="11"/>
  <c r="B100" i="11"/>
  <c r="B99" i="11"/>
  <c r="G99" i="11" s="1"/>
  <c r="B98" i="11"/>
  <c r="G98" i="11" s="1"/>
  <c r="B97" i="11"/>
  <c r="G97" i="11" s="1"/>
  <c r="G96" i="11"/>
  <c r="B96" i="11"/>
  <c r="B95" i="11"/>
  <c r="G95" i="11" s="1"/>
  <c r="G94" i="11"/>
  <c r="B94" i="11"/>
  <c r="B93" i="11"/>
  <c r="G93" i="11" s="1"/>
  <c r="G92" i="11"/>
  <c r="B92" i="11"/>
  <c r="B91" i="11"/>
  <c r="G91" i="11" s="1"/>
  <c r="B90" i="11"/>
  <c r="G90" i="11" s="1"/>
  <c r="B89" i="11"/>
  <c r="G89" i="11" s="1"/>
  <c r="G88" i="11"/>
  <c r="B88" i="11"/>
  <c r="B87" i="11"/>
  <c r="G87" i="11" s="1"/>
  <c r="G86" i="11"/>
  <c r="B86" i="11"/>
  <c r="B85" i="11"/>
  <c r="G85" i="11" s="1"/>
  <c r="G84" i="11"/>
  <c r="B84" i="11"/>
  <c r="B83" i="11"/>
  <c r="G83" i="11" s="1"/>
  <c r="B82" i="11"/>
  <c r="G82" i="11" s="1"/>
  <c r="B81" i="11"/>
  <c r="G81" i="11" s="1"/>
  <c r="G80" i="11"/>
  <c r="B80" i="11"/>
  <c r="B79" i="11"/>
  <c r="G79" i="11" s="1"/>
  <c r="G78" i="11"/>
  <c r="B78" i="11"/>
  <c r="B77" i="11"/>
  <c r="G77" i="11" s="1"/>
  <c r="B76" i="11"/>
  <c r="G76" i="11" s="1"/>
  <c r="B75" i="11"/>
  <c r="G75" i="11" s="1"/>
  <c r="B74" i="11"/>
  <c r="B73" i="11"/>
  <c r="G73" i="11" s="1"/>
  <c r="G72" i="11"/>
  <c r="B72" i="11"/>
  <c r="B71" i="11"/>
  <c r="G71" i="11" s="1"/>
  <c r="G70" i="11"/>
  <c r="B70" i="11"/>
  <c r="B69" i="11"/>
  <c r="G69" i="11" s="1"/>
  <c r="B68" i="11"/>
  <c r="G68" i="11" s="1"/>
  <c r="B67" i="11"/>
  <c r="G67" i="11" s="1"/>
  <c r="B66" i="11"/>
  <c r="G66" i="11" s="1"/>
  <c r="B65" i="11"/>
  <c r="G65" i="11" s="1"/>
  <c r="G64" i="11"/>
  <c r="B64" i="11"/>
  <c r="B63" i="11"/>
  <c r="G63" i="11" s="1"/>
  <c r="G62" i="11"/>
  <c r="B62" i="11"/>
  <c r="B61" i="11"/>
  <c r="G61" i="11" s="1"/>
  <c r="G60" i="11"/>
  <c r="B60" i="11"/>
  <c r="B59" i="11"/>
  <c r="G59" i="11" s="1"/>
  <c r="B58" i="11"/>
  <c r="G58" i="11" s="1"/>
  <c r="B57" i="11"/>
  <c r="G57" i="11" s="1"/>
  <c r="G56" i="11"/>
  <c r="B56" i="11"/>
  <c r="B55" i="11"/>
  <c r="G55" i="11" s="1"/>
  <c r="G54" i="11"/>
  <c r="B54" i="11"/>
  <c r="B53" i="11"/>
  <c r="G53" i="11" s="1"/>
  <c r="G52" i="11"/>
  <c r="B52" i="11"/>
  <c r="B51" i="11"/>
  <c r="G51" i="11" s="1"/>
  <c r="G50" i="11"/>
  <c r="B50" i="11"/>
  <c r="B49" i="11"/>
  <c r="G49" i="11" s="1"/>
  <c r="G48" i="11"/>
  <c r="B48" i="11"/>
  <c r="B47" i="11"/>
  <c r="G47" i="11" s="1"/>
  <c r="G46" i="11"/>
  <c r="B46" i="11"/>
  <c r="B45" i="11"/>
  <c r="G45" i="11" s="1"/>
  <c r="G44" i="11"/>
  <c r="B44" i="11"/>
  <c r="B43" i="11"/>
  <c r="G43" i="11" s="1"/>
  <c r="G42" i="11"/>
  <c r="B42" i="11"/>
  <c r="B41" i="11"/>
  <c r="G41" i="11" s="1"/>
  <c r="G40" i="11"/>
  <c r="B40" i="11"/>
  <c r="B39" i="11"/>
  <c r="G39" i="11" s="1"/>
  <c r="G38" i="11"/>
  <c r="B38" i="11"/>
  <c r="B37" i="11"/>
  <c r="G37" i="11" s="1"/>
  <c r="G36" i="11"/>
  <c r="B36" i="11"/>
  <c r="B35" i="11"/>
  <c r="G35" i="11" s="1"/>
  <c r="G34" i="11"/>
  <c r="B34" i="11"/>
  <c r="B33" i="11"/>
  <c r="G33" i="11" s="1"/>
  <c r="G32" i="11"/>
  <c r="B32" i="11"/>
  <c r="B31" i="11"/>
  <c r="G31" i="11" s="1"/>
  <c r="G30" i="11"/>
  <c r="B30" i="11"/>
  <c r="B29" i="11"/>
  <c r="G29" i="11" s="1"/>
  <c r="B28" i="11"/>
  <c r="G28" i="11" s="1"/>
  <c r="B27" i="11"/>
  <c r="G27" i="11" s="1"/>
  <c r="C24" i="11"/>
  <c r="C21" i="11"/>
  <c r="F9" i="11"/>
  <c r="C9" i="11"/>
  <c r="F6" i="11"/>
  <c r="C6" i="11"/>
  <c r="O153" i="10"/>
  <c r="L153" i="10"/>
  <c r="K153" i="10"/>
  <c r="G153" i="10"/>
  <c r="D153" i="10"/>
  <c r="C153" i="10"/>
  <c r="B153" i="10"/>
  <c r="R153" i="10" s="1"/>
  <c r="Q152" i="10"/>
  <c r="P152" i="10"/>
  <c r="L152" i="10"/>
  <c r="I152" i="10"/>
  <c r="E152" i="10"/>
  <c r="D152" i="10"/>
  <c r="B152" i="10"/>
  <c r="B151" i="10"/>
  <c r="B150" i="10"/>
  <c r="R150" i="10" s="1"/>
  <c r="O149" i="10"/>
  <c r="L149" i="10"/>
  <c r="K149" i="10"/>
  <c r="G149" i="10"/>
  <c r="D149" i="10"/>
  <c r="C149" i="10"/>
  <c r="B149" i="10"/>
  <c r="R149" i="10" s="1"/>
  <c r="Q148" i="10"/>
  <c r="O148" i="10"/>
  <c r="L148" i="10"/>
  <c r="K148" i="10"/>
  <c r="G148" i="10"/>
  <c r="E148" i="10"/>
  <c r="D148" i="10"/>
  <c r="B148" i="10"/>
  <c r="R147" i="10"/>
  <c r="J147" i="10"/>
  <c r="B147" i="10"/>
  <c r="I147" i="10" s="1"/>
  <c r="N146" i="10"/>
  <c r="F146" i="10"/>
  <c r="C146" i="10"/>
  <c r="B146" i="10"/>
  <c r="J146" i="10" s="1"/>
  <c r="O145" i="10"/>
  <c r="L145" i="10"/>
  <c r="K145" i="10"/>
  <c r="G145" i="10"/>
  <c r="D145" i="10"/>
  <c r="C145" i="10"/>
  <c r="B145" i="10"/>
  <c r="R145" i="10" s="1"/>
  <c r="B144" i="10"/>
  <c r="I144" i="10" s="1"/>
  <c r="R143" i="10"/>
  <c r="J143" i="10"/>
  <c r="B143" i="10"/>
  <c r="I143" i="10" s="1"/>
  <c r="R142" i="10"/>
  <c r="B142" i="10"/>
  <c r="N142" i="10" s="1"/>
  <c r="O141" i="10"/>
  <c r="L141" i="10"/>
  <c r="K141" i="10"/>
  <c r="G141" i="10"/>
  <c r="D141" i="10"/>
  <c r="C141" i="10"/>
  <c r="B141" i="10"/>
  <c r="R141" i="10" s="1"/>
  <c r="Q140" i="10"/>
  <c r="P140" i="10"/>
  <c r="O140" i="10"/>
  <c r="I140" i="10"/>
  <c r="G140" i="10"/>
  <c r="D140" i="10"/>
  <c r="B140" i="10"/>
  <c r="B139" i="10"/>
  <c r="B138" i="10"/>
  <c r="O137" i="10"/>
  <c r="L137" i="10"/>
  <c r="K137" i="10"/>
  <c r="G137" i="10"/>
  <c r="D137" i="10"/>
  <c r="C137" i="10"/>
  <c r="B137" i="10"/>
  <c r="R137" i="10" s="1"/>
  <c r="Q136" i="10"/>
  <c r="I136" i="10"/>
  <c r="B136" i="10"/>
  <c r="P136" i="10" s="1"/>
  <c r="J135" i="10"/>
  <c r="B135" i="10"/>
  <c r="C134" i="10"/>
  <c r="B134" i="10"/>
  <c r="O133" i="10"/>
  <c r="L133" i="10"/>
  <c r="K133" i="10"/>
  <c r="G133" i="10"/>
  <c r="D133" i="10"/>
  <c r="C133" i="10"/>
  <c r="B133" i="10"/>
  <c r="R133" i="10" s="1"/>
  <c r="Q132" i="10"/>
  <c r="O132" i="10"/>
  <c r="L132" i="10"/>
  <c r="K132" i="10"/>
  <c r="G132" i="10"/>
  <c r="E132" i="10"/>
  <c r="D132" i="10"/>
  <c r="B132" i="10"/>
  <c r="B131" i="10"/>
  <c r="I131" i="10" s="1"/>
  <c r="N130" i="10"/>
  <c r="F130" i="10"/>
  <c r="C130" i="10"/>
  <c r="B130" i="10"/>
  <c r="J130" i="10" s="1"/>
  <c r="O129" i="10"/>
  <c r="L129" i="10"/>
  <c r="K129" i="10"/>
  <c r="G129" i="10"/>
  <c r="D129" i="10"/>
  <c r="C129" i="10"/>
  <c r="B129" i="10"/>
  <c r="R129" i="10" s="1"/>
  <c r="O128" i="10"/>
  <c r="E128" i="10"/>
  <c r="B128" i="10"/>
  <c r="R127" i="10"/>
  <c r="J127" i="10"/>
  <c r="B127" i="10"/>
  <c r="I127" i="10" s="1"/>
  <c r="B126" i="10"/>
  <c r="O125" i="10"/>
  <c r="L125" i="10"/>
  <c r="K125" i="10"/>
  <c r="G125" i="10"/>
  <c r="D125" i="10"/>
  <c r="C125" i="10"/>
  <c r="B125" i="10"/>
  <c r="R125" i="10" s="1"/>
  <c r="Q124" i="10"/>
  <c r="P124" i="10"/>
  <c r="I124" i="10"/>
  <c r="G124" i="10"/>
  <c r="B124" i="10"/>
  <c r="R123" i="10"/>
  <c r="B123" i="10"/>
  <c r="C122" i="10"/>
  <c r="B122" i="10"/>
  <c r="H121" i="10"/>
  <c r="G121" i="10"/>
  <c r="B121" i="10"/>
  <c r="Q120" i="10"/>
  <c r="I120" i="10"/>
  <c r="C120" i="10"/>
  <c r="B120" i="10"/>
  <c r="B119" i="10"/>
  <c r="B118" i="10"/>
  <c r="P117" i="10"/>
  <c r="H117" i="10"/>
  <c r="G117" i="10"/>
  <c r="B117" i="10"/>
  <c r="Q116" i="10"/>
  <c r="I116" i="10"/>
  <c r="C116" i="10"/>
  <c r="B116" i="10"/>
  <c r="B115" i="10"/>
  <c r="B114" i="10"/>
  <c r="P113" i="10"/>
  <c r="H113" i="10"/>
  <c r="G113" i="10"/>
  <c r="B113" i="10"/>
  <c r="Q112" i="10"/>
  <c r="I112" i="10"/>
  <c r="C112" i="10"/>
  <c r="B112" i="10"/>
  <c r="B111" i="10"/>
  <c r="B110" i="10"/>
  <c r="P109" i="10"/>
  <c r="H109" i="10"/>
  <c r="G109" i="10"/>
  <c r="B109" i="10"/>
  <c r="Q108" i="10"/>
  <c r="I108" i="10"/>
  <c r="C108" i="10"/>
  <c r="B108" i="10"/>
  <c r="B107" i="10"/>
  <c r="B106" i="10"/>
  <c r="H105" i="10"/>
  <c r="G105" i="10"/>
  <c r="B105" i="10"/>
  <c r="P105" i="10" s="1"/>
  <c r="Q104" i="10"/>
  <c r="I104" i="10"/>
  <c r="C104" i="10"/>
  <c r="B104" i="10"/>
  <c r="B103" i="10"/>
  <c r="B102" i="10"/>
  <c r="H101" i="10"/>
  <c r="B101" i="10"/>
  <c r="P101" i="10" s="1"/>
  <c r="Q100" i="10"/>
  <c r="I100" i="10"/>
  <c r="C100" i="10"/>
  <c r="B100" i="10"/>
  <c r="B99" i="10"/>
  <c r="N98" i="10"/>
  <c r="B98" i="10"/>
  <c r="M98" i="10" s="1"/>
  <c r="J97" i="10"/>
  <c r="C97" i="10"/>
  <c r="B97" i="10"/>
  <c r="P96" i="10"/>
  <c r="O96" i="10"/>
  <c r="M96" i="10"/>
  <c r="K96" i="10"/>
  <c r="I96" i="10"/>
  <c r="H96" i="10"/>
  <c r="E96" i="10"/>
  <c r="D96" i="10"/>
  <c r="C96" i="10"/>
  <c r="B96" i="10"/>
  <c r="R96" i="10" s="1"/>
  <c r="J95" i="10"/>
  <c r="B95" i="10"/>
  <c r="Q95" i="10" s="1"/>
  <c r="C94" i="10"/>
  <c r="B94" i="10"/>
  <c r="P93" i="10"/>
  <c r="N93" i="10"/>
  <c r="K93" i="10"/>
  <c r="J93" i="10"/>
  <c r="F93" i="10"/>
  <c r="D93" i="10"/>
  <c r="C93" i="10"/>
  <c r="B93" i="10"/>
  <c r="O93" i="10" s="1"/>
  <c r="O92" i="10"/>
  <c r="G92" i="10"/>
  <c r="B92" i="10"/>
  <c r="L92" i="10" s="1"/>
  <c r="B91" i="10"/>
  <c r="B90" i="10"/>
  <c r="N90" i="10" s="1"/>
  <c r="P89" i="10"/>
  <c r="N89" i="10"/>
  <c r="K89" i="10"/>
  <c r="J89" i="10"/>
  <c r="F89" i="10"/>
  <c r="D89" i="10"/>
  <c r="C89" i="10"/>
  <c r="B89" i="10"/>
  <c r="O89" i="10" s="1"/>
  <c r="Q88" i="10"/>
  <c r="K88" i="10"/>
  <c r="D88" i="10"/>
  <c r="B88" i="10"/>
  <c r="F87" i="10"/>
  <c r="B87" i="10"/>
  <c r="B86" i="10"/>
  <c r="P85" i="10"/>
  <c r="H85" i="10"/>
  <c r="B85" i="10"/>
  <c r="O85" i="10" s="1"/>
  <c r="P84" i="10"/>
  <c r="O84" i="10"/>
  <c r="M84" i="10"/>
  <c r="K84" i="10"/>
  <c r="I84" i="10"/>
  <c r="H84" i="10"/>
  <c r="E84" i="10"/>
  <c r="D84" i="10"/>
  <c r="C84" i="10"/>
  <c r="B84" i="10"/>
  <c r="R84" i="10" s="1"/>
  <c r="Q83" i="10"/>
  <c r="L83" i="10"/>
  <c r="F83" i="10"/>
  <c r="B83" i="10"/>
  <c r="H83" i="10" s="1"/>
  <c r="R82" i="10"/>
  <c r="G82" i="10"/>
  <c r="C82" i="10"/>
  <c r="B82" i="10"/>
  <c r="N81" i="10"/>
  <c r="D81" i="10"/>
  <c r="B81" i="10"/>
  <c r="M80" i="10"/>
  <c r="G80" i="10"/>
  <c r="B80" i="10"/>
  <c r="L80" i="10" s="1"/>
  <c r="M79" i="10"/>
  <c r="B79" i="10"/>
  <c r="N78" i="10"/>
  <c r="I78" i="10"/>
  <c r="C78" i="10"/>
  <c r="B78" i="10"/>
  <c r="G78" i="10" s="1"/>
  <c r="P77" i="10"/>
  <c r="N77" i="10"/>
  <c r="K77" i="10"/>
  <c r="J77" i="10"/>
  <c r="F77" i="10"/>
  <c r="D77" i="10"/>
  <c r="C77" i="10"/>
  <c r="B77" i="10"/>
  <c r="O77" i="10" s="1"/>
  <c r="B76" i="10"/>
  <c r="P76" i="10" s="1"/>
  <c r="I75" i="10"/>
  <c r="B75" i="10"/>
  <c r="R75" i="10" s="1"/>
  <c r="R74" i="10"/>
  <c r="B74" i="10"/>
  <c r="B73" i="10"/>
  <c r="P72" i="10"/>
  <c r="O72" i="10"/>
  <c r="M72" i="10"/>
  <c r="K72" i="10"/>
  <c r="I72" i="10"/>
  <c r="H72" i="10"/>
  <c r="E72" i="10"/>
  <c r="D72" i="10"/>
  <c r="C72" i="10"/>
  <c r="B72" i="10"/>
  <c r="R72" i="10" s="1"/>
  <c r="Q71" i="10"/>
  <c r="P71" i="10"/>
  <c r="H71" i="10"/>
  <c r="E71" i="10"/>
  <c r="B71" i="10"/>
  <c r="B70" i="10"/>
  <c r="R70" i="10" s="1"/>
  <c r="C69" i="10"/>
  <c r="B69" i="10"/>
  <c r="M68" i="10"/>
  <c r="G68" i="10"/>
  <c r="B68" i="10"/>
  <c r="L68" i="10" s="1"/>
  <c r="P67" i="10"/>
  <c r="M67" i="10"/>
  <c r="L67" i="10"/>
  <c r="H67" i="10"/>
  <c r="E67" i="10"/>
  <c r="D67" i="10"/>
  <c r="B67" i="10"/>
  <c r="O67" i="10" s="1"/>
  <c r="B66" i="10"/>
  <c r="R66" i="10" s="1"/>
  <c r="K65" i="10"/>
  <c r="B65" i="10"/>
  <c r="B64" i="10"/>
  <c r="I63" i="10"/>
  <c r="B63" i="10"/>
  <c r="Q63" i="10" s="1"/>
  <c r="B62" i="10"/>
  <c r="R62" i="10" s="1"/>
  <c r="K61" i="10"/>
  <c r="C61" i="10"/>
  <c r="B61" i="10"/>
  <c r="O61" i="10" s="1"/>
  <c r="Q60" i="10"/>
  <c r="L60" i="10"/>
  <c r="K60" i="10"/>
  <c r="E60" i="10"/>
  <c r="D60" i="10"/>
  <c r="B60" i="10"/>
  <c r="B59" i="10"/>
  <c r="R58" i="10"/>
  <c r="B58" i="10"/>
  <c r="K57" i="10"/>
  <c r="C57" i="10"/>
  <c r="B57" i="10"/>
  <c r="O57" i="10" s="1"/>
  <c r="P56" i="10"/>
  <c r="O56" i="10"/>
  <c r="M56" i="10"/>
  <c r="K56" i="10"/>
  <c r="I56" i="10"/>
  <c r="H56" i="10"/>
  <c r="E56" i="10"/>
  <c r="D56" i="10"/>
  <c r="C56" i="10"/>
  <c r="B56" i="10"/>
  <c r="R56" i="10" s="1"/>
  <c r="Q55" i="10"/>
  <c r="P55" i="10"/>
  <c r="I55" i="10"/>
  <c r="H55" i="10"/>
  <c r="E55" i="10"/>
  <c r="B55" i="10"/>
  <c r="B54" i="10"/>
  <c r="R54" i="10" s="1"/>
  <c r="C53" i="10"/>
  <c r="B53" i="10"/>
  <c r="H52" i="10"/>
  <c r="B52" i="10"/>
  <c r="O52" i="10" s="1"/>
  <c r="P51" i="10"/>
  <c r="M51" i="10"/>
  <c r="L51" i="10"/>
  <c r="H51" i="10"/>
  <c r="E51" i="10"/>
  <c r="D51" i="10"/>
  <c r="B51" i="10"/>
  <c r="O51" i="10" s="1"/>
  <c r="R50" i="10"/>
  <c r="B50" i="10"/>
  <c r="B49" i="10"/>
  <c r="Q48" i="10"/>
  <c r="L48" i="10"/>
  <c r="K48" i="10"/>
  <c r="E48" i="10"/>
  <c r="C48" i="10"/>
  <c r="B48" i="10"/>
  <c r="B47" i="10"/>
  <c r="M47" i="10" s="1"/>
  <c r="B46" i="10"/>
  <c r="R46" i="10" s="1"/>
  <c r="K45" i="10"/>
  <c r="C45" i="10"/>
  <c r="B45" i="10"/>
  <c r="O45" i="10" s="1"/>
  <c r="Q44" i="10"/>
  <c r="O44" i="10"/>
  <c r="L44" i="10"/>
  <c r="K44" i="10"/>
  <c r="G44" i="10"/>
  <c r="E44" i="10"/>
  <c r="D44" i="10"/>
  <c r="B44" i="10"/>
  <c r="Q43" i="10"/>
  <c r="P43" i="10"/>
  <c r="H43" i="10"/>
  <c r="D43" i="10"/>
  <c r="B43" i="10"/>
  <c r="B42" i="10"/>
  <c r="K41" i="10"/>
  <c r="C41" i="10"/>
  <c r="B41" i="10"/>
  <c r="O41" i="10" s="1"/>
  <c r="B40" i="10"/>
  <c r="P39" i="10"/>
  <c r="N39" i="10"/>
  <c r="I39" i="10"/>
  <c r="E39" i="10"/>
  <c r="D39" i="10"/>
  <c r="B39" i="10"/>
  <c r="Q39" i="10" s="1"/>
  <c r="O38" i="10"/>
  <c r="I38" i="10"/>
  <c r="F38" i="10"/>
  <c r="B38" i="10"/>
  <c r="R37" i="10"/>
  <c r="L37" i="10"/>
  <c r="B37" i="10"/>
  <c r="G37" i="10" s="1"/>
  <c r="P36" i="10"/>
  <c r="E36" i="10"/>
  <c r="B36" i="10"/>
  <c r="K36" i="10" s="1"/>
  <c r="P35" i="10"/>
  <c r="N35" i="10"/>
  <c r="I35" i="10"/>
  <c r="E35" i="10"/>
  <c r="D35" i="10"/>
  <c r="B35" i="10"/>
  <c r="Q35" i="10" s="1"/>
  <c r="Q34" i="10"/>
  <c r="C34" i="10"/>
  <c r="B34" i="10"/>
  <c r="J34" i="10" s="1"/>
  <c r="B33" i="10"/>
  <c r="M32" i="10"/>
  <c r="C32" i="10"/>
  <c r="B32" i="10"/>
  <c r="H32" i="10" s="1"/>
  <c r="B31" i="10"/>
  <c r="Q30" i="10"/>
  <c r="K30" i="10"/>
  <c r="J30" i="10"/>
  <c r="E30" i="10"/>
  <c r="C30" i="10"/>
  <c r="B30" i="10"/>
  <c r="N30" i="10" s="1"/>
  <c r="B29" i="10"/>
  <c r="I28" i="10"/>
  <c r="C28" i="10"/>
  <c r="B28" i="10"/>
  <c r="M28" i="10" s="1"/>
  <c r="I27" i="10"/>
  <c r="D27" i="10"/>
  <c r="B27" i="10"/>
  <c r="J27" i="10" s="1"/>
  <c r="Q26" i="10"/>
  <c r="N26" i="10"/>
  <c r="K26" i="10"/>
  <c r="J26" i="10"/>
  <c r="F26" i="10"/>
  <c r="E26" i="10"/>
  <c r="C26" i="10"/>
  <c r="B26" i="10"/>
  <c r="O26" i="10" s="1"/>
  <c r="G25" i="10"/>
  <c r="B25" i="10"/>
  <c r="R25" i="10" s="1"/>
  <c r="P24" i="10"/>
  <c r="O24" i="10"/>
  <c r="M24" i="10"/>
  <c r="K24" i="10"/>
  <c r="I24" i="10"/>
  <c r="H24" i="10"/>
  <c r="E24" i="10"/>
  <c r="D24" i="10"/>
  <c r="C24" i="10"/>
  <c r="B24" i="10"/>
  <c r="R24" i="10" s="1"/>
  <c r="P23" i="10"/>
  <c r="D23" i="10"/>
  <c r="B23" i="10"/>
  <c r="J23" i="10" s="1"/>
  <c r="B22" i="10"/>
  <c r="R21" i="10"/>
  <c r="B21" i="10"/>
  <c r="L21" i="10" s="1"/>
  <c r="P20" i="10"/>
  <c r="O20" i="10"/>
  <c r="M20" i="10"/>
  <c r="K20" i="10"/>
  <c r="I20" i="10"/>
  <c r="H20" i="10"/>
  <c r="E20" i="10"/>
  <c r="D20" i="10"/>
  <c r="C20" i="10"/>
  <c r="B20" i="10"/>
  <c r="R20" i="10" s="1"/>
  <c r="E19" i="10"/>
  <c r="B19" i="10"/>
  <c r="J19" i="10" s="1"/>
  <c r="N18" i="10"/>
  <c r="E18" i="10"/>
  <c r="B18" i="10"/>
  <c r="I18" i="10" s="1"/>
  <c r="L17" i="10"/>
  <c r="G17" i="10"/>
  <c r="B17" i="10"/>
  <c r="R17" i="10" s="1"/>
  <c r="L16" i="10"/>
  <c r="E16" i="10"/>
  <c r="B16" i="10"/>
  <c r="O16" i="10" s="1"/>
  <c r="P15" i="10"/>
  <c r="N15" i="10"/>
  <c r="I15" i="10"/>
  <c r="E15" i="10"/>
  <c r="D15" i="10"/>
  <c r="B15" i="10"/>
  <c r="Q15" i="10" s="1"/>
  <c r="B14" i="10"/>
  <c r="R13" i="10"/>
  <c r="B13" i="10"/>
  <c r="L13" i="10" s="1"/>
  <c r="B12" i="10"/>
  <c r="P11" i="10"/>
  <c r="N11" i="10"/>
  <c r="I11" i="10"/>
  <c r="E11" i="10"/>
  <c r="D11" i="10"/>
  <c r="B11" i="10"/>
  <c r="Q11" i="10" s="1"/>
  <c r="O10" i="10"/>
  <c r="F10" i="10"/>
  <c r="B10" i="10"/>
  <c r="Q10" i="10" s="1"/>
  <c r="B9" i="10"/>
  <c r="L8" i="10"/>
  <c r="E8" i="10"/>
  <c r="B8" i="10"/>
  <c r="M8" i="10" s="1"/>
  <c r="J7" i="10"/>
  <c r="I7" i="10"/>
  <c r="E7" i="10"/>
  <c r="B7" i="10"/>
  <c r="Q6" i="10"/>
  <c r="O6" i="10"/>
  <c r="K6" i="10"/>
  <c r="I6" i="10"/>
  <c r="E6" i="10"/>
  <c r="C6" i="10"/>
  <c r="B6" i="10"/>
  <c r="B5" i="10"/>
  <c r="L4" i="10"/>
  <c r="E4" i="10"/>
  <c r="B4" i="10"/>
  <c r="M4" i="10" s="1"/>
  <c r="R403" i="9"/>
  <c r="Q403" i="9" s="1"/>
  <c r="N403" i="9"/>
  <c r="J403" i="9"/>
  <c r="C403" i="9"/>
  <c r="R402" i="9"/>
  <c r="N402" i="9"/>
  <c r="C402" i="9"/>
  <c r="R401" i="9"/>
  <c r="Q401" i="9" s="1"/>
  <c r="N401" i="9"/>
  <c r="C401" i="9"/>
  <c r="R400" i="9"/>
  <c r="N400" i="9"/>
  <c r="C400" i="9"/>
  <c r="R399" i="9"/>
  <c r="Q399" i="9" s="1"/>
  <c r="N399" i="9"/>
  <c r="J399" i="9"/>
  <c r="C399" i="9"/>
  <c r="R398" i="9"/>
  <c r="N398" i="9"/>
  <c r="C398" i="9"/>
  <c r="R397" i="9"/>
  <c r="Q397" i="9" s="1"/>
  <c r="N397" i="9"/>
  <c r="C397" i="9"/>
  <c r="R396" i="9"/>
  <c r="N396" i="9"/>
  <c r="C396" i="9"/>
  <c r="R395" i="9"/>
  <c r="Q395" i="9" s="1"/>
  <c r="N395" i="9"/>
  <c r="J395" i="9"/>
  <c r="C395" i="9"/>
  <c r="R394" i="9"/>
  <c r="N394" i="9"/>
  <c r="C394" i="9"/>
  <c r="R393" i="9"/>
  <c r="Q393" i="9" s="1"/>
  <c r="N393" i="9"/>
  <c r="C393" i="9"/>
  <c r="R392" i="9"/>
  <c r="N392" i="9"/>
  <c r="C392" i="9"/>
  <c r="R391" i="9"/>
  <c r="Q391" i="9" s="1"/>
  <c r="N391" i="9"/>
  <c r="J391" i="9"/>
  <c r="C391" i="9"/>
  <c r="R390" i="9"/>
  <c r="N390" i="9"/>
  <c r="C390" i="9"/>
  <c r="R389" i="9"/>
  <c r="Q389" i="9" s="1"/>
  <c r="N389" i="9"/>
  <c r="C389" i="9"/>
  <c r="R388" i="9"/>
  <c r="N388" i="9"/>
  <c r="C388" i="9"/>
  <c r="R387" i="9"/>
  <c r="Q387" i="9" s="1"/>
  <c r="N387" i="9"/>
  <c r="J387" i="9"/>
  <c r="C387" i="9"/>
  <c r="R386" i="9"/>
  <c r="N386" i="9"/>
  <c r="C386" i="9"/>
  <c r="R385" i="9"/>
  <c r="Q385" i="9" s="1"/>
  <c r="N385" i="9"/>
  <c r="C385" i="9"/>
  <c r="R384" i="9"/>
  <c r="N384" i="9"/>
  <c r="C384" i="9"/>
  <c r="R383" i="9"/>
  <c r="Q383" i="9" s="1"/>
  <c r="N383" i="9"/>
  <c r="J383" i="9"/>
  <c r="C383" i="9"/>
  <c r="R382" i="9"/>
  <c r="N382" i="9"/>
  <c r="C382" i="9"/>
  <c r="R381" i="9"/>
  <c r="Q381" i="9" s="1"/>
  <c r="N381" i="9"/>
  <c r="C381" i="9"/>
  <c r="R380" i="9"/>
  <c r="N380" i="9"/>
  <c r="C380" i="9"/>
  <c r="R379" i="9"/>
  <c r="Q379" i="9" s="1"/>
  <c r="N379" i="9"/>
  <c r="J379" i="9"/>
  <c r="C379" i="9"/>
  <c r="R378" i="9"/>
  <c r="N378" i="9"/>
  <c r="C378" i="9"/>
  <c r="R377" i="9"/>
  <c r="Q377" i="9" s="1"/>
  <c r="N377" i="9"/>
  <c r="C377" i="9"/>
  <c r="R376" i="9"/>
  <c r="N376" i="9"/>
  <c r="C376" i="9"/>
  <c r="R375" i="9"/>
  <c r="Q375" i="9" s="1"/>
  <c r="N375" i="9"/>
  <c r="J375" i="9"/>
  <c r="C375" i="9"/>
  <c r="R374" i="9"/>
  <c r="N374" i="9"/>
  <c r="C374" i="9"/>
  <c r="R373" i="9"/>
  <c r="Q373" i="9" s="1"/>
  <c r="N373" i="9"/>
  <c r="C373" i="9"/>
  <c r="R372" i="9"/>
  <c r="N372" i="9"/>
  <c r="C372" i="9"/>
  <c r="R371" i="9"/>
  <c r="Q371" i="9" s="1"/>
  <c r="N371" i="9"/>
  <c r="J371" i="9"/>
  <c r="C371" i="9"/>
  <c r="R370" i="9"/>
  <c r="N370" i="9"/>
  <c r="C370" i="9"/>
  <c r="R369" i="9"/>
  <c r="Q369" i="9" s="1"/>
  <c r="N369" i="9"/>
  <c r="C369" i="9"/>
  <c r="R368" i="9"/>
  <c r="N368" i="9"/>
  <c r="C368" i="9"/>
  <c r="R367" i="9"/>
  <c r="Q367" i="9" s="1"/>
  <c r="N367" i="9"/>
  <c r="J367" i="9"/>
  <c r="C367" i="9"/>
  <c r="R366" i="9"/>
  <c r="N366" i="9"/>
  <c r="C366" i="9"/>
  <c r="R365" i="9"/>
  <c r="Q365" i="9" s="1"/>
  <c r="N365" i="9"/>
  <c r="C365" i="9"/>
  <c r="R364" i="9"/>
  <c r="N364" i="9"/>
  <c r="C364" i="9"/>
  <c r="R363" i="9"/>
  <c r="Q363" i="9" s="1"/>
  <c r="N363" i="9"/>
  <c r="J363" i="9"/>
  <c r="C363" i="9"/>
  <c r="R362" i="9"/>
  <c r="N362" i="9"/>
  <c r="C362" i="9"/>
  <c r="R361" i="9"/>
  <c r="Q361" i="9" s="1"/>
  <c r="N361" i="9"/>
  <c r="C361" i="9"/>
  <c r="R360" i="9"/>
  <c r="N360" i="9"/>
  <c r="C360" i="9"/>
  <c r="R359" i="9"/>
  <c r="Q359" i="9" s="1"/>
  <c r="N359" i="9"/>
  <c r="J359" i="9"/>
  <c r="C359" i="9"/>
  <c r="R358" i="9"/>
  <c r="N358" i="9"/>
  <c r="C358" i="9"/>
  <c r="R357" i="9"/>
  <c r="Q357" i="9" s="1"/>
  <c r="N357" i="9"/>
  <c r="C357" i="9"/>
  <c r="R356" i="9"/>
  <c r="N356" i="9"/>
  <c r="C356" i="9"/>
  <c r="R355" i="9"/>
  <c r="Q355" i="9" s="1"/>
  <c r="N355" i="9"/>
  <c r="J355" i="9"/>
  <c r="C355" i="9"/>
  <c r="R354" i="9"/>
  <c r="N354" i="9"/>
  <c r="C354" i="9"/>
  <c r="R353" i="9"/>
  <c r="Q353" i="9" s="1"/>
  <c r="N353" i="9"/>
  <c r="C353" i="9"/>
  <c r="R352" i="9"/>
  <c r="N352" i="9"/>
  <c r="C352" i="9"/>
  <c r="R351" i="9"/>
  <c r="Q351" i="9" s="1"/>
  <c r="N351" i="9"/>
  <c r="J351" i="9"/>
  <c r="C351" i="9"/>
  <c r="R350" i="9"/>
  <c r="N350" i="9"/>
  <c r="C350" i="9"/>
  <c r="R349" i="9"/>
  <c r="Q349" i="9" s="1"/>
  <c r="N349" i="9"/>
  <c r="C349" i="9"/>
  <c r="R348" i="9"/>
  <c r="N348" i="9"/>
  <c r="C348" i="9"/>
  <c r="R347" i="9"/>
  <c r="Q347" i="9" s="1"/>
  <c r="N347" i="9"/>
  <c r="J347" i="9"/>
  <c r="C347" i="9"/>
  <c r="R346" i="9"/>
  <c r="N346" i="9"/>
  <c r="C346" i="9"/>
  <c r="R345" i="9"/>
  <c r="Q345" i="9" s="1"/>
  <c r="N345" i="9"/>
  <c r="C345" i="9"/>
  <c r="R344" i="9"/>
  <c r="N344" i="9"/>
  <c r="C344" i="9"/>
  <c r="R343" i="9"/>
  <c r="Q343" i="9" s="1"/>
  <c r="N343" i="9"/>
  <c r="J343" i="9"/>
  <c r="C343" i="9"/>
  <c r="R342" i="9"/>
  <c r="N342" i="9"/>
  <c r="C342" i="9"/>
  <c r="R341" i="9"/>
  <c r="Q341" i="9" s="1"/>
  <c r="N341" i="9"/>
  <c r="C341" i="9"/>
  <c r="R340" i="9"/>
  <c r="N340" i="9"/>
  <c r="C340" i="9"/>
  <c r="R339" i="9"/>
  <c r="Q339" i="9" s="1"/>
  <c r="N339" i="9"/>
  <c r="J339" i="9"/>
  <c r="C339" i="9"/>
  <c r="R338" i="9"/>
  <c r="N338" i="9"/>
  <c r="C338" i="9"/>
  <c r="R337" i="9"/>
  <c r="Q337" i="9" s="1"/>
  <c r="N337" i="9"/>
  <c r="C337" i="9"/>
  <c r="R336" i="9"/>
  <c r="N336" i="9"/>
  <c r="C336" i="9"/>
  <c r="R335" i="9"/>
  <c r="Q335" i="9" s="1"/>
  <c r="N335" i="9"/>
  <c r="J335" i="9"/>
  <c r="C335" i="9"/>
  <c r="R334" i="9"/>
  <c r="N334" i="9"/>
  <c r="C334" i="9"/>
  <c r="R333" i="9"/>
  <c r="Q333" i="9" s="1"/>
  <c r="N333" i="9"/>
  <c r="C333" i="9"/>
  <c r="R332" i="9"/>
  <c r="N332" i="9"/>
  <c r="C332" i="9"/>
  <c r="R331" i="9"/>
  <c r="Q331" i="9" s="1"/>
  <c r="N331" i="9"/>
  <c r="J331" i="9"/>
  <c r="C331" i="9"/>
  <c r="R330" i="9"/>
  <c r="N330" i="9"/>
  <c r="C330" i="9"/>
  <c r="R329" i="9"/>
  <c r="Q329" i="9" s="1"/>
  <c r="N329" i="9"/>
  <c r="C329" i="9"/>
  <c r="R328" i="9"/>
  <c r="N328" i="9"/>
  <c r="C328" i="9"/>
  <c r="R327" i="9"/>
  <c r="Q327" i="9" s="1"/>
  <c r="N327" i="9"/>
  <c r="J327" i="9"/>
  <c r="C327" i="9"/>
  <c r="R326" i="9"/>
  <c r="N326" i="9"/>
  <c r="C326" i="9"/>
  <c r="R325" i="9"/>
  <c r="Q325" i="9" s="1"/>
  <c r="N325" i="9"/>
  <c r="C325" i="9"/>
  <c r="R324" i="9"/>
  <c r="N324" i="9"/>
  <c r="C324" i="9"/>
  <c r="R323" i="9"/>
  <c r="Q323" i="9" s="1"/>
  <c r="N323" i="9"/>
  <c r="J323" i="9"/>
  <c r="C323" i="9"/>
  <c r="R322" i="9"/>
  <c r="N322" i="9"/>
  <c r="C322" i="9"/>
  <c r="R321" i="9"/>
  <c r="Q321" i="9" s="1"/>
  <c r="N321" i="9"/>
  <c r="C321" i="9"/>
  <c r="R320" i="9"/>
  <c r="N320" i="9"/>
  <c r="C320" i="9"/>
  <c r="R319" i="9"/>
  <c r="Q319" i="9" s="1"/>
  <c r="N319" i="9"/>
  <c r="J319" i="9"/>
  <c r="C319" i="9"/>
  <c r="R318" i="9"/>
  <c r="N318" i="9"/>
  <c r="C318" i="9"/>
  <c r="R317" i="9"/>
  <c r="Q317" i="9" s="1"/>
  <c r="N317" i="9"/>
  <c r="C317" i="9"/>
  <c r="R316" i="9"/>
  <c r="N316" i="9"/>
  <c r="C316" i="9"/>
  <c r="R315" i="9"/>
  <c r="Q315" i="9" s="1"/>
  <c r="N315" i="9"/>
  <c r="J315" i="9"/>
  <c r="C315" i="9"/>
  <c r="R314" i="9"/>
  <c r="N314" i="9"/>
  <c r="C314" i="9"/>
  <c r="R313" i="9"/>
  <c r="Q313" i="9" s="1"/>
  <c r="N313" i="9"/>
  <c r="C313" i="9"/>
  <c r="R312" i="9"/>
  <c r="N312" i="9"/>
  <c r="C312" i="9"/>
  <c r="R311" i="9"/>
  <c r="Q311" i="9" s="1"/>
  <c r="N311" i="9"/>
  <c r="J311" i="9"/>
  <c r="C311" i="9"/>
  <c r="R310" i="9"/>
  <c r="N310" i="9"/>
  <c r="C310" i="9"/>
  <c r="R309" i="9"/>
  <c r="Q309" i="9" s="1"/>
  <c r="N309" i="9"/>
  <c r="C309" i="9"/>
  <c r="R308" i="9"/>
  <c r="N308" i="9"/>
  <c r="C308" i="9"/>
  <c r="R307" i="9"/>
  <c r="Q307" i="9" s="1"/>
  <c r="N307" i="9"/>
  <c r="J307" i="9"/>
  <c r="C307" i="9"/>
  <c r="R306" i="9"/>
  <c r="N306" i="9"/>
  <c r="C306" i="9"/>
  <c r="R305" i="9"/>
  <c r="Q305" i="9" s="1"/>
  <c r="N305" i="9"/>
  <c r="C305" i="9"/>
  <c r="R304" i="9"/>
  <c r="N304" i="9"/>
  <c r="C304" i="9"/>
  <c r="R303" i="9"/>
  <c r="Q303" i="9" s="1"/>
  <c r="N303" i="9"/>
  <c r="J303" i="9"/>
  <c r="C303" i="9"/>
  <c r="S302" i="9"/>
  <c r="T302" i="9" s="1"/>
  <c r="R302" i="9"/>
  <c r="N302" i="9"/>
  <c r="M302" i="9"/>
  <c r="L302" i="9"/>
  <c r="I302" i="9"/>
  <c r="C302" i="9"/>
  <c r="R301" i="9"/>
  <c r="N301" i="9"/>
  <c r="C301" i="9"/>
  <c r="R300" i="9"/>
  <c r="S300" i="9" s="1"/>
  <c r="T300" i="9" s="1"/>
  <c r="N300" i="9"/>
  <c r="M300" i="9"/>
  <c r="I300" i="9"/>
  <c r="C300" i="9"/>
  <c r="R299" i="9"/>
  <c r="Q299" i="9" s="1"/>
  <c r="N299" i="9"/>
  <c r="C299" i="9"/>
  <c r="S298" i="9"/>
  <c r="T298" i="9" s="1"/>
  <c r="R298" i="9"/>
  <c r="N298" i="9"/>
  <c r="I298" i="9"/>
  <c r="L298" i="9" s="1"/>
  <c r="C298" i="9"/>
  <c r="R297" i="9"/>
  <c r="Q297" i="9" s="1"/>
  <c r="N297" i="9"/>
  <c r="J297" i="9"/>
  <c r="C297" i="9"/>
  <c r="R296" i="9"/>
  <c r="N296" i="9"/>
  <c r="C296" i="9"/>
  <c r="R295" i="9"/>
  <c r="Q295" i="9" s="1"/>
  <c r="N295" i="9"/>
  <c r="C295" i="9"/>
  <c r="S294" i="9"/>
  <c r="T294" i="9" s="1"/>
  <c r="R294" i="9"/>
  <c r="N294" i="9"/>
  <c r="M294" i="9"/>
  <c r="L294" i="9"/>
  <c r="I294" i="9"/>
  <c r="C294" i="9"/>
  <c r="R293" i="9"/>
  <c r="N293" i="9"/>
  <c r="C293" i="9"/>
  <c r="R292" i="9"/>
  <c r="S292" i="9" s="1"/>
  <c r="T292" i="9" s="1"/>
  <c r="N292" i="9"/>
  <c r="M292" i="9"/>
  <c r="I292" i="9"/>
  <c r="C292" i="9"/>
  <c r="R291" i="9"/>
  <c r="Q291" i="9" s="1"/>
  <c r="N291" i="9"/>
  <c r="C291" i="9"/>
  <c r="S290" i="9"/>
  <c r="T290" i="9" s="1"/>
  <c r="R290" i="9"/>
  <c r="N290" i="9"/>
  <c r="I290" i="9"/>
  <c r="L290" i="9" s="1"/>
  <c r="C290" i="9"/>
  <c r="R289" i="9"/>
  <c r="Q289" i="9" s="1"/>
  <c r="N289" i="9"/>
  <c r="J289" i="9"/>
  <c r="C289" i="9"/>
  <c r="R288" i="9"/>
  <c r="N288" i="9"/>
  <c r="C288" i="9"/>
  <c r="R287" i="9"/>
  <c r="Q287" i="9" s="1"/>
  <c r="N287" i="9"/>
  <c r="C287" i="9"/>
  <c r="S286" i="9"/>
  <c r="T286" i="9" s="1"/>
  <c r="R286" i="9"/>
  <c r="N286" i="9"/>
  <c r="M286" i="9"/>
  <c r="L286" i="9"/>
  <c r="I286" i="9"/>
  <c r="C286" i="9"/>
  <c r="R285" i="9"/>
  <c r="N285" i="9"/>
  <c r="C285" i="9"/>
  <c r="R284" i="9"/>
  <c r="S284" i="9" s="1"/>
  <c r="T284" i="9" s="1"/>
  <c r="N284" i="9"/>
  <c r="M284" i="9"/>
  <c r="I284" i="9"/>
  <c r="C284" i="9"/>
  <c r="R283" i="9"/>
  <c r="Q283" i="9" s="1"/>
  <c r="N283" i="9"/>
  <c r="C283" i="9"/>
  <c r="S282" i="9"/>
  <c r="T282" i="9" s="1"/>
  <c r="R282" i="9"/>
  <c r="Q282" i="9"/>
  <c r="N282" i="9"/>
  <c r="M282" i="9"/>
  <c r="J282" i="9"/>
  <c r="I282" i="9"/>
  <c r="L282" i="9" s="1"/>
  <c r="C282" i="9"/>
  <c r="S281" i="9"/>
  <c r="R281" i="9"/>
  <c r="Q281" i="9"/>
  <c r="N281" i="9"/>
  <c r="J281" i="9"/>
  <c r="C281" i="9"/>
  <c r="S280" i="9"/>
  <c r="T280" i="9" s="1"/>
  <c r="R280" i="9"/>
  <c r="Q280" i="9"/>
  <c r="N280" i="9"/>
  <c r="J280" i="9"/>
  <c r="I280" i="9"/>
  <c r="L280" i="9" s="1"/>
  <c r="C280" i="9"/>
  <c r="S279" i="9"/>
  <c r="R279" i="9"/>
  <c r="Q279" i="9"/>
  <c r="N279" i="9"/>
  <c r="J279" i="9"/>
  <c r="C279" i="9"/>
  <c r="S278" i="9"/>
  <c r="T278" i="9" s="1"/>
  <c r="R278" i="9"/>
  <c r="Q278" i="9"/>
  <c r="N278" i="9"/>
  <c r="M278" i="9"/>
  <c r="J278" i="9"/>
  <c r="I278" i="9"/>
  <c r="L278" i="9" s="1"/>
  <c r="C278" i="9"/>
  <c r="S277" i="9"/>
  <c r="R277" i="9"/>
  <c r="Q277" i="9"/>
  <c r="N277" i="9"/>
  <c r="J277" i="9"/>
  <c r="C277" i="9"/>
  <c r="S276" i="9"/>
  <c r="T276" i="9" s="1"/>
  <c r="R276" i="9"/>
  <c r="Q276" i="9"/>
  <c r="N276" i="9"/>
  <c r="J276" i="9"/>
  <c r="I276" i="9"/>
  <c r="L276" i="9" s="1"/>
  <c r="C276" i="9"/>
  <c r="S275" i="9"/>
  <c r="R275" i="9"/>
  <c r="Q275" i="9"/>
  <c r="N275" i="9"/>
  <c r="J275" i="9"/>
  <c r="C275" i="9"/>
  <c r="S274" i="9"/>
  <c r="T274" i="9" s="1"/>
  <c r="R274" i="9"/>
  <c r="Q274" i="9"/>
  <c r="N274" i="9"/>
  <c r="M274" i="9"/>
  <c r="J274" i="9"/>
  <c r="I274" i="9"/>
  <c r="L274" i="9" s="1"/>
  <c r="C274" i="9"/>
  <c r="S273" i="9"/>
  <c r="R273" i="9"/>
  <c r="Q273" i="9"/>
  <c r="N273" i="9"/>
  <c r="J273" i="9"/>
  <c r="C273" i="9"/>
  <c r="S272" i="9"/>
  <c r="R272" i="9"/>
  <c r="Q272" i="9"/>
  <c r="N272" i="9"/>
  <c r="J272" i="9"/>
  <c r="C272" i="9"/>
  <c r="S271" i="9"/>
  <c r="T271" i="9" s="1"/>
  <c r="R271" i="9"/>
  <c r="Q271" i="9"/>
  <c r="N271" i="9"/>
  <c r="M271" i="9"/>
  <c r="J271" i="9"/>
  <c r="I271" i="9"/>
  <c r="L271" i="9" s="1"/>
  <c r="C271" i="9"/>
  <c r="R270" i="9"/>
  <c r="J270" i="9" s="1"/>
  <c r="N270" i="9"/>
  <c r="C270" i="9"/>
  <c r="S269" i="9"/>
  <c r="T269" i="9" s="1"/>
  <c r="R269" i="9"/>
  <c r="N269" i="9"/>
  <c r="J269" i="9"/>
  <c r="C269" i="9"/>
  <c r="R268" i="9"/>
  <c r="J268" i="9" s="1"/>
  <c r="N268" i="9"/>
  <c r="C268" i="9"/>
  <c r="S267" i="9"/>
  <c r="T267" i="9" s="1"/>
  <c r="R267" i="9"/>
  <c r="Q267" i="9"/>
  <c r="N267" i="9"/>
  <c r="J267" i="9"/>
  <c r="I267" i="9"/>
  <c r="L267" i="9" s="1"/>
  <c r="C267" i="9"/>
  <c r="R266" i="9"/>
  <c r="Q266" i="9" s="1"/>
  <c r="N266" i="9"/>
  <c r="J266" i="9"/>
  <c r="C266" i="9"/>
  <c r="R265" i="9"/>
  <c r="Q265" i="9"/>
  <c r="N265" i="9"/>
  <c r="J265" i="9"/>
  <c r="I265" i="9"/>
  <c r="L265" i="9" s="1"/>
  <c r="C265" i="9"/>
  <c r="R264" i="9"/>
  <c r="Q264" i="9"/>
  <c r="N264" i="9"/>
  <c r="J264" i="9"/>
  <c r="C264" i="9"/>
  <c r="S263" i="9"/>
  <c r="T263" i="9" s="1"/>
  <c r="R263" i="9"/>
  <c r="Q263" i="9"/>
  <c r="N263" i="9"/>
  <c r="J263" i="9"/>
  <c r="I263" i="9"/>
  <c r="L263" i="9" s="1"/>
  <c r="C263" i="9"/>
  <c r="R262" i="9"/>
  <c r="J262" i="9" s="1"/>
  <c r="N262" i="9"/>
  <c r="C262" i="9"/>
  <c r="S261" i="9"/>
  <c r="T261" i="9" s="1"/>
  <c r="R261" i="9"/>
  <c r="N261" i="9"/>
  <c r="J261" i="9"/>
  <c r="C261" i="9"/>
  <c r="R260" i="9"/>
  <c r="Q260" i="9" s="1"/>
  <c r="N260" i="9"/>
  <c r="C260" i="9"/>
  <c r="S259" i="9"/>
  <c r="T259" i="9" s="1"/>
  <c r="R259" i="9"/>
  <c r="Q259" i="9"/>
  <c r="N259" i="9"/>
  <c r="M259" i="9"/>
  <c r="J259" i="9"/>
  <c r="I259" i="9"/>
  <c r="L259" i="9" s="1"/>
  <c r="C259" i="9"/>
  <c r="R258" i="9"/>
  <c r="Q258" i="9" s="1"/>
  <c r="N258" i="9"/>
  <c r="C258" i="9"/>
  <c r="R257" i="9"/>
  <c r="Q257" i="9"/>
  <c r="N257" i="9"/>
  <c r="J257" i="9"/>
  <c r="I257" i="9"/>
  <c r="L257" i="9" s="1"/>
  <c r="C257" i="9"/>
  <c r="R256" i="9"/>
  <c r="Q256" i="9"/>
  <c r="N256" i="9"/>
  <c r="J256" i="9"/>
  <c r="C256" i="9"/>
  <c r="S255" i="9"/>
  <c r="T255" i="9" s="1"/>
  <c r="R255" i="9"/>
  <c r="Q255" i="9"/>
  <c r="N255" i="9"/>
  <c r="M255" i="9"/>
  <c r="J255" i="9"/>
  <c r="I255" i="9"/>
  <c r="L255" i="9" s="1"/>
  <c r="C255" i="9"/>
  <c r="R254" i="9"/>
  <c r="J254" i="9" s="1"/>
  <c r="N254" i="9"/>
  <c r="C254" i="9"/>
  <c r="S253" i="9"/>
  <c r="T253" i="9" s="1"/>
  <c r="R253" i="9"/>
  <c r="N253" i="9"/>
  <c r="J253" i="9"/>
  <c r="C253" i="9"/>
  <c r="R252" i="9"/>
  <c r="J252" i="9" s="1"/>
  <c r="N252" i="9"/>
  <c r="C252" i="9"/>
  <c r="S251" i="9"/>
  <c r="T251" i="9" s="1"/>
  <c r="R251" i="9"/>
  <c r="Q251" i="9"/>
  <c r="N251" i="9"/>
  <c r="J251" i="9"/>
  <c r="I251" i="9"/>
  <c r="L251" i="9" s="1"/>
  <c r="C251" i="9"/>
  <c r="R250" i="9"/>
  <c r="Q250" i="9" s="1"/>
  <c r="N250" i="9"/>
  <c r="J250" i="9"/>
  <c r="C250" i="9"/>
  <c r="R249" i="9"/>
  <c r="Q249" i="9"/>
  <c r="N249" i="9"/>
  <c r="J249" i="9"/>
  <c r="I249" i="9"/>
  <c r="L249" i="9" s="1"/>
  <c r="C249" i="9"/>
  <c r="R248" i="9"/>
  <c r="Q248" i="9"/>
  <c r="N248" i="9"/>
  <c r="J248" i="9"/>
  <c r="C248" i="9"/>
  <c r="S247" i="9"/>
  <c r="T247" i="9" s="1"/>
  <c r="R247" i="9"/>
  <c r="Q247" i="9"/>
  <c r="N247" i="9"/>
  <c r="J247" i="9"/>
  <c r="I247" i="9"/>
  <c r="L247" i="9" s="1"/>
  <c r="C247" i="9"/>
  <c r="R246" i="9"/>
  <c r="J246" i="9" s="1"/>
  <c r="N246" i="9"/>
  <c r="C246" i="9"/>
  <c r="S245" i="9"/>
  <c r="T245" i="9" s="1"/>
  <c r="R245" i="9"/>
  <c r="N245" i="9"/>
  <c r="J245" i="9"/>
  <c r="C245" i="9"/>
  <c r="R244" i="9"/>
  <c r="Q244" i="9" s="1"/>
  <c r="N244" i="9"/>
  <c r="C244" i="9"/>
  <c r="S243" i="9"/>
  <c r="T243" i="9" s="1"/>
  <c r="R243" i="9"/>
  <c r="Q243" i="9"/>
  <c r="N243" i="9"/>
  <c r="M243" i="9"/>
  <c r="J243" i="9"/>
  <c r="I243" i="9"/>
  <c r="L243" i="9" s="1"/>
  <c r="C243" i="9"/>
  <c r="R242" i="9"/>
  <c r="Q242" i="9" s="1"/>
  <c r="N242" i="9"/>
  <c r="C242" i="9"/>
  <c r="R241" i="9"/>
  <c r="Q241" i="9"/>
  <c r="N241" i="9"/>
  <c r="J241" i="9"/>
  <c r="I241" i="9"/>
  <c r="L241" i="9" s="1"/>
  <c r="C241" i="9"/>
  <c r="R240" i="9"/>
  <c r="Q240" i="9"/>
  <c r="N240" i="9"/>
  <c r="J240" i="9"/>
  <c r="C240" i="9"/>
  <c r="S239" i="9"/>
  <c r="T239" i="9" s="1"/>
  <c r="R239" i="9"/>
  <c r="Q239" i="9"/>
  <c r="N239" i="9"/>
  <c r="M239" i="9"/>
  <c r="J239" i="9"/>
  <c r="I239" i="9"/>
  <c r="L239" i="9" s="1"/>
  <c r="C239" i="9"/>
  <c r="R238" i="9"/>
  <c r="N238" i="9"/>
  <c r="C238" i="9"/>
  <c r="S237" i="9"/>
  <c r="T237" i="9" s="1"/>
  <c r="R237" i="9"/>
  <c r="N237" i="9"/>
  <c r="J237" i="9"/>
  <c r="C237" i="9"/>
  <c r="R236" i="9"/>
  <c r="J236" i="9" s="1"/>
  <c r="N236" i="9"/>
  <c r="C236" i="9"/>
  <c r="S235" i="9"/>
  <c r="T235" i="9" s="1"/>
  <c r="R235" i="9"/>
  <c r="Q235" i="9"/>
  <c r="N235" i="9"/>
  <c r="J235" i="9"/>
  <c r="I235" i="9"/>
  <c r="L235" i="9" s="1"/>
  <c r="C235" i="9"/>
  <c r="R234" i="9"/>
  <c r="Q234" i="9" s="1"/>
  <c r="N234" i="9"/>
  <c r="J234" i="9"/>
  <c r="C234" i="9"/>
  <c r="R233" i="9"/>
  <c r="Q233" i="9"/>
  <c r="N233" i="9"/>
  <c r="J233" i="9"/>
  <c r="I233" i="9"/>
  <c r="L233" i="9" s="1"/>
  <c r="C233" i="9"/>
  <c r="R232" i="9"/>
  <c r="Q232" i="9"/>
  <c r="N232" i="9"/>
  <c r="J232" i="9"/>
  <c r="C232" i="9"/>
  <c r="S231" i="9"/>
  <c r="T231" i="9" s="1"/>
  <c r="R231" i="9"/>
  <c r="Q231" i="9"/>
  <c r="N231" i="9"/>
  <c r="J231" i="9"/>
  <c r="I231" i="9"/>
  <c r="C231" i="9"/>
  <c r="R230" i="9"/>
  <c r="J230" i="9" s="1"/>
  <c r="N230" i="9"/>
  <c r="C230" i="9"/>
  <c r="S229" i="9"/>
  <c r="T229" i="9" s="1"/>
  <c r="R229" i="9"/>
  <c r="N229" i="9"/>
  <c r="J229" i="9"/>
  <c r="C229" i="9"/>
  <c r="R228" i="9"/>
  <c r="N228" i="9"/>
  <c r="C228" i="9"/>
  <c r="S227" i="9"/>
  <c r="T227" i="9" s="1"/>
  <c r="R227" i="9"/>
  <c r="Q227" i="9"/>
  <c r="N227" i="9"/>
  <c r="J227" i="9"/>
  <c r="I227" i="9"/>
  <c r="C227" i="9"/>
  <c r="R226" i="9"/>
  <c r="N226" i="9"/>
  <c r="C226" i="9"/>
  <c r="S225" i="9"/>
  <c r="T225" i="9" s="1"/>
  <c r="R225" i="9"/>
  <c r="Q225" i="9"/>
  <c r="N225" i="9"/>
  <c r="J225" i="9"/>
  <c r="I225" i="9"/>
  <c r="L225" i="9" s="1"/>
  <c r="C225" i="9"/>
  <c r="R224" i="9"/>
  <c r="J224" i="9" s="1"/>
  <c r="N224" i="9"/>
  <c r="C224" i="9"/>
  <c r="S223" i="9"/>
  <c r="T223" i="9" s="1"/>
  <c r="R223" i="9"/>
  <c r="Q223" i="9"/>
  <c r="N223" i="9"/>
  <c r="M223" i="9"/>
  <c r="J223" i="9"/>
  <c r="I223" i="9"/>
  <c r="L223" i="9" s="1"/>
  <c r="C223" i="9"/>
  <c r="R222" i="9"/>
  <c r="Q222" i="9" s="1"/>
  <c r="N222" i="9"/>
  <c r="C222" i="9"/>
  <c r="S221" i="9"/>
  <c r="T221" i="9" s="1"/>
  <c r="R221" i="9"/>
  <c r="Q221" i="9"/>
  <c r="N221" i="9"/>
  <c r="J221" i="9"/>
  <c r="I221" i="9"/>
  <c r="C221" i="9"/>
  <c r="R220" i="9"/>
  <c r="Q220" i="9"/>
  <c r="N220" i="9"/>
  <c r="J220" i="9"/>
  <c r="C220" i="9"/>
  <c r="R219" i="9"/>
  <c r="Q219" i="9"/>
  <c r="N219" i="9"/>
  <c r="I219" i="9"/>
  <c r="C219" i="9"/>
  <c r="R218" i="9"/>
  <c r="Q218" i="9" s="1"/>
  <c r="N218" i="9"/>
  <c r="J218" i="9"/>
  <c r="C218" i="9"/>
  <c r="S217" i="9"/>
  <c r="T217" i="9" s="1"/>
  <c r="R217" i="9"/>
  <c r="Q217" i="9"/>
  <c r="N217" i="9"/>
  <c r="J217" i="9"/>
  <c r="I217" i="9"/>
  <c r="C217" i="9"/>
  <c r="R216" i="9"/>
  <c r="N216" i="9"/>
  <c r="C216" i="9"/>
  <c r="R215" i="9"/>
  <c r="N215" i="9"/>
  <c r="C215" i="9"/>
  <c r="R214" i="9"/>
  <c r="N214" i="9"/>
  <c r="C214" i="9"/>
  <c r="T213" i="9"/>
  <c r="S213" i="9"/>
  <c r="R213" i="9"/>
  <c r="Q213" i="9"/>
  <c r="N213" i="9"/>
  <c r="J213" i="9"/>
  <c r="I213" i="9"/>
  <c r="C213" i="9"/>
  <c r="R212" i="9"/>
  <c r="N212" i="9"/>
  <c r="C212" i="9"/>
  <c r="R211" i="9"/>
  <c r="N211" i="9"/>
  <c r="C211" i="9"/>
  <c r="R210" i="9"/>
  <c r="Q210" i="9" s="1"/>
  <c r="N210" i="9"/>
  <c r="C210" i="9"/>
  <c r="R209" i="9"/>
  <c r="I209" i="9" s="1"/>
  <c r="L209" i="9" s="1"/>
  <c r="N209" i="9"/>
  <c r="C209" i="9"/>
  <c r="R208" i="9"/>
  <c r="N208" i="9"/>
  <c r="J208" i="9"/>
  <c r="C208" i="9"/>
  <c r="R207" i="9"/>
  <c r="I207" i="9" s="1"/>
  <c r="L207" i="9" s="1"/>
  <c r="N207" i="9"/>
  <c r="C207" i="9"/>
  <c r="R206" i="9"/>
  <c r="Q206" i="9" s="1"/>
  <c r="N206" i="9"/>
  <c r="C206" i="9"/>
  <c r="S205" i="9"/>
  <c r="T205" i="9" s="1"/>
  <c r="R205" i="9"/>
  <c r="Q205" i="9"/>
  <c r="N205" i="9"/>
  <c r="J205" i="9"/>
  <c r="I205" i="9"/>
  <c r="C205" i="9"/>
  <c r="R204" i="9"/>
  <c r="Q204" i="9"/>
  <c r="N204" i="9"/>
  <c r="J204" i="9"/>
  <c r="C204" i="9"/>
  <c r="R203" i="9"/>
  <c r="I203" i="9" s="1"/>
  <c r="N203" i="9"/>
  <c r="C203" i="9"/>
  <c r="R202" i="9"/>
  <c r="Q202" i="9" s="1"/>
  <c r="N202" i="9"/>
  <c r="C202" i="9"/>
  <c r="S201" i="9"/>
  <c r="T201" i="9" s="1"/>
  <c r="R201" i="9"/>
  <c r="Q201" i="9"/>
  <c r="N201" i="9"/>
  <c r="M201" i="9"/>
  <c r="J201" i="9"/>
  <c r="I201" i="9"/>
  <c r="L201" i="9" s="1"/>
  <c r="C201" i="9"/>
  <c r="R200" i="9"/>
  <c r="N200" i="9"/>
  <c r="C200" i="9"/>
  <c r="R199" i="9"/>
  <c r="N199" i="9"/>
  <c r="C199" i="9"/>
  <c r="R198" i="9"/>
  <c r="N198" i="9"/>
  <c r="C198" i="9"/>
  <c r="S197" i="9"/>
  <c r="T197" i="9" s="1"/>
  <c r="R197" i="9"/>
  <c r="Q197" i="9"/>
  <c r="N197" i="9"/>
  <c r="J197" i="9"/>
  <c r="I197" i="9"/>
  <c r="L197" i="9" s="1"/>
  <c r="C197" i="9"/>
  <c r="S196" i="9"/>
  <c r="R196" i="9"/>
  <c r="Q196" i="9" s="1"/>
  <c r="N196" i="9"/>
  <c r="C196" i="9"/>
  <c r="R195" i="9"/>
  <c r="N195" i="9"/>
  <c r="C195" i="9"/>
  <c r="S194" i="9"/>
  <c r="R194" i="9"/>
  <c r="Q194" i="9"/>
  <c r="N194" i="9"/>
  <c r="J194" i="9"/>
  <c r="C194" i="9"/>
  <c r="R193" i="9"/>
  <c r="N193" i="9"/>
  <c r="I193" i="9"/>
  <c r="C193" i="9"/>
  <c r="R192" i="9"/>
  <c r="N192" i="9"/>
  <c r="C192" i="9"/>
  <c r="R191" i="9"/>
  <c r="N191" i="9"/>
  <c r="J191" i="9"/>
  <c r="C191" i="9"/>
  <c r="R190" i="9"/>
  <c r="N190" i="9"/>
  <c r="C190" i="9"/>
  <c r="S189" i="9"/>
  <c r="T189" i="9" s="1"/>
  <c r="R189" i="9"/>
  <c r="Q189" i="9"/>
  <c r="N189" i="9"/>
  <c r="M189" i="9"/>
  <c r="J189" i="9"/>
  <c r="I189" i="9"/>
  <c r="L189" i="9" s="1"/>
  <c r="C189" i="9"/>
  <c r="S188" i="9"/>
  <c r="R188" i="9"/>
  <c r="Q188" i="9" s="1"/>
  <c r="N188" i="9"/>
  <c r="C188" i="9"/>
  <c r="R187" i="9"/>
  <c r="N187" i="9"/>
  <c r="I187" i="9"/>
  <c r="C187" i="9"/>
  <c r="S186" i="9"/>
  <c r="R186" i="9"/>
  <c r="Q186" i="9"/>
  <c r="N186" i="9"/>
  <c r="J186" i="9"/>
  <c r="C186" i="9"/>
  <c r="R185" i="9"/>
  <c r="I185" i="9" s="1"/>
  <c r="N185" i="9"/>
  <c r="C185" i="9"/>
  <c r="R184" i="9"/>
  <c r="Q184" i="9" s="1"/>
  <c r="N184" i="9"/>
  <c r="C184" i="9"/>
  <c r="S183" i="9"/>
  <c r="T183" i="9" s="1"/>
  <c r="R183" i="9"/>
  <c r="Q183" i="9"/>
  <c r="N183" i="9"/>
  <c r="M183" i="9"/>
  <c r="J183" i="9"/>
  <c r="I183" i="9"/>
  <c r="L183" i="9" s="1"/>
  <c r="C183" i="9"/>
  <c r="S182" i="9"/>
  <c r="R182" i="9"/>
  <c r="Q182" i="9"/>
  <c r="N182" i="9"/>
  <c r="J182" i="9"/>
  <c r="C182" i="9"/>
  <c r="R181" i="9"/>
  <c r="N181" i="9"/>
  <c r="C181" i="9"/>
  <c r="R180" i="9"/>
  <c r="N180" i="9"/>
  <c r="C180" i="9"/>
  <c r="S179" i="9"/>
  <c r="T179" i="9" s="1"/>
  <c r="R179" i="9"/>
  <c r="Q179" i="9"/>
  <c r="N179" i="9"/>
  <c r="J179" i="9"/>
  <c r="I179" i="9"/>
  <c r="L179" i="9" s="1"/>
  <c r="C179" i="9"/>
  <c r="S178" i="9"/>
  <c r="R178" i="9"/>
  <c r="Q178" i="9"/>
  <c r="N178" i="9"/>
  <c r="J178" i="9"/>
  <c r="C178" i="9"/>
  <c r="R177" i="9"/>
  <c r="N177" i="9"/>
  <c r="I177" i="9"/>
  <c r="C177" i="9"/>
  <c r="R176" i="9"/>
  <c r="N176" i="9"/>
  <c r="C176" i="9"/>
  <c r="R175" i="9"/>
  <c r="N175" i="9"/>
  <c r="C175" i="9"/>
  <c r="R174" i="9"/>
  <c r="Q174" i="9" s="1"/>
  <c r="N174" i="9"/>
  <c r="C174" i="9"/>
  <c r="S173" i="9"/>
  <c r="T173" i="9" s="1"/>
  <c r="R173" i="9"/>
  <c r="Q173" i="9"/>
  <c r="N173" i="9"/>
  <c r="M173" i="9"/>
  <c r="J173" i="9"/>
  <c r="I173" i="9"/>
  <c r="L173" i="9" s="1"/>
  <c r="C173" i="9"/>
  <c r="R172" i="9"/>
  <c r="N172" i="9"/>
  <c r="C172" i="9"/>
  <c r="R171" i="9"/>
  <c r="Q171" i="9" s="1"/>
  <c r="N171" i="9"/>
  <c r="C171" i="9"/>
  <c r="R170" i="9"/>
  <c r="N170" i="9"/>
  <c r="C170" i="9"/>
  <c r="S169" i="9"/>
  <c r="R169" i="9"/>
  <c r="Q169" i="9"/>
  <c r="N169" i="9"/>
  <c r="J169" i="9"/>
  <c r="C169" i="9"/>
  <c r="R168" i="9"/>
  <c r="N168" i="9"/>
  <c r="J168" i="9"/>
  <c r="C168" i="9"/>
  <c r="R167" i="9"/>
  <c r="Q167" i="9" s="1"/>
  <c r="N167" i="9"/>
  <c r="C167" i="9"/>
  <c r="R166" i="9"/>
  <c r="Q166" i="9"/>
  <c r="N166" i="9"/>
  <c r="I166" i="9"/>
  <c r="L166" i="9" s="1"/>
  <c r="C166" i="9"/>
  <c r="R165" i="9"/>
  <c r="N165" i="9"/>
  <c r="C165" i="9"/>
  <c r="T164" i="9"/>
  <c r="R164" i="9"/>
  <c r="S164" i="9" s="1"/>
  <c r="Q164" i="9"/>
  <c r="N164" i="9"/>
  <c r="I164" i="9"/>
  <c r="L164" i="9" s="1"/>
  <c r="C164" i="9"/>
  <c r="R163" i="9"/>
  <c r="Q163" i="9" s="1"/>
  <c r="N163" i="9"/>
  <c r="C163" i="9"/>
  <c r="R162" i="9"/>
  <c r="Q162" i="9" s="1"/>
  <c r="N162" i="9"/>
  <c r="C162" i="9"/>
  <c r="R161" i="9"/>
  <c r="Q161" i="9" s="1"/>
  <c r="N161" i="9"/>
  <c r="C161" i="9"/>
  <c r="T160" i="9"/>
  <c r="R160" i="9"/>
  <c r="S160" i="9" s="1"/>
  <c r="Q160" i="9"/>
  <c r="N160" i="9"/>
  <c r="J160" i="9"/>
  <c r="I160" i="9"/>
  <c r="L160" i="9" s="1"/>
  <c r="C160" i="9"/>
  <c r="R159" i="9"/>
  <c r="Q159" i="9" s="1"/>
  <c r="N159" i="9"/>
  <c r="C159" i="9"/>
  <c r="S158" i="9"/>
  <c r="T158" i="9" s="1"/>
  <c r="R158" i="9"/>
  <c r="Q158" i="9"/>
  <c r="N158" i="9"/>
  <c r="M158" i="9"/>
  <c r="J158" i="9"/>
  <c r="I158" i="9"/>
  <c r="L158" i="9" s="1"/>
  <c r="C158" i="9"/>
  <c r="S157" i="9"/>
  <c r="R157" i="9"/>
  <c r="Q157" i="9"/>
  <c r="N157" i="9"/>
  <c r="J157" i="9"/>
  <c r="C157" i="9"/>
  <c r="S156" i="9"/>
  <c r="R156" i="9"/>
  <c r="N156" i="9"/>
  <c r="J156" i="9"/>
  <c r="I156" i="9"/>
  <c r="L156" i="9" s="1"/>
  <c r="C156" i="9"/>
  <c r="R155" i="9"/>
  <c r="Q155" i="9" s="1"/>
  <c r="N155" i="9"/>
  <c r="C155" i="9"/>
  <c r="R154" i="9"/>
  <c r="Q154" i="9"/>
  <c r="N154" i="9"/>
  <c r="C154" i="9"/>
  <c r="S153" i="9"/>
  <c r="T153" i="9" s="1"/>
  <c r="R153" i="9"/>
  <c r="N153" i="9"/>
  <c r="J153" i="9"/>
  <c r="C153" i="9"/>
  <c r="R152" i="9"/>
  <c r="N152" i="9"/>
  <c r="C152" i="9"/>
  <c r="R151" i="9"/>
  <c r="S151" i="9" s="1"/>
  <c r="T151" i="9" s="1"/>
  <c r="Q151" i="9"/>
  <c r="N151" i="9"/>
  <c r="J151" i="9"/>
  <c r="I151" i="9"/>
  <c r="L151" i="9" s="1"/>
  <c r="C151" i="9"/>
  <c r="R150" i="9"/>
  <c r="Q150" i="9"/>
  <c r="N150" i="9"/>
  <c r="C150" i="9"/>
  <c r="R149" i="9"/>
  <c r="N149" i="9"/>
  <c r="C149" i="9"/>
  <c r="S148" i="9"/>
  <c r="R148" i="9"/>
  <c r="N148" i="9"/>
  <c r="J148" i="9"/>
  <c r="C148" i="9"/>
  <c r="R147" i="9"/>
  <c r="S147" i="9" s="1"/>
  <c r="T147" i="9" s="1"/>
  <c r="Q147" i="9"/>
  <c r="N147" i="9"/>
  <c r="J147" i="9"/>
  <c r="I147" i="9"/>
  <c r="L147" i="9" s="1"/>
  <c r="C147" i="9"/>
  <c r="R146" i="9"/>
  <c r="Q146" i="9"/>
  <c r="N146" i="9"/>
  <c r="C146" i="9"/>
  <c r="R145" i="9"/>
  <c r="N145" i="9"/>
  <c r="C145" i="9"/>
  <c r="S144" i="9"/>
  <c r="R144" i="9"/>
  <c r="N144" i="9"/>
  <c r="J144" i="9"/>
  <c r="C144" i="9"/>
  <c r="R143" i="9"/>
  <c r="S143" i="9" s="1"/>
  <c r="T143" i="9" s="1"/>
  <c r="Q143" i="9"/>
  <c r="N143" i="9"/>
  <c r="J143" i="9"/>
  <c r="I143" i="9"/>
  <c r="L143" i="9" s="1"/>
  <c r="C143" i="9"/>
  <c r="R142" i="9"/>
  <c r="Q142" i="9"/>
  <c r="N142" i="9"/>
  <c r="C142" i="9"/>
  <c r="S141" i="9"/>
  <c r="T141" i="9" s="1"/>
  <c r="R141" i="9"/>
  <c r="N141" i="9"/>
  <c r="J141" i="9"/>
  <c r="C141" i="9"/>
  <c r="R140" i="9"/>
  <c r="J140" i="9" s="1"/>
  <c r="N140" i="9"/>
  <c r="C140" i="9"/>
  <c r="R139" i="9"/>
  <c r="S139" i="9" s="1"/>
  <c r="T139" i="9" s="1"/>
  <c r="Q139" i="9"/>
  <c r="N139" i="9"/>
  <c r="J139" i="9"/>
  <c r="I139" i="9"/>
  <c r="L139" i="9" s="1"/>
  <c r="C139" i="9"/>
  <c r="R138" i="9"/>
  <c r="N138" i="9"/>
  <c r="C138" i="9"/>
  <c r="S137" i="9"/>
  <c r="T137" i="9" s="1"/>
  <c r="R137" i="9"/>
  <c r="N137" i="9"/>
  <c r="J137" i="9"/>
  <c r="C137" i="9"/>
  <c r="R136" i="9"/>
  <c r="N136" i="9"/>
  <c r="C136" i="9"/>
  <c r="R135" i="9"/>
  <c r="Q135" i="9" s="1"/>
  <c r="N135" i="9"/>
  <c r="I135" i="9"/>
  <c r="L135" i="9" s="1"/>
  <c r="C135" i="9"/>
  <c r="R134" i="9"/>
  <c r="Q134" i="9"/>
  <c r="N134" i="9"/>
  <c r="C134" i="9"/>
  <c r="R133" i="9"/>
  <c r="N133" i="9"/>
  <c r="C133" i="9"/>
  <c r="S132" i="9"/>
  <c r="R132" i="9"/>
  <c r="N132" i="9"/>
  <c r="J132" i="9"/>
  <c r="C132" i="9"/>
  <c r="R131" i="9"/>
  <c r="N131" i="9"/>
  <c r="J131" i="9"/>
  <c r="I131" i="9"/>
  <c r="L131" i="9" s="1"/>
  <c r="C131" i="9"/>
  <c r="R130" i="9"/>
  <c r="Q130" i="9"/>
  <c r="N130" i="9"/>
  <c r="C130" i="9"/>
  <c r="R129" i="9"/>
  <c r="N129" i="9"/>
  <c r="C129" i="9"/>
  <c r="S128" i="9"/>
  <c r="R128" i="9"/>
  <c r="N128" i="9"/>
  <c r="J128" i="9"/>
  <c r="C128" i="9"/>
  <c r="R127" i="9"/>
  <c r="Q127" i="9"/>
  <c r="N127" i="9"/>
  <c r="J127" i="9"/>
  <c r="I127" i="9"/>
  <c r="L127" i="9" s="1"/>
  <c r="C127" i="9"/>
  <c r="R126" i="9"/>
  <c r="Q126" i="9" s="1"/>
  <c r="N126" i="9"/>
  <c r="C126" i="9"/>
  <c r="S125" i="9"/>
  <c r="T125" i="9" s="1"/>
  <c r="R125" i="9"/>
  <c r="N125" i="9"/>
  <c r="J125" i="9"/>
  <c r="C125" i="9"/>
  <c r="R124" i="9"/>
  <c r="J124" i="9" s="1"/>
  <c r="N124" i="9"/>
  <c r="C124" i="9"/>
  <c r="R123" i="9"/>
  <c r="Q123" i="9"/>
  <c r="N123" i="9"/>
  <c r="I123" i="9"/>
  <c r="L123" i="9" s="1"/>
  <c r="C123" i="9"/>
  <c r="R122" i="9"/>
  <c r="N122" i="9"/>
  <c r="C122" i="9"/>
  <c r="S121" i="9"/>
  <c r="T121" i="9" s="1"/>
  <c r="R121" i="9"/>
  <c r="N121" i="9"/>
  <c r="J121" i="9"/>
  <c r="C121" i="9"/>
  <c r="R120" i="9"/>
  <c r="N120" i="9"/>
  <c r="C120" i="9"/>
  <c r="R119" i="9"/>
  <c r="Q119" i="9" s="1"/>
  <c r="N119" i="9"/>
  <c r="I119" i="9"/>
  <c r="L119" i="9" s="1"/>
  <c r="C119" i="9"/>
  <c r="R118" i="9"/>
  <c r="Q118" i="9"/>
  <c r="N118" i="9"/>
  <c r="C118" i="9"/>
  <c r="R117" i="9"/>
  <c r="N117" i="9"/>
  <c r="C117" i="9"/>
  <c r="S116" i="9"/>
  <c r="R116" i="9"/>
  <c r="N116" i="9"/>
  <c r="J116" i="9"/>
  <c r="C116" i="9"/>
  <c r="S115" i="9"/>
  <c r="T115" i="9" s="1"/>
  <c r="R115" i="9"/>
  <c r="Q115" i="9"/>
  <c r="N115" i="9"/>
  <c r="J115" i="9"/>
  <c r="I115" i="9"/>
  <c r="L115" i="9" s="1"/>
  <c r="C115" i="9"/>
  <c r="S114" i="9"/>
  <c r="R114" i="9"/>
  <c r="Q114" i="9"/>
  <c r="N114" i="9"/>
  <c r="J114" i="9"/>
  <c r="C114" i="9"/>
  <c r="R113" i="9"/>
  <c r="S113" i="9" s="1"/>
  <c r="T113" i="9" s="1"/>
  <c r="N113" i="9"/>
  <c r="J113" i="9"/>
  <c r="C113" i="9"/>
  <c r="R112" i="9"/>
  <c r="Q112" i="9" s="1"/>
  <c r="N112" i="9"/>
  <c r="C112" i="9"/>
  <c r="S111" i="9"/>
  <c r="T111" i="9" s="1"/>
  <c r="R111" i="9"/>
  <c r="Q111" i="9"/>
  <c r="N111" i="9"/>
  <c r="J111" i="9"/>
  <c r="I111" i="9"/>
  <c r="L111" i="9" s="1"/>
  <c r="C111" i="9"/>
  <c r="S110" i="9"/>
  <c r="R110" i="9"/>
  <c r="Q110" i="9"/>
  <c r="N110" i="9"/>
  <c r="J110" i="9"/>
  <c r="C110" i="9"/>
  <c r="R109" i="9"/>
  <c r="S109" i="9" s="1"/>
  <c r="T109" i="9" s="1"/>
  <c r="N109" i="9"/>
  <c r="J109" i="9"/>
  <c r="C109" i="9"/>
  <c r="R108" i="9"/>
  <c r="Q108" i="9" s="1"/>
  <c r="N108" i="9"/>
  <c r="C108" i="9"/>
  <c r="S107" i="9"/>
  <c r="T107" i="9" s="1"/>
  <c r="R107" i="9"/>
  <c r="Q107" i="9"/>
  <c r="N107" i="9"/>
  <c r="J107" i="9"/>
  <c r="I107" i="9"/>
  <c r="L107" i="9" s="1"/>
  <c r="C107" i="9"/>
  <c r="S106" i="9"/>
  <c r="R106" i="9"/>
  <c r="Q106" i="9"/>
  <c r="N106" i="9"/>
  <c r="J106" i="9"/>
  <c r="C106" i="9"/>
  <c r="R105" i="9"/>
  <c r="S105" i="9" s="1"/>
  <c r="T105" i="9" s="1"/>
  <c r="N105" i="9"/>
  <c r="J105" i="9"/>
  <c r="C105" i="9"/>
  <c r="R104" i="9"/>
  <c r="Q104" i="9" s="1"/>
  <c r="N104" i="9"/>
  <c r="C104" i="9"/>
  <c r="S103" i="9"/>
  <c r="T103" i="9" s="1"/>
  <c r="R103" i="9"/>
  <c r="Q103" i="9"/>
  <c r="N103" i="9"/>
  <c r="J103" i="9"/>
  <c r="I103" i="9"/>
  <c r="L103" i="9" s="1"/>
  <c r="C103" i="9"/>
  <c r="S102" i="9"/>
  <c r="R102" i="9"/>
  <c r="Q102" i="9"/>
  <c r="N102" i="9"/>
  <c r="J102" i="9"/>
  <c r="C102" i="9"/>
  <c r="R101" i="9"/>
  <c r="S101" i="9" s="1"/>
  <c r="T101" i="9" s="1"/>
  <c r="N101" i="9"/>
  <c r="J101" i="9"/>
  <c r="C101" i="9"/>
  <c r="R100" i="9"/>
  <c r="Q100" i="9" s="1"/>
  <c r="N100" i="9"/>
  <c r="C100" i="9"/>
  <c r="S99" i="9"/>
  <c r="T99" i="9" s="1"/>
  <c r="R99" i="9"/>
  <c r="Q99" i="9"/>
  <c r="N99" i="9"/>
  <c r="J99" i="9"/>
  <c r="I99" i="9"/>
  <c r="L99" i="9" s="1"/>
  <c r="C99" i="9"/>
  <c r="S98" i="9"/>
  <c r="R98" i="9"/>
  <c r="Q98" i="9"/>
  <c r="N98" i="9"/>
  <c r="J98" i="9"/>
  <c r="C98" i="9"/>
  <c r="R97" i="9"/>
  <c r="S97" i="9" s="1"/>
  <c r="T97" i="9" s="1"/>
  <c r="N97" i="9"/>
  <c r="J97" i="9"/>
  <c r="C97" i="9"/>
  <c r="R96" i="9"/>
  <c r="Q96" i="9" s="1"/>
  <c r="N96" i="9"/>
  <c r="C96" i="9"/>
  <c r="S95" i="9"/>
  <c r="T95" i="9" s="1"/>
  <c r="R95" i="9"/>
  <c r="Q95" i="9"/>
  <c r="N95" i="9"/>
  <c r="J95" i="9"/>
  <c r="I95" i="9"/>
  <c r="L95" i="9" s="1"/>
  <c r="C95" i="9"/>
  <c r="S94" i="9"/>
  <c r="R94" i="9"/>
  <c r="Q94" i="9"/>
  <c r="N94" i="9"/>
  <c r="J94" i="9"/>
  <c r="C94" i="9"/>
  <c r="R93" i="9"/>
  <c r="S93" i="9" s="1"/>
  <c r="T93" i="9" s="1"/>
  <c r="N93" i="9"/>
  <c r="J93" i="9"/>
  <c r="C93" i="9"/>
  <c r="R92" i="9"/>
  <c r="Q92" i="9" s="1"/>
  <c r="N92" i="9"/>
  <c r="C92" i="9"/>
  <c r="S91" i="9"/>
  <c r="T91" i="9" s="1"/>
  <c r="R91" i="9"/>
  <c r="Q91" i="9"/>
  <c r="N91" i="9"/>
  <c r="J91" i="9"/>
  <c r="I91" i="9"/>
  <c r="L91" i="9" s="1"/>
  <c r="C91" i="9"/>
  <c r="S90" i="9"/>
  <c r="R90" i="9"/>
  <c r="Q90" i="9"/>
  <c r="N90" i="9"/>
  <c r="J90" i="9"/>
  <c r="C90" i="9"/>
  <c r="R89" i="9"/>
  <c r="S89" i="9" s="1"/>
  <c r="T89" i="9" s="1"/>
  <c r="N89" i="9"/>
  <c r="J89" i="9"/>
  <c r="C89" i="9"/>
  <c r="R88" i="9"/>
  <c r="Q88" i="9" s="1"/>
  <c r="N88" i="9"/>
  <c r="C88" i="9"/>
  <c r="R87" i="9"/>
  <c r="S87" i="9" s="1"/>
  <c r="T87" i="9" s="1"/>
  <c r="Q87" i="9"/>
  <c r="N87" i="9"/>
  <c r="J87" i="9"/>
  <c r="I87" i="9"/>
  <c r="L87" i="9" s="1"/>
  <c r="C87" i="9"/>
  <c r="R86" i="9"/>
  <c r="S86" i="9" s="1"/>
  <c r="Q86" i="9"/>
  <c r="N86" i="9"/>
  <c r="C86" i="9"/>
  <c r="R85" i="9"/>
  <c r="S85" i="9" s="1"/>
  <c r="T85" i="9" s="1"/>
  <c r="N85" i="9"/>
  <c r="J85" i="9"/>
  <c r="C85" i="9"/>
  <c r="R84" i="9"/>
  <c r="Q84" i="9" s="1"/>
  <c r="N84" i="9"/>
  <c r="C84" i="9"/>
  <c r="R83" i="9"/>
  <c r="S83" i="9" s="1"/>
  <c r="T83" i="9" s="1"/>
  <c r="Q83" i="9"/>
  <c r="N83" i="9"/>
  <c r="J83" i="9"/>
  <c r="I83" i="9"/>
  <c r="L83" i="9" s="1"/>
  <c r="C83" i="9"/>
  <c r="R82" i="9"/>
  <c r="S82" i="9" s="1"/>
  <c r="Q82" i="9"/>
  <c r="N82" i="9"/>
  <c r="C82" i="9"/>
  <c r="R81" i="9"/>
  <c r="S81" i="9" s="1"/>
  <c r="T81" i="9" s="1"/>
  <c r="N81" i="9"/>
  <c r="J81" i="9"/>
  <c r="C81" i="9"/>
  <c r="R80" i="9"/>
  <c r="Q80" i="9" s="1"/>
  <c r="N80" i="9"/>
  <c r="C80" i="9"/>
  <c r="R79" i="9"/>
  <c r="S79" i="9" s="1"/>
  <c r="T79" i="9" s="1"/>
  <c r="Q79" i="9"/>
  <c r="N79" i="9"/>
  <c r="J79" i="9"/>
  <c r="I79" i="9"/>
  <c r="L79" i="9" s="1"/>
  <c r="C79" i="9"/>
  <c r="R78" i="9"/>
  <c r="S78" i="9" s="1"/>
  <c r="Q78" i="9"/>
  <c r="N78" i="9"/>
  <c r="C78" i="9"/>
  <c r="R77" i="9"/>
  <c r="S77" i="9" s="1"/>
  <c r="T77" i="9" s="1"/>
  <c r="N77" i="9"/>
  <c r="J77" i="9"/>
  <c r="C77" i="9"/>
  <c r="R76" i="9"/>
  <c r="Q76" i="9" s="1"/>
  <c r="N76" i="9"/>
  <c r="C76" i="9"/>
  <c r="R75" i="9"/>
  <c r="S75" i="9" s="1"/>
  <c r="T75" i="9" s="1"/>
  <c r="Q75" i="9"/>
  <c r="N75" i="9"/>
  <c r="J75" i="9"/>
  <c r="I75" i="9"/>
  <c r="L75" i="9" s="1"/>
  <c r="C75" i="9"/>
  <c r="R74" i="9"/>
  <c r="S74" i="9" s="1"/>
  <c r="Q74" i="9"/>
  <c r="N74" i="9"/>
  <c r="C74" i="9"/>
  <c r="R73" i="9"/>
  <c r="S73" i="9" s="1"/>
  <c r="T73" i="9" s="1"/>
  <c r="N73" i="9"/>
  <c r="J73" i="9"/>
  <c r="C73" i="9"/>
  <c r="R72" i="9"/>
  <c r="Q72" i="9" s="1"/>
  <c r="N72" i="9"/>
  <c r="C72" i="9"/>
  <c r="R71" i="9"/>
  <c r="S71" i="9" s="1"/>
  <c r="T71" i="9" s="1"/>
  <c r="Q71" i="9"/>
  <c r="N71" i="9"/>
  <c r="I71" i="9"/>
  <c r="L71" i="9" s="1"/>
  <c r="C71" i="9"/>
  <c r="S70" i="9"/>
  <c r="R70" i="9"/>
  <c r="Q70" i="9"/>
  <c r="N70" i="9"/>
  <c r="J70" i="9"/>
  <c r="C70" i="9"/>
  <c r="R69" i="9"/>
  <c r="N69" i="9"/>
  <c r="J69" i="9"/>
  <c r="C69" i="9"/>
  <c r="R68" i="9"/>
  <c r="Q68" i="9" s="1"/>
  <c r="N68" i="9"/>
  <c r="C68" i="9"/>
  <c r="R67" i="9"/>
  <c r="S67" i="9" s="1"/>
  <c r="T67" i="9" s="1"/>
  <c r="Q67" i="9"/>
  <c r="N67" i="9"/>
  <c r="J67" i="9"/>
  <c r="I67" i="9"/>
  <c r="L67" i="9" s="1"/>
  <c r="C67" i="9"/>
  <c r="R66" i="9"/>
  <c r="S66" i="9" s="1"/>
  <c r="Q66" i="9"/>
  <c r="N66" i="9"/>
  <c r="C66" i="9"/>
  <c r="R65" i="9"/>
  <c r="S65" i="9" s="1"/>
  <c r="T65" i="9" s="1"/>
  <c r="Q65" i="9"/>
  <c r="N65" i="9"/>
  <c r="I65" i="9"/>
  <c r="L65" i="9" s="1"/>
  <c r="C65" i="9"/>
  <c r="R64" i="9"/>
  <c r="Q64" i="9" s="1"/>
  <c r="N64" i="9"/>
  <c r="C64" i="9"/>
  <c r="R63" i="9"/>
  <c r="N63" i="9"/>
  <c r="C63" i="9"/>
  <c r="R62" i="9"/>
  <c r="Q62" i="9" s="1"/>
  <c r="N62" i="9"/>
  <c r="C62" i="9"/>
  <c r="R61" i="9"/>
  <c r="N61" i="9"/>
  <c r="C61" i="9"/>
  <c r="R60" i="9"/>
  <c r="Q60" i="9" s="1"/>
  <c r="N60" i="9"/>
  <c r="I60" i="9"/>
  <c r="L60" i="9" s="1"/>
  <c r="C60" i="9"/>
  <c r="R59" i="9"/>
  <c r="N59" i="9"/>
  <c r="C59" i="9"/>
  <c r="R58" i="9"/>
  <c r="Q58" i="9" s="1"/>
  <c r="N58" i="9"/>
  <c r="I58" i="9"/>
  <c r="L58" i="9" s="1"/>
  <c r="C58" i="9"/>
  <c r="R57" i="9"/>
  <c r="N57" i="9"/>
  <c r="C57" i="9"/>
  <c r="R56" i="9"/>
  <c r="Q56" i="9" s="1"/>
  <c r="N56" i="9"/>
  <c r="C56" i="9"/>
  <c r="R55" i="9"/>
  <c r="N55" i="9"/>
  <c r="C55" i="9"/>
  <c r="R54" i="9"/>
  <c r="Q54" i="9" s="1"/>
  <c r="N54" i="9"/>
  <c r="C54" i="9"/>
  <c r="R53" i="9"/>
  <c r="N53" i="9"/>
  <c r="C53" i="9"/>
  <c r="R52" i="9"/>
  <c r="Q52" i="9" s="1"/>
  <c r="N52" i="9"/>
  <c r="I52" i="9"/>
  <c r="L52" i="9" s="1"/>
  <c r="C52" i="9"/>
  <c r="R51" i="9"/>
  <c r="N51" i="9"/>
  <c r="C51" i="9"/>
  <c r="R50" i="9"/>
  <c r="Q50" i="9" s="1"/>
  <c r="N50" i="9"/>
  <c r="I50" i="9"/>
  <c r="L50" i="9" s="1"/>
  <c r="C50" i="9"/>
  <c r="R49" i="9"/>
  <c r="N49" i="9"/>
  <c r="C49" i="9"/>
  <c r="R48" i="9"/>
  <c r="Q48" i="9" s="1"/>
  <c r="N48" i="9"/>
  <c r="C48" i="9"/>
  <c r="R47" i="9"/>
  <c r="N47" i="9"/>
  <c r="C47" i="9"/>
  <c r="R46" i="9"/>
  <c r="Q46" i="9" s="1"/>
  <c r="N46" i="9"/>
  <c r="C46" i="9"/>
  <c r="R45" i="9"/>
  <c r="N45" i="9"/>
  <c r="C45" i="9"/>
  <c r="R44" i="9"/>
  <c r="Q44" i="9" s="1"/>
  <c r="N44" i="9"/>
  <c r="I44" i="9"/>
  <c r="L44" i="9" s="1"/>
  <c r="C44" i="9"/>
  <c r="R43" i="9"/>
  <c r="N43" i="9"/>
  <c r="C43" i="9"/>
  <c r="R42" i="9"/>
  <c r="Q42" i="9" s="1"/>
  <c r="N42" i="9"/>
  <c r="I42" i="9"/>
  <c r="L42" i="9" s="1"/>
  <c r="C42" i="9"/>
  <c r="R41" i="9"/>
  <c r="N41" i="9"/>
  <c r="C41" i="9"/>
  <c r="R40" i="9"/>
  <c r="Q40" i="9" s="1"/>
  <c r="N40" i="9"/>
  <c r="C40" i="9"/>
  <c r="R39" i="9"/>
  <c r="N39" i="9"/>
  <c r="C39" i="9"/>
  <c r="R38" i="9"/>
  <c r="Q38" i="9" s="1"/>
  <c r="N38" i="9"/>
  <c r="C38" i="9"/>
  <c r="R37" i="9"/>
  <c r="N37" i="9"/>
  <c r="C37" i="9"/>
  <c r="R36" i="9"/>
  <c r="Q36" i="9" s="1"/>
  <c r="N36" i="9"/>
  <c r="I36" i="9"/>
  <c r="L36" i="9" s="1"/>
  <c r="C36" i="9"/>
  <c r="R35" i="9"/>
  <c r="N35" i="9"/>
  <c r="C35" i="9"/>
  <c r="R34" i="9"/>
  <c r="Q34" i="9" s="1"/>
  <c r="N34" i="9"/>
  <c r="I34" i="9"/>
  <c r="L34" i="9" s="1"/>
  <c r="C34" i="9"/>
  <c r="R33" i="9"/>
  <c r="N33" i="9"/>
  <c r="C33" i="9"/>
  <c r="R32" i="9"/>
  <c r="Q32" i="9" s="1"/>
  <c r="N32" i="9"/>
  <c r="C32" i="9"/>
  <c r="R31" i="9"/>
  <c r="N31" i="9"/>
  <c r="C31" i="9"/>
  <c r="R30" i="9"/>
  <c r="Q30" i="9" s="1"/>
  <c r="N30" i="9"/>
  <c r="C30" i="9"/>
  <c r="R29" i="9"/>
  <c r="N29" i="9"/>
  <c r="C29" i="9"/>
  <c r="R28" i="9"/>
  <c r="Q28" i="9" s="1"/>
  <c r="N28" i="9"/>
  <c r="I28" i="9"/>
  <c r="L28" i="9" s="1"/>
  <c r="C28" i="9"/>
  <c r="R27" i="9"/>
  <c r="N27" i="9"/>
  <c r="C27" i="9"/>
  <c r="R26" i="9"/>
  <c r="Q26" i="9" s="1"/>
  <c r="N26" i="9"/>
  <c r="I26" i="9"/>
  <c r="L26" i="9" s="1"/>
  <c r="C26" i="9"/>
  <c r="R25" i="9"/>
  <c r="N25" i="9"/>
  <c r="C25" i="9"/>
  <c r="R24" i="9"/>
  <c r="Q24" i="9" s="1"/>
  <c r="N24" i="9"/>
  <c r="C24" i="9"/>
  <c r="R23" i="9"/>
  <c r="N23" i="9"/>
  <c r="C23" i="9"/>
  <c r="R22" i="9"/>
  <c r="Q22" i="9" s="1"/>
  <c r="N22" i="9"/>
  <c r="C22" i="9"/>
  <c r="R21" i="9"/>
  <c r="N21" i="9"/>
  <c r="C21" i="9"/>
  <c r="R20" i="9"/>
  <c r="Q20" i="9" s="1"/>
  <c r="N20" i="9"/>
  <c r="I20" i="9"/>
  <c r="L20" i="9" s="1"/>
  <c r="C20" i="9"/>
  <c r="R19" i="9"/>
  <c r="N19" i="9"/>
  <c r="C19" i="9"/>
  <c r="R18" i="9"/>
  <c r="Q18" i="9" s="1"/>
  <c r="N18" i="9"/>
  <c r="I18" i="9"/>
  <c r="L18" i="9" s="1"/>
  <c r="C18" i="9"/>
  <c r="R17" i="9"/>
  <c r="N17" i="9"/>
  <c r="C17" i="9"/>
  <c r="R16" i="9"/>
  <c r="Q16" i="9" s="1"/>
  <c r="N16" i="9"/>
  <c r="C16" i="9"/>
  <c r="R15" i="9"/>
  <c r="N15" i="9"/>
  <c r="C15" i="9"/>
  <c r="R14" i="9"/>
  <c r="Q14" i="9" s="1"/>
  <c r="N14" i="9"/>
  <c r="C14" i="9"/>
  <c r="R13" i="9"/>
  <c r="N13" i="9"/>
  <c r="C13" i="9"/>
  <c r="R12" i="9"/>
  <c r="Q12" i="9" s="1"/>
  <c r="N12" i="9"/>
  <c r="I12" i="9"/>
  <c r="L12" i="9" s="1"/>
  <c r="C12" i="9"/>
  <c r="R11" i="9"/>
  <c r="N11" i="9"/>
  <c r="C11" i="9"/>
  <c r="R10" i="9"/>
  <c r="Q10" i="9" s="1"/>
  <c r="N10" i="9"/>
  <c r="I10" i="9"/>
  <c r="L10" i="9" s="1"/>
  <c r="C10" i="9"/>
  <c r="R9" i="9"/>
  <c r="N9" i="9"/>
  <c r="C9" i="9"/>
  <c r="R8" i="9"/>
  <c r="Q8" i="9" s="1"/>
  <c r="N8" i="9"/>
  <c r="C8" i="9"/>
  <c r="R7" i="9"/>
  <c r="N7" i="9"/>
  <c r="C7" i="9"/>
  <c r="R6" i="9"/>
  <c r="Q6" i="9" s="1"/>
  <c r="N6" i="9"/>
  <c r="C6" i="9"/>
  <c r="R5" i="9"/>
  <c r="N5" i="9"/>
  <c r="C5" i="9"/>
  <c r="R4" i="9"/>
  <c r="Q4" i="9" s="1"/>
  <c r="N4" i="9"/>
  <c r="I4" i="9"/>
  <c r="L4" i="9" s="1"/>
  <c r="C4" i="9"/>
  <c r="S303" i="8"/>
  <c r="T303" i="8" s="1"/>
  <c r="R303" i="8"/>
  <c r="O303" i="8"/>
  <c r="C303" i="8"/>
  <c r="S302" i="8"/>
  <c r="T302" i="8" s="1"/>
  <c r="O302" i="8"/>
  <c r="M302" i="8"/>
  <c r="C302" i="8"/>
  <c r="S301" i="8"/>
  <c r="R301" i="8" s="1"/>
  <c r="O301" i="8"/>
  <c r="C301" i="8"/>
  <c r="S300" i="8"/>
  <c r="T300" i="8" s="1"/>
  <c r="O300" i="8"/>
  <c r="C300" i="8"/>
  <c r="S299" i="8"/>
  <c r="T299" i="8" s="1"/>
  <c r="O299" i="8"/>
  <c r="C299" i="8"/>
  <c r="S298" i="8"/>
  <c r="T298" i="8" s="1"/>
  <c r="R298" i="8"/>
  <c r="O298" i="8"/>
  <c r="M298" i="8"/>
  <c r="C298" i="8"/>
  <c r="T297" i="8"/>
  <c r="S297" i="8"/>
  <c r="R297" i="8" s="1"/>
  <c r="O297" i="8"/>
  <c r="N297" i="8"/>
  <c r="M297" i="8"/>
  <c r="C297" i="8"/>
  <c r="S296" i="8"/>
  <c r="T296" i="8" s="1"/>
  <c r="O296" i="8"/>
  <c r="M296" i="8"/>
  <c r="C296" i="8"/>
  <c r="S295" i="8"/>
  <c r="T295" i="8" s="1"/>
  <c r="R295" i="8"/>
  <c r="O295" i="8"/>
  <c r="C295" i="8"/>
  <c r="S294" i="8"/>
  <c r="T294" i="8" s="1"/>
  <c r="O294" i="8"/>
  <c r="M294" i="8"/>
  <c r="C294" i="8"/>
  <c r="S293" i="8"/>
  <c r="R293" i="8" s="1"/>
  <c r="O293" i="8"/>
  <c r="C293" i="8"/>
  <c r="S292" i="8"/>
  <c r="T292" i="8" s="1"/>
  <c r="O292" i="8"/>
  <c r="C292" i="8"/>
  <c r="S291" i="8"/>
  <c r="T291" i="8" s="1"/>
  <c r="O291" i="8"/>
  <c r="C291" i="8"/>
  <c r="S290" i="8"/>
  <c r="T290" i="8" s="1"/>
  <c r="R290" i="8"/>
  <c r="O290" i="8"/>
  <c r="M290" i="8"/>
  <c r="C290" i="8"/>
  <c r="T289" i="8"/>
  <c r="S289" i="8"/>
  <c r="R289" i="8" s="1"/>
  <c r="O289" i="8"/>
  <c r="N289" i="8"/>
  <c r="M289" i="8"/>
  <c r="C289" i="8"/>
  <c r="S288" i="8"/>
  <c r="T288" i="8" s="1"/>
  <c r="O288" i="8"/>
  <c r="C288" i="8"/>
  <c r="S287" i="8"/>
  <c r="O287" i="8"/>
  <c r="C287" i="8"/>
  <c r="S286" i="8"/>
  <c r="T286" i="8" s="1"/>
  <c r="O286" i="8"/>
  <c r="M286" i="8"/>
  <c r="C286" i="8"/>
  <c r="T285" i="8"/>
  <c r="S285" i="8"/>
  <c r="R285" i="8" s="1"/>
  <c r="O285" i="8"/>
  <c r="M285" i="8"/>
  <c r="C285" i="8"/>
  <c r="S284" i="8"/>
  <c r="T284" i="8" s="1"/>
  <c r="O284" i="8"/>
  <c r="M284" i="8"/>
  <c r="C284" i="8"/>
  <c r="S283" i="8"/>
  <c r="T283" i="8" s="1"/>
  <c r="O283" i="8"/>
  <c r="C283" i="8"/>
  <c r="S282" i="8"/>
  <c r="O282" i="8"/>
  <c r="C282" i="8"/>
  <c r="T281" i="8"/>
  <c r="S281" i="8"/>
  <c r="R281" i="8" s="1"/>
  <c r="O281" i="8"/>
  <c r="N281" i="8"/>
  <c r="M281" i="8"/>
  <c r="C281" i="8"/>
  <c r="S280" i="8"/>
  <c r="O280" i="8"/>
  <c r="C280" i="8"/>
  <c r="S279" i="8"/>
  <c r="O279" i="8"/>
  <c r="C279" i="8"/>
  <c r="S278" i="8"/>
  <c r="T278" i="8" s="1"/>
  <c r="O278" i="8"/>
  <c r="M278" i="8"/>
  <c r="C278" i="8"/>
  <c r="T277" i="8"/>
  <c r="S277" i="8"/>
  <c r="R277" i="8" s="1"/>
  <c r="O277" i="8"/>
  <c r="M277" i="8"/>
  <c r="C277" i="8"/>
  <c r="S276" i="8"/>
  <c r="T276" i="8" s="1"/>
  <c r="O276" i="8"/>
  <c r="M276" i="8"/>
  <c r="C276" i="8"/>
  <c r="S275" i="8"/>
  <c r="T275" i="8" s="1"/>
  <c r="O275" i="8"/>
  <c r="C275" i="8"/>
  <c r="S274" i="8"/>
  <c r="O274" i="8"/>
  <c r="C274" i="8"/>
  <c r="T273" i="8"/>
  <c r="S273" i="8"/>
  <c r="R273" i="8" s="1"/>
  <c r="O273" i="8"/>
  <c r="N273" i="8"/>
  <c r="M273" i="8"/>
  <c r="C273" i="8"/>
  <c r="S272" i="8"/>
  <c r="O272" i="8"/>
  <c r="C272" i="8"/>
  <c r="S271" i="8"/>
  <c r="O271" i="8"/>
  <c r="C271" i="8"/>
  <c r="S270" i="8"/>
  <c r="T270" i="8" s="1"/>
  <c r="O270" i="8"/>
  <c r="M270" i="8"/>
  <c r="C270" i="8"/>
  <c r="T269" i="8"/>
  <c r="S269" i="8"/>
  <c r="R269" i="8" s="1"/>
  <c r="O269" i="8"/>
  <c r="M269" i="8"/>
  <c r="C269" i="8"/>
  <c r="S268" i="8"/>
  <c r="T268" i="8" s="1"/>
  <c r="O268" i="8"/>
  <c r="M268" i="8"/>
  <c r="C268" i="8"/>
  <c r="S267" i="8"/>
  <c r="T267" i="8" s="1"/>
  <c r="O267" i="8"/>
  <c r="C267" i="8"/>
  <c r="S266" i="8"/>
  <c r="O266" i="8"/>
  <c r="C266" i="8"/>
  <c r="T265" i="8"/>
  <c r="S265" i="8"/>
  <c r="R265" i="8" s="1"/>
  <c r="O265" i="8"/>
  <c r="N265" i="8"/>
  <c r="M265" i="8"/>
  <c r="C265" i="8"/>
  <c r="S264" i="8"/>
  <c r="T264" i="8" s="1"/>
  <c r="O264" i="8"/>
  <c r="M264" i="8"/>
  <c r="C264" i="8"/>
  <c r="S263" i="8"/>
  <c r="O263" i="8"/>
  <c r="C263" i="8"/>
  <c r="S262" i="8"/>
  <c r="M262" i="8" s="1"/>
  <c r="O262" i="8"/>
  <c r="C262" i="8"/>
  <c r="T261" i="8"/>
  <c r="S261" i="8"/>
  <c r="R261" i="8" s="1"/>
  <c r="O261" i="8"/>
  <c r="M261" i="8"/>
  <c r="C261" i="8"/>
  <c r="S260" i="8"/>
  <c r="T260" i="8" s="1"/>
  <c r="O260" i="8"/>
  <c r="M260" i="8"/>
  <c r="C260" i="8"/>
  <c r="S259" i="8"/>
  <c r="O259" i="8"/>
  <c r="C259" i="8"/>
  <c r="S258" i="8"/>
  <c r="M258" i="8" s="1"/>
  <c r="O258" i="8"/>
  <c r="C258" i="8"/>
  <c r="T257" i="8"/>
  <c r="S257" i="8"/>
  <c r="R257" i="8" s="1"/>
  <c r="O257" i="8"/>
  <c r="N257" i="8"/>
  <c r="M257" i="8"/>
  <c r="C257" i="8"/>
  <c r="S256" i="8"/>
  <c r="T256" i="8" s="1"/>
  <c r="O256" i="8"/>
  <c r="M256" i="8"/>
  <c r="C256" i="8"/>
  <c r="S255" i="8"/>
  <c r="O255" i="8"/>
  <c r="C255" i="8"/>
  <c r="S254" i="8"/>
  <c r="O254" i="8"/>
  <c r="M254" i="8"/>
  <c r="C254" i="8"/>
  <c r="T253" i="8"/>
  <c r="S253" i="8"/>
  <c r="R253" i="8" s="1"/>
  <c r="O253" i="8"/>
  <c r="M253" i="8"/>
  <c r="C253" i="8"/>
  <c r="S252" i="8"/>
  <c r="T252" i="8" s="1"/>
  <c r="O252" i="8"/>
  <c r="M252" i="8"/>
  <c r="C252" i="8"/>
  <c r="S251" i="8"/>
  <c r="O251" i="8"/>
  <c r="C251" i="8"/>
  <c r="S250" i="8"/>
  <c r="O250" i="8"/>
  <c r="M250" i="8"/>
  <c r="C250" i="8"/>
  <c r="T249" i="8"/>
  <c r="S249" i="8"/>
  <c r="R249" i="8" s="1"/>
  <c r="O249" i="8"/>
  <c r="N249" i="8"/>
  <c r="M249" i="8"/>
  <c r="C249" i="8"/>
  <c r="S248" i="8"/>
  <c r="O248" i="8"/>
  <c r="C248" i="8"/>
  <c r="S247" i="8"/>
  <c r="O247" i="8"/>
  <c r="C247" i="8"/>
  <c r="S246" i="8"/>
  <c r="O246" i="8"/>
  <c r="M246" i="8"/>
  <c r="C246" i="8"/>
  <c r="T245" i="8"/>
  <c r="S245" i="8"/>
  <c r="R245" i="8" s="1"/>
  <c r="O245" i="8"/>
  <c r="M245" i="8"/>
  <c r="C245" i="8"/>
  <c r="S244" i="8"/>
  <c r="O244" i="8"/>
  <c r="C244" i="8"/>
  <c r="S243" i="8"/>
  <c r="O243" i="8"/>
  <c r="C243" i="8"/>
  <c r="S242" i="8"/>
  <c r="O242" i="8"/>
  <c r="C242" i="8"/>
  <c r="T241" i="8"/>
  <c r="S241" i="8"/>
  <c r="R241" i="8" s="1"/>
  <c r="O241" i="8"/>
  <c r="N241" i="8"/>
  <c r="M241" i="8"/>
  <c r="C241" i="8"/>
  <c r="S240" i="8"/>
  <c r="T240" i="8" s="1"/>
  <c r="O240" i="8"/>
  <c r="M240" i="8"/>
  <c r="C240" i="8"/>
  <c r="S239" i="8"/>
  <c r="R239" i="8"/>
  <c r="O239" i="8"/>
  <c r="C239" i="8"/>
  <c r="S238" i="8"/>
  <c r="O238" i="8"/>
  <c r="C238" i="8"/>
  <c r="T237" i="8"/>
  <c r="S237" i="8"/>
  <c r="O237" i="8"/>
  <c r="M237" i="8"/>
  <c r="C237" i="8"/>
  <c r="S236" i="8"/>
  <c r="T236" i="8" s="1"/>
  <c r="O236" i="8"/>
  <c r="M236" i="8"/>
  <c r="C236" i="8"/>
  <c r="S235" i="8"/>
  <c r="O235" i="8"/>
  <c r="M235" i="8"/>
  <c r="C235" i="8"/>
  <c r="S234" i="8"/>
  <c r="R234" i="8" s="1"/>
  <c r="O234" i="8"/>
  <c r="M234" i="8"/>
  <c r="C234" i="8"/>
  <c r="T233" i="8"/>
  <c r="S233" i="8"/>
  <c r="R233" i="8" s="1"/>
  <c r="O233" i="8"/>
  <c r="N233" i="8"/>
  <c r="M233" i="8"/>
  <c r="C233" i="8"/>
  <c r="S232" i="8"/>
  <c r="T232" i="8" s="1"/>
  <c r="O232" i="8"/>
  <c r="C232" i="8"/>
  <c r="S231" i="8"/>
  <c r="R231" i="8" s="1"/>
  <c r="O231" i="8"/>
  <c r="C231" i="8"/>
  <c r="T230" i="8"/>
  <c r="S230" i="8"/>
  <c r="R230" i="8" s="1"/>
  <c r="O230" i="8"/>
  <c r="N230" i="8"/>
  <c r="M230" i="8"/>
  <c r="C230" i="8"/>
  <c r="S229" i="8"/>
  <c r="O229" i="8"/>
  <c r="C229" i="8"/>
  <c r="S228" i="8"/>
  <c r="O228" i="8"/>
  <c r="C228" i="8"/>
  <c r="S227" i="8"/>
  <c r="O227" i="8"/>
  <c r="C227" i="8"/>
  <c r="S226" i="8"/>
  <c r="O226" i="8"/>
  <c r="C226" i="8"/>
  <c r="T225" i="8"/>
  <c r="S225" i="8"/>
  <c r="R225" i="8" s="1"/>
  <c r="O225" i="8"/>
  <c r="N225" i="8"/>
  <c r="M225" i="8"/>
  <c r="C225" i="8"/>
  <c r="S224" i="8"/>
  <c r="T224" i="8" s="1"/>
  <c r="O224" i="8"/>
  <c r="M224" i="8"/>
  <c r="C224" i="8"/>
  <c r="S223" i="8"/>
  <c r="R223" i="8"/>
  <c r="O223" i="8"/>
  <c r="C223" i="8"/>
  <c r="S222" i="8"/>
  <c r="O222" i="8"/>
  <c r="C222" i="8"/>
  <c r="T221" i="8"/>
  <c r="S221" i="8"/>
  <c r="O221" i="8"/>
  <c r="M221" i="8"/>
  <c r="C221" i="8"/>
  <c r="S220" i="8"/>
  <c r="T220" i="8" s="1"/>
  <c r="O220" i="8"/>
  <c r="M220" i="8"/>
  <c r="C220" i="8"/>
  <c r="S219" i="8"/>
  <c r="O219" i="8"/>
  <c r="M219" i="8"/>
  <c r="C219" i="8"/>
  <c r="S218" i="8"/>
  <c r="R218" i="8" s="1"/>
  <c r="O218" i="8"/>
  <c r="M218" i="8"/>
  <c r="C218" i="8"/>
  <c r="T217" i="8"/>
  <c r="S217" i="8"/>
  <c r="R217" i="8" s="1"/>
  <c r="O217" i="8"/>
  <c r="N217" i="8"/>
  <c r="M217" i="8"/>
  <c r="C217" i="8"/>
  <c r="S216" i="8"/>
  <c r="T216" i="8" s="1"/>
  <c r="O216" i="8"/>
  <c r="C216" i="8"/>
  <c r="S215" i="8"/>
  <c r="R215" i="8" s="1"/>
  <c r="O215" i="8"/>
  <c r="C215" i="8"/>
  <c r="T214" i="8"/>
  <c r="S214" i="8"/>
  <c r="R214" i="8" s="1"/>
  <c r="O214" i="8"/>
  <c r="N214" i="8"/>
  <c r="M214" i="8"/>
  <c r="C214" i="8"/>
  <c r="S213" i="8"/>
  <c r="O213" i="8"/>
  <c r="C213" i="8"/>
  <c r="S212" i="8"/>
  <c r="O212" i="8"/>
  <c r="C212" i="8"/>
  <c r="S211" i="8"/>
  <c r="O211" i="8"/>
  <c r="C211" i="8"/>
  <c r="S210" i="8"/>
  <c r="O210" i="8"/>
  <c r="C210" i="8"/>
  <c r="T209" i="8"/>
  <c r="S209" i="8"/>
  <c r="R209" i="8" s="1"/>
  <c r="O209" i="8"/>
  <c r="N209" i="8"/>
  <c r="M209" i="8"/>
  <c r="C209" i="8"/>
  <c r="S208" i="8"/>
  <c r="T208" i="8" s="1"/>
  <c r="O208" i="8"/>
  <c r="M208" i="8"/>
  <c r="C208" i="8"/>
  <c r="S207" i="8"/>
  <c r="R207" i="8"/>
  <c r="O207" i="8"/>
  <c r="C207" i="8"/>
  <c r="S206" i="8"/>
  <c r="O206" i="8"/>
  <c r="C206" i="8"/>
  <c r="T205" i="8"/>
  <c r="S205" i="8"/>
  <c r="O205" i="8"/>
  <c r="M205" i="8"/>
  <c r="C205" i="8"/>
  <c r="S204" i="8"/>
  <c r="T204" i="8" s="1"/>
  <c r="O204" i="8"/>
  <c r="M204" i="8"/>
  <c r="C204" i="8"/>
  <c r="S203" i="8"/>
  <c r="O203" i="8"/>
  <c r="M203" i="8"/>
  <c r="C203" i="8"/>
  <c r="S202" i="8"/>
  <c r="R202" i="8" s="1"/>
  <c r="O202" i="8"/>
  <c r="M202" i="8"/>
  <c r="C202" i="8"/>
  <c r="T201" i="8"/>
  <c r="S201" i="8"/>
  <c r="R201" i="8" s="1"/>
  <c r="O201" i="8"/>
  <c r="N201" i="8"/>
  <c r="M201" i="8"/>
  <c r="C201" i="8"/>
  <c r="S200" i="8"/>
  <c r="T200" i="8" s="1"/>
  <c r="O200" i="8"/>
  <c r="C200" i="8"/>
  <c r="S199" i="8"/>
  <c r="R199" i="8" s="1"/>
  <c r="O199" i="8"/>
  <c r="C199" i="8"/>
  <c r="T198" i="8"/>
  <c r="S198" i="8"/>
  <c r="R198" i="8" s="1"/>
  <c r="O198" i="8"/>
  <c r="N198" i="8"/>
  <c r="M198" i="8"/>
  <c r="C198" i="8"/>
  <c r="S197" i="8"/>
  <c r="O197" i="8"/>
  <c r="C197" i="8"/>
  <c r="S196" i="8"/>
  <c r="O196" i="8"/>
  <c r="C196" i="8"/>
  <c r="S195" i="8"/>
  <c r="O195" i="8"/>
  <c r="C195" i="8"/>
  <c r="S194" i="8"/>
  <c r="O194" i="8"/>
  <c r="C194" i="8"/>
  <c r="T193" i="8"/>
  <c r="S193" i="8"/>
  <c r="R193" i="8" s="1"/>
  <c r="O193" i="8"/>
  <c r="N193" i="8"/>
  <c r="M193" i="8"/>
  <c r="C193" i="8"/>
  <c r="S192" i="8"/>
  <c r="T192" i="8" s="1"/>
  <c r="O192" i="8"/>
  <c r="M192" i="8"/>
  <c r="C192" i="8"/>
  <c r="S191" i="8"/>
  <c r="R191" i="8"/>
  <c r="O191" i="8"/>
  <c r="C191" i="8"/>
  <c r="S190" i="8"/>
  <c r="O190" i="8"/>
  <c r="C190" i="8"/>
  <c r="T189" i="8"/>
  <c r="S189" i="8"/>
  <c r="R189" i="8" s="1"/>
  <c r="O189" i="8"/>
  <c r="N189" i="8"/>
  <c r="M189" i="8"/>
  <c r="C189" i="8"/>
  <c r="S188" i="8"/>
  <c r="T188" i="8" s="1"/>
  <c r="O188" i="8"/>
  <c r="M188" i="8"/>
  <c r="C188" i="8"/>
  <c r="S187" i="8"/>
  <c r="T187" i="8" s="1"/>
  <c r="R187" i="8"/>
  <c r="O187" i="8"/>
  <c r="C187" i="8"/>
  <c r="T186" i="8"/>
  <c r="S186" i="8"/>
  <c r="R186" i="8" s="1"/>
  <c r="O186" i="8"/>
  <c r="N186" i="8"/>
  <c r="M186" i="8"/>
  <c r="C186" i="8"/>
  <c r="S185" i="8"/>
  <c r="O185" i="8"/>
  <c r="C185" i="8"/>
  <c r="S184" i="8"/>
  <c r="T184" i="8" s="1"/>
  <c r="O184" i="8"/>
  <c r="C184" i="8"/>
  <c r="S183" i="8"/>
  <c r="T183" i="8" s="1"/>
  <c r="O183" i="8"/>
  <c r="M183" i="8"/>
  <c r="C183" i="8"/>
  <c r="S182" i="8"/>
  <c r="T182" i="8" s="1"/>
  <c r="R182" i="8"/>
  <c r="O182" i="8"/>
  <c r="M182" i="8"/>
  <c r="C182" i="8"/>
  <c r="T181" i="8"/>
  <c r="S181" i="8"/>
  <c r="R181" i="8" s="1"/>
  <c r="O181" i="8"/>
  <c r="N181" i="8"/>
  <c r="M181" i="8"/>
  <c r="C181" i="8"/>
  <c r="S180" i="8"/>
  <c r="T180" i="8" s="1"/>
  <c r="O180" i="8"/>
  <c r="M180" i="8"/>
  <c r="C180" i="8"/>
  <c r="S179" i="8"/>
  <c r="T179" i="8" s="1"/>
  <c r="R179" i="8"/>
  <c r="O179" i="8"/>
  <c r="C179" i="8"/>
  <c r="T178" i="8"/>
  <c r="S178" i="8"/>
  <c r="R178" i="8" s="1"/>
  <c r="O178" i="8"/>
  <c r="N178" i="8"/>
  <c r="M178" i="8"/>
  <c r="C178" i="8"/>
  <c r="S177" i="8"/>
  <c r="O177" i="8"/>
  <c r="C177" i="8"/>
  <c r="S176" i="8"/>
  <c r="T176" i="8" s="1"/>
  <c r="O176" i="8"/>
  <c r="C176" i="8"/>
  <c r="S175" i="8"/>
  <c r="T175" i="8" s="1"/>
  <c r="O175" i="8"/>
  <c r="M175" i="8"/>
  <c r="C175" i="8"/>
  <c r="S174" i="8"/>
  <c r="T174" i="8" s="1"/>
  <c r="R174" i="8"/>
  <c r="O174" i="8"/>
  <c r="M174" i="8"/>
  <c r="C174" i="8"/>
  <c r="T173" i="8"/>
  <c r="S173" i="8"/>
  <c r="R173" i="8" s="1"/>
  <c r="O173" i="8"/>
  <c r="N173" i="8"/>
  <c r="M173" i="8"/>
  <c r="C173" i="8"/>
  <c r="S172" i="8"/>
  <c r="T172" i="8" s="1"/>
  <c r="O172" i="8"/>
  <c r="M172" i="8"/>
  <c r="C172" i="8"/>
  <c r="S171" i="8"/>
  <c r="T171" i="8" s="1"/>
  <c r="R171" i="8"/>
  <c r="O171" i="8"/>
  <c r="C171" i="8"/>
  <c r="T170" i="8"/>
  <c r="S170" i="8"/>
  <c r="R170" i="8" s="1"/>
  <c r="O170" i="8"/>
  <c r="N170" i="8"/>
  <c r="M170" i="8"/>
  <c r="C170" i="8"/>
  <c r="S169" i="8"/>
  <c r="O169" i="8"/>
  <c r="C169" i="8"/>
  <c r="S168" i="8"/>
  <c r="T168" i="8" s="1"/>
  <c r="O168" i="8"/>
  <c r="C168" i="8"/>
  <c r="S167" i="8"/>
  <c r="T167" i="8" s="1"/>
  <c r="O167" i="8"/>
  <c r="M167" i="8"/>
  <c r="C167" i="8"/>
  <c r="S166" i="8"/>
  <c r="T166" i="8" s="1"/>
  <c r="R166" i="8"/>
  <c r="O166" i="8"/>
  <c r="M166" i="8"/>
  <c r="C166" i="8"/>
  <c r="T165" i="8"/>
  <c r="S165" i="8"/>
  <c r="R165" i="8" s="1"/>
  <c r="O165" i="8"/>
  <c r="N165" i="8"/>
  <c r="M165" i="8"/>
  <c r="C165" i="8"/>
  <c r="S164" i="8"/>
  <c r="T164" i="8" s="1"/>
  <c r="O164" i="8"/>
  <c r="M164" i="8"/>
  <c r="C164" i="8"/>
  <c r="S163" i="8"/>
  <c r="T163" i="8" s="1"/>
  <c r="R163" i="8"/>
  <c r="O163" i="8"/>
  <c r="C163" i="8"/>
  <c r="T162" i="8"/>
  <c r="S162" i="8"/>
  <c r="R162" i="8" s="1"/>
  <c r="O162" i="8"/>
  <c r="N162" i="8"/>
  <c r="M162" i="8"/>
  <c r="C162" i="8"/>
  <c r="S161" i="8"/>
  <c r="O161" i="8"/>
  <c r="C161" i="8"/>
  <c r="S160" i="8"/>
  <c r="M160" i="8" s="1"/>
  <c r="O160" i="8"/>
  <c r="C160" i="8"/>
  <c r="S159" i="8"/>
  <c r="T159" i="8" s="1"/>
  <c r="O159" i="8"/>
  <c r="M159" i="8"/>
  <c r="C159" i="8"/>
  <c r="S158" i="8"/>
  <c r="T158" i="8" s="1"/>
  <c r="R158" i="8"/>
  <c r="O158" i="8"/>
  <c r="M158" i="8"/>
  <c r="C158" i="8"/>
  <c r="T157" i="8"/>
  <c r="S157" i="8"/>
  <c r="R157" i="8" s="1"/>
  <c r="O157" i="8"/>
  <c r="N157" i="8"/>
  <c r="M157" i="8"/>
  <c r="C157" i="8"/>
  <c r="S156" i="8"/>
  <c r="O156" i="8"/>
  <c r="C156" i="8"/>
  <c r="S155" i="8"/>
  <c r="T155" i="8" s="1"/>
  <c r="R155" i="8"/>
  <c r="O155" i="8"/>
  <c r="M155" i="8"/>
  <c r="C155" i="8"/>
  <c r="S154" i="8"/>
  <c r="O154" i="8"/>
  <c r="M154" i="8"/>
  <c r="C154" i="8"/>
  <c r="S153" i="8"/>
  <c r="R153" i="8" s="1"/>
  <c r="O153" i="8"/>
  <c r="N153" i="8"/>
  <c r="C153" i="8"/>
  <c r="S152" i="8"/>
  <c r="M152" i="8" s="1"/>
  <c r="O152" i="8"/>
  <c r="C152" i="8"/>
  <c r="S151" i="8"/>
  <c r="O151" i="8"/>
  <c r="C151" i="8"/>
  <c r="T150" i="8"/>
  <c r="S150" i="8"/>
  <c r="R150" i="8"/>
  <c r="O150" i="8"/>
  <c r="N150" i="8"/>
  <c r="M150" i="8"/>
  <c r="C150" i="8"/>
  <c r="T149" i="8"/>
  <c r="S149" i="8"/>
  <c r="R149" i="8" s="1"/>
  <c r="O149" i="8"/>
  <c r="M149" i="8"/>
  <c r="C149" i="8"/>
  <c r="S148" i="8"/>
  <c r="O148" i="8"/>
  <c r="C148" i="8"/>
  <c r="S147" i="8"/>
  <c r="T147" i="8" s="1"/>
  <c r="O147" i="8"/>
  <c r="M147" i="8"/>
  <c r="C147" i="8"/>
  <c r="S146" i="8"/>
  <c r="T146" i="8" s="1"/>
  <c r="R146" i="8"/>
  <c r="O146" i="8"/>
  <c r="M146" i="8"/>
  <c r="C146" i="8"/>
  <c r="T145" i="8"/>
  <c r="S145" i="8"/>
  <c r="R145" i="8" s="1"/>
  <c r="O145" i="8"/>
  <c r="N145" i="8"/>
  <c r="M145" i="8"/>
  <c r="C145" i="8"/>
  <c r="S144" i="8"/>
  <c r="O144" i="8"/>
  <c r="M144" i="8"/>
  <c r="C144" i="8"/>
  <c r="S143" i="8"/>
  <c r="T143" i="8" s="1"/>
  <c r="R143" i="8"/>
  <c r="O143" i="8"/>
  <c r="C143" i="8"/>
  <c r="T142" i="8"/>
  <c r="S142" i="8"/>
  <c r="R142" i="8" s="1"/>
  <c r="O142" i="8"/>
  <c r="N142" i="8"/>
  <c r="M142" i="8"/>
  <c r="C142" i="8"/>
  <c r="S141" i="8"/>
  <c r="O141" i="8"/>
  <c r="C141" i="8"/>
  <c r="S140" i="8"/>
  <c r="O140" i="8"/>
  <c r="C140" i="8"/>
  <c r="S139" i="8"/>
  <c r="O139" i="8"/>
  <c r="C139" i="8"/>
  <c r="T138" i="8"/>
  <c r="S138" i="8"/>
  <c r="R138" i="8"/>
  <c r="O138" i="8"/>
  <c r="N138" i="8"/>
  <c r="M138" i="8"/>
  <c r="C138" i="8"/>
  <c r="T137" i="8"/>
  <c r="S137" i="8"/>
  <c r="R137" i="8" s="1"/>
  <c r="O137" i="8"/>
  <c r="M137" i="8"/>
  <c r="C137" i="8"/>
  <c r="S136" i="8"/>
  <c r="O136" i="8"/>
  <c r="M136" i="8"/>
  <c r="C136" i="8"/>
  <c r="S135" i="8"/>
  <c r="T135" i="8" s="1"/>
  <c r="R135" i="8"/>
  <c r="O135" i="8"/>
  <c r="M135" i="8"/>
  <c r="C135" i="8"/>
  <c r="S134" i="8"/>
  <c r="O134" i="8"/>
  <c r="M134" i="8"/>
  <c r="C134" i="8"/>
  <c r="S133" i="8"/>
  <c r="R133" i="8" s="1"/>
  <c r="O133" i="8"/>
  <c r="N133" i="8"/>
  <c r="C133" i="8"/>
  <c r="S132" i="8"/>
  <c r="O132" i="8"/>
  <c r="C132" i="8"/>
  <c r="S131" i="8"/>
  <c r="T131" i="8" s="1"/>
  <c r="R131" i="8"/>
  <c r="O131" i="8"/>
  <c r="C131" i="8"/>
  <c r="T130" i="8"/>
  <c r="S130" i="8"/>
  <c r="R130" i="8" s="1"/>
  <c r="O130" i="8"/>
  <c r="N130" i="8"/>
  <c r="M130" i="8"/>
  <c r="C130" i="8"/>
  <c r="S129" i="8"/>
  <c r="O129" i="8"/>
  <c r="C129" i="8"/>
  <c r="S128" i="8"/>
  <c r="M128" i="8" s="1"/>
  <c r="O128" i="8"/>
  <c r="C128" i="8"/>
  <c r="S127" i="8"/>
  <c r="T127" i="8" s="1"/>
  <c r="O127" i="8"/>
  <c r="M127" i="8"/>
  <c r="C127" i="8"/>
  <c r="S126" i="8"/>
  <c r="T126" i="8" s="1"/>
  <c r="R126" i="8"/>
  <c r="O126" i="8"/>
  <c r="M126" i="8"/>
  <c r="C126" i="8"/>
  <c r="T125" i="8"/>
  <c r="S125" i="8"/>
  <c r="R125" i="8" s="1"/>
  <c r="O125" i="8"/>
  <c r="N125" i="8"/>
  <c r="M125" i="8"/>
  <c r="C125" i="8"/>
  <c r="S124" i="8"/>
  <c r="O124" i="8"/>
  <c r="C124" i="8"/>
  <c r="S123" i="8"/>
  <c r="T123" i="8" s="1"/>
  <c r="O123" i="8"/>
  <c r="M123" i="8"/>
  <c r="C123" i="8"/>
  <c r="S122" i="8"/>
  <c r="O122" i="8"/>
  <c r="C122" i="8"/>
  <c r="S121" i="8"/>
  <c r="R121" i="8" s="1"/>
  <c r="O121" i="8"/>
  <c r="N121" i="8"/>
  <c r="C121" i="8"/>
  <c r="S120" i="8"/>
  <c r="M120" i="8" s="1"/>
  <c r="O120" i="8"/>
  <c r="C120" i="8"/>
  <c r="S119" i="8"/>
  <c r="O119" i="8"/>
  <c r="C119" i="8"/>
  <c r="T118" i="8"/>
  <c r="S118" i="8"/>
  <c r="R118" i="8"/>
  <c r="O118" i="8"/>
  <c r="N118" i="8"/>
  <c r="M118" i="8"/>
  <c r="C118" i="8"/>
  <c r="T117" i="8"/>
  <c r="S117" i="8"/>
  <c r="R117" i="8" s="1"/>
  <c r="O117" i="8"/>
  <c r="M117" i="8"/>
  <c r="C117" i="8"/>
  <c r="S116" i="8"/>
  <c r="O116" i="8"/>
  <c r="C116" i="8"/>
  <c r="S115" i="8"/>
  <c r="T115" i="8" s="1"/>
  <c r="O115" i="8"/>
  <c r="M115" i="8"/>
  <c r="C115" i="8"/>
  <c r="S114" i="8"/>
  <c r="T114" i="8" s="1"/>
  <c r="R114" i="8"/>
  <c r="O114" i="8"/>
  <c r="M114" i="8"/>
  <c r="C114" i="8"/>
  <c r="T113" i="8"/>
  <c r="S113" i="8"/>
  <c r="R113" i="8" s="1"/>
  <c r="O113" i="8"/>
  <c r="N113" i="8"/>
  <c r="M113" i="8"/>
  <c r="C113" i="8"/>
  <c r="S112" i="8"/>
  <c r="O112" i="8"/>
  <c r="M112" i="8"/>
  <c r="C112" i="8"/>
  <c r="S111" i="8"/>
  <c r="T111" i="8" s="1"/>
  <c r="R111" i="8"/>
  <c r="O111" i="8"/>
  <c r="C111" i="8"/>
  <c r="T110" i="8"/>
  <c r="S110" i="8"/>
  <c r="R110" i="8" s="1"/>
  <c r="O110" i="8"/>
  <c r="N110" i="8"/>
  <c r="M110" i="8"/>
  <c r="C110" i="8"/>
  <c r="S109" i="8"/>
  <c r="O109" i="8"/>
  <c r="C109" i="8"/>
  <c r="S108" i="8"/>
  <c r="O108" i="8"/>
  <c r="C108" i="8"/>
  <c r="S107" i="8"/>
  <c r="O107" i="8"/>
  <c r="C107" i="8"/>
  <c r="T106" i="8"/>
  <c r="S106" i="8"/>
  <c r="R106" i="8"/>
  <c r="O106" i="8"/>
  <c r="N106" i="8"/>
  <c r="M106" i="8"/>
  <c r="C106" i="8"/>
  <c r="T105" i="8"/>
  <c r="S105" i="8"/>
  <c r="R105" i="8" s="1"/>
  <c r="O105" i="8"/>
  <c r="M105" i="8"/>
  <c r="C105" i="8"/>
  <c r="S104" i="8"/>
  <c r="O104" i="8"/>
  <c r="M104" i="8"/>
  <c r="C104" i="8"/>
  <c r="S103" i="8"/>
  <c r="T103" i="8" s="1"/>
  <c r="R103" i="8"/>
  <c r="O103" i="8"/>
  <c r="M103" i="8"/>
  <c r="C103" i="8"/>
  <c r="S102" i="8"/>
  <c r="O102" i="8"/>
  <c r="C102" i="8"/>
  <c r="S101" i="8"/>
  <c r="R101" i="8" s="1"/>
  <c r="O101" i="8"/>
  <c r="N101" i="8"/>
  <c r="C101" i="8"/>
  <c r="S100" i="8"/>
  <c r="O100" i="8"/>
  <c r="C100" i="8"/>
  <c r="S99" i="8"/>
  <c r="T99" i="8" s="1"/>
  <c r="R99" i="8"/>
  <c r="O99" i="8"/>
  <c r="C99" i="8"/>
  <c r="T98" i="8"/>
  <c r="S98" i="8"/>
  <c r="R98" i="8" s="1"/>
  <c r="O98" i="8"/>
  <c r="N98" i="8"/>
  <c r="M98" i="8"/>
  <c r="C98" i="8"/>
  <c r="S97" i="8"/>
  <c r="O97" i="8"/>
  <c r="C97" i="8"/>
  <c r="S96" i="8"/>
  <c r="M96" i="8" s="1"/>
  <c r="O96" i="8"/>
  <c r="C96" i="8"/>
  <c r="S95" i="8"/>
  <c r="T95" i="8" s="1"/>
  <c r="O95" i="8"/>
  <c r="M95" i="8"/>
  <c r="C95" i="8"/>
  <c r="S94" i="8"/>
  <c r="T94" i="8" s="1"/>
  <c r="R94" i="8"/>
  <c r="O94" i="8"/>
  <c r="M94" i="8"/>
  <c r="C94" i="8"/>
  <c r="T93" i="8"/>
  <c r="S93" i="8"/>
  <c r="R93" i="8" s="1"/>
  <c r="O93" i="8"/>
  <c r="N93" i="8"/>
  <c r="M93" i="8"/>
  <c r="C93" i="8"/>
  <c r="S92" i="8"/>
  <c r="O92" i="8"/>
  <c r="C92" i="8"/>
  <c r="S91" i="8"/>
  <c r="T91" i="8" s="1"/>
  <c r="R91" i="8"/>
  <c r="O91" i="8"/>
  <c r="M91" i="8"/>
  <c r="C91" i="8"/>
  <c r="S90" i="8"/>
  <c r="O90" i="8"/>
  <c r="M90" i="8"/>
  <c r="C90" i="8"/>
  <c r="S89" i="8"/>
  <c r="R89" i="8" s="1"/>
  <c r="O89" i="8"/>
  <c r="N89" i="8"/>
  <c r="C89" i="8"/>
  <c r="S88" i="8"/>
  <c r="M88" i="8" s="1"/>
  <c r="O88" i="8"/>
  <c r="C88" i="8"/>
  <c r="S87" i="8"/>
  <c r="O87" i="8"/>
  <c r="C87" i="8"/>
  <c r="T86" i="8"/>
  <c r="S86" i="8"/>
  <c r="R86" i="8"/>
  <c r="O86" i="8"/>
  <c r="N86" i="8"/>
  <c r="M86" i="8"/>
  <c r="C86" i="8"/>
  <c r="T85" i="8"/>
  <c r="S85" i="8"/>
  <c r="R85" i="8" s="1"/>
  <c r="O85" i="8"/>
  <c r="M85" i="8"/>
  <c r="C85" i="8"/>
  <c r="S84" i="8"/>
  <c r="O84" i="8"/>
  <c r="C84" i="8"/>
  <c r="S83" i="8"/>
  <c r="T83" i="8" s="1"/>
  <c r="O83" i="8"/>
  <c r="M83" i="8"/>
  <c r="C83" i="8"/>
  <c r="S82" i="8"/>
  <c r="T82" i="8" s="1"/>
  <c r="R82" i="8"/>
  <c r="O82" i="8"/>
  <c r="M82" i="8"/>
  <c r="C82" i="8"/>
  <c r="T81" i="8"/>
  <c r="S81" i="8"/>
  <c r="R81" i="8" s="1"/>
  <c r="O81" i="8"/>
  <c r="N81" i="8"/>
  <c r="M81" i="8"/>
  <c r="C81" i="8"/>
  <c r="S80" i="8"/>
  <c r="O80" i="8"/>
  <c r="M80" i="8"/>
  <c r="C80" i="8"/>
  <c r="S79" i="8"/>
  <c r="T79" i="8" s="1"/>
  <c r="R79" i="8"/>
  <c r="O79" i="8"/>
  <c r="C79" i="8"/>
  <c r="T78" i="8"/>
  <c r="S78" i="8"/>
  <c r="R78" i="8" s="1"/>
  <c r="O78" i="8"/>
  <c r="N78" i="8"/>
  <c r="M78" i="8"/>
  <c r="C78" i="8"/>
  <c r="S77" i="8"/>
  <c r="O77" i="8"/>
  <c r="C77" i="8"/>
  <c r="S76" i="8"/>
  <c r="O76" i="8"/>
  <c r="C76" i="8"/>
  <c r="S75" i="8"/>
  <c r="O75" i="8"/>
  <c r="C75" i="8"/>
  <c r="T74" i="8"/>
  <c r="S74" i="8"/>
  <c r="R74" i="8"/>
  <c r="O74" i="8"/>
  <c r="N74" i="8"/>
  <c r="M74" i="8"/>
  <c r="C74" i="8"/>
  <c r="T73" i="8"/>
  <c r="S73" i="8"/>
  <c r="R73" i="8" s="1"/>
  <c r="O73" i="8"/>
  <c r="M73" i="8"/>
  <c r="C73" i="8"/>
  <c r="S72" i="8"/>
  <c r="O72" i="8"/>
  <c r="M72" i="8"/>
  <c r="C72" i="8"/>
  <c r="S71" i="8"/>
  <c r="T71" i="8" s="1"/>
  <c r="O71" i="8"/>
  <c r="M71" i="8"/>
  <c r="C71" i="8"/>
  <c r="S70" i="8"/>
  <c r="O70" i="8"/>
  <c r="M70" i="8"/>
  <c r="C70" i="8"/>
  <c r="T69" i="8"/>
  <c r="S69" i="8"/>
  <c r="R69" i="8" s="1"/>
  <c r="O69" i="8"/>
  <c r="M69" i="8"/>
  <c r="C69" i="8"/>
  <c r="S68" i="8"/>
  <c r="O68" i="8"/>
  <c r="C68" i="8"/>
  <c r="S67" i="8"/>
  <c r="T67" i="8" s="1"/>
  <c r="O67" i="8"/>
  <c r="M67" i="8"/>
  <c r="C67" i="8"/>
  <c r="S66" i="8"/>
  <c r="O66" i="8"/>
  <c r="M66" i="8"/>
  <c r="C66" i="8"/>
  <c r="S65" i="8"/>
  <c r="R65" i="8" s="1"/>
  <c r="O65" i="8"/>
  <c r="N65" i="8"/>
  <c r="C65" i="8"/>
  <c r="S64" i="8"/>
  <c r="R64" i="8" s="1"/>
  <c r="O64" i="8"/>
  <c r="M64" i="8"/>
  <c r="C64" i="8"/>
  <c r="S63" i="8"/>
  <c r="T63" i="8" s="1"/>
  <c r="R63" i="8"/>
  <c r="O63" i="8"/>
  <c r="M63" i="8"/>
  <c r="C63" i="8"/>
  <c r="T62" i="8"/>
  <c r="S62" i="8"/>
  <c r="R62" i="8" s="1"/>
  <c r="O62" i="8"/>
  <c r="N62" i="8"/>
  <c r="M62" i="8"/>
  <c r="C62" i="8"/>
  <c r="S61" i="8"/>
  <c r="O61" i="8"/>
  <c r="C61" i="8"/>
  <c r="S60" i="8"/>
  <c r="R60" i="8" s="1"/>
  <c r="O60" i="8"/>
  <c r="C60" i="8"/>
  <c r="S59" i="8"/>
  <c r="O59" i="8"/>
  <c r="C59" i="8"/>
  <c r="T58" i="8"/>
  <c r="S58" i="8"/>
  <c r="R58" i="8" s="1"/>
  <c r="O58" i="8"/>
  <c r="N58" i="8"/>
  <c r="M58" i="8"/>
  <c r="C58" i="8"/>
  <c r="S57" i="8"/>
  <c r="R57" i="8" s="1"/>
  <c r="O57" i="8"/>
  <c r="C57" i="8"/>
  <c r="S56" i="8"/>
  <c r="R56" i="8"/>
  <c r="O56" i="8"/>
  <c r="M56" i="8"/>
  <c r="C56" i="8"/>
  <c r="S55" i="8"/>
  <c r="O55" i="8"/>
  <c r="C55" i="8"/>
  <c r="T54" i="8"/>
  <c r="S54" i="8"/>
  <c r="R54" i="8" s="1"/>
  <c r="O54" i="8"/>
  <c r="N54" i="8"/>
  <c r="M54" i="8"/>
  <c r="C54" i="8"/>
  <c r="T53" i="8"/>
  <c r="S53" i="8"/>
  <c r="R53" i="8" s="1"/>
  <c r="O53" i="8"/>
  <c r="C53" i="8"/>
  <c r="S52" i="8"/>
  <c r="O52" i="8"/>
  <c r="C52" i="8"/>
  <c r="S51" i="8"/>
  <c r="O51" i="8"/>
  <c r="C51" i="8"/>
  <c r="T50" i="8"/>
  <c r="S50" i="8"/>
  <c r="R50" i="8" s="1"/>
  <c r="O50" i="8"/>
  <c r="N50" i="8"/>
  <c r="M50" i="8"/>
  <c r="C50" i="8"/>
  <c r="S49" i="8"/>
  <c r="O49" i="8"/>
  <c r="C49" i="8"/>
  <c r="S48" i="8"/>
  <c r="O48" i="8"/>
  <c r="C48" i="8"/>
  <c r="S47" i="8"/>
  <c r="T47" i="8" s="1"/>
  <c r="O47" i="8"/>
  <c r="M47" i="8"/>
  <c r="C47" i="8"/>
  <c r="T46" i="8"/>
  <c r="S46" i="8"/>
  <c r="R46" i="8"/>
  <c r="O46" i="8"/>
  <c r="N46" i="8"/>
  <c r="M46" i="8"/>
  <c r="C46" i="8"/>
  <c r="T45" i="8"/>
  <c r="S45" i="8"/>
  <c r="R45" i="8" s="1"/>
  <c r="O45" i="8"/>
  <c r="N45" i="8"/>
  <c r="M45" i="8"/>
  <c r="C45" i="8"/>
  <c r="S44" i="8"/>
  <c r="R44" i="8" s="1"/>
  <c r="O44" i="8"/>
  <c r="C44" i="8"/>
  <c r="S43" i="8"/>
  <c r="T43" i="8" s="1"/>
  <c r="O43" i="8"/>
  <c r="M43" i="8"/>
  <c r="C43" i="8"/>
  <c r="S42" i="8"/>
  <c r="O42" i="8"/>
  <c r="M42" i="8"/>
  <c r="C42" i="8"/>
  <c r="S41" i="8"/>
  <c r="R41" i="8" s="1"/>
  <c r="O41" i="8"/>
  <c r="C41" i="8"/>
  <c r="S40" i="8"/>
  <c r="R40" i="8" s="1"/>
  <c r="O40" i="8"/>
  <c r="M40" i="8"/>
  <c r="C40" i="8"/>
  <c r="S39" i="8"/>
  <c r="T39" i="8" s="1"/>
  <c r="O39" i="8"/>
  <c r="M39" i="8"/>
  <c r="C39" i="8"/>
  <c r="S38" i="8"/>
  <c r="O38" i="8"/>
  <c r="M38" i="8"/>
  <c r="C38" i="8"/>
  <c r="T37" i="8"/>
  <c r="S37" i="8"/>
  <c r="R37" i="8" s="1"/>
  <c r="O37" i="8"/>
  <c r="M37" i="8"/>
  <c r="C37" i="8"/>
  <c r="S36" i="8"/>
  <c r="O36" i="8"/>
  <c r="C36" i="8"/>
  <c r="S35" i="8"/>
  <c r="T35" i="8" s="1"/>
  <c r="O35" i="8"/>
  <c r="M35" i="8"/>
  <c r="C35" i="8"/>
  <c r="S34" i="8"/>
  <c r="O34" i="8"/>
  <c r="M34" i="8"/>
  <c r="C34" i="8"/>
  <c r="S33" i="8"/>
  <c r="R33" i="8" s="1"/>
  <c r="O33" i="8"/>
  <c r="N33" i="8"/>
  <c r="C33" i="8"/>
  <c r="S32" i="8"/>
  <c r="R32" i="8" s="1"/>
  <c r="O32" i="8"/>
  <c r="M32" i="8"/>
  <c r="C32" i="8"/>
  <c r="S31" i="8"/>
  <c r="T31" i="8" s="1"/>
  <c r="R31" i="8"/>
  <c r="O31" i="8"/>
  <c r="M31" i="8"/>
  <c r="C31" i="8"/>
  <c r="T30" i="8"/>
  <c r="S30" i="8"/>
  <c r="R30" i="8" s="1"/>
  <c r="O30" i="8"/>
  <c r="N30" i="8"/>
  <c r="M30" i="8"/>
  <c r="C30" i="8"/>
  <c r="S29" i="8"/>
  <c r="O29" i="8"/>
  <c r="C29" i="8"/>
  <c r="S28" i="8"/>
  <c r="R28" i="8" s="1"/>
  <c r="O28" i="8"/>
  <c r="C28" i="8"/>
  <c r="S27" i="8"/>
  <c r="O27" i="8"/>
  <c r="C27" i="8"/>
  <c r="T26" i="8"/>
  <c r="S26" i="8"/>
  <c r="R26" i="8" s="1"/>
  <c r="O26" i="8"/>
  <c r="N26" i="8"/>
  <c r="M26" i="8"/>
  <c r="C26" i="8"/>
  <c r="S25" i="8"/>
  <c r="R25" i="8" s="1"/>
  <c r="O25" i="8"/>
  <c r="C25" i="8"/>
  <c r="S24" i="8"/>
  <c r="R24" i="8"/>
  <c r="O24" i="8"/>
  <c r="M24" i="8"/>
  <c r="C24" i="8"/>
  <c r="S23" i="8"/>
  <c r="O23" i="8"/>
  <c r="C23" i="8"/>
  <c r="T22" i="8"/>
  <c r="S22" i="8"/>
  <c r="R22" i="8" s="1"/>
  <c r="O22" i="8"/>
  <c r="N22" i="8"/>
  <c r="M22" i="8"/>
  <c r="C22" i="8"/>
  <c r="T21" i="8"/>
  <c r="S21" i="8"/>
  <c r="R21" i="8" s="1"/>
  <c r="O21" i="8"/>
  <c r="C21" i="8"/>
  <c r="S20" i="8"/>
  <c r="O20" i="8"/>
  <c r="C20" i="8"/>
  <c r="S19" i="8"/>
  <c r="O19" i="8"/>
  <c r="C19" i="8"/>
  <c r="T18" i="8"/>
  <c r="S18" i="8"/>
  <c r="R18" i="8" s="1"/>
  <c r="O18" i="8"/>
  <c r="N18" i="8"/>
  <c r="M18" i="8"/>
  <c r="C18" i="8"/>
  <c r="S17" i="8"/>
  <c r="O17" i="8"/>
  <c r="C17" i="8"/>
  <c r="S16" i="8"/>
  <c r="M16" i="8" s="1"/>
  <c r="O16" i="8"/>
  <c r="C16" i="8"/>
  <c r="S15" i="8"/>
  <c r="M15" i="8" s="1"/>
  <c r="O15" i="8"/>
  <c r="C15" i="8"/>
  <c r="T14" i="8"/>
  <c r="S14" i="8"/>
  <c r="R14" i="8"/>
  <c r="O14" i="8"/>
  <c r="N14" i="8"/>
  <c r="M14" i="8"/>
  <c r="C14" i="8"/>
  <c r="T13" i="8"/>
  <c r="S13" i="8"/>
  <c r="R13" i="8" s="1"/>
  <c r="O13" i="8"/>
  <c r="N13" i="8"/>
  <c r="M13" i="8"/>
  <c r="C13" i="8"/>
  <c r="S12" i="8"/>
  <c r="R12" i="8" s="1"/>
  <c r="O12" i="8"/>
  <c r="C12" i="8"/>
  <c r="S11" i="8"/>
  <c r="T11" i="8" s="1"/>
  <c r="O11" i="8"/>
  <c r="M11" i="8"/>
  <c r="C11" i="8"/>
  <c r="S10" i="8"/>
  <c r="R10" i="8" s="1"/>
  <c r="O10" i="8"/>
  <c r="C10" i="8"/>
  <c r="S9" i="8"/>
  <c r="R9" i="8" s="1"/>
  <c r="O9" i="8"/>
  <c r="C9" i="8"/>
  <c r="S8" i="8"/>
  <c r="R8" i="8" s="1"/>
  <c r="O8" i="8"/>
  <c r="C8" i="8"/>
  <c r="S7" i="8"/>
  <c r="T7" i="8" s="1"/>
  <c r="O7" i="8"/>
  <c r="M7" i="8"/>
  <c r="C7" i="8"/>
  <c r="S6" i="8"/>
  <c r="R6" i="8" s="1"/>
  <c r="O6" i="8"/>
  <c r="C6" i="8"/>
  <c r="T5" i="8"/>
  <c r="S5" i="8"/>
  <c r="R5" i="8" s="1"/>
  <c r="O5" i="8"/>
  <c r="M5" i="8"/>
  <c r="C5" i="8"/>
  <c r="S4" i="8"/>
  <c r="O4" i="8"/>
  <c r="C4" i="8"/>
  <c r="U303" i="7"/>
  <c r="V303" i="7" s="1"/>
  <c r="T303" i="7"/>
  <c r="S303" i="7"/>
  <c r="P303" i="7"/>
  <c r="L303" i="7"/>
  <c r="J303" i="7"/>
  <c r="N303" i="7" s="1"/>
  <c r="C303" i="7"/>
  <c r="U302" i="7"/>
  <c r="T302" i="7"/>
  <c r="S302" i="7" s="1"/>
  <c r="P302" i="7"/>
  <c r="L302" i="7"/>
  <c r="C302" i="7"/>
  <c r="U301" i="7"/>
  <c r="T301" i="7"/>
  <c r="P301" i="7"/>
  <c r="L301" i="7"/>
  <c r="C301" i="7"/>
  <c r="T300" i="7"/>
  <c r="P300" i="7"/>
  <c r="C300" i="7"/>
  <c r="T299" i="7"/>
  <c r="P299" i="7"/>
  <c r="L299" i="7"/>
  <c r="J299" i="7"/>
  <c r="N299" i="7" s="1"/>
  <c r="C299" i="7"/>
  <c r="T298" i="7"/>
  <c r="S298" i="7" s="1"/>
  <c r="P298" i="7"/>
  <c r="C298" i="7"/>
  <c r="V297" i="7"/>
  <c r="U297" i="7"/>
  <c r="T297" i="7"/>
  <c r="S297" i="7"/>
  <c r="P297" i="7"/>
  <c r="L297" i="7"/>
  <c r="J297" i="7"/>
  <c r="N297" i="7" s="1"/>
  <c r="C297" i="7"/>
  <c r="T296" i="7"/>
  <c r="S296" i="7" s="1"/>
  <c r="P296" i="7"/>
  <c r="C296" i="7"/>
  <c r="T295" i="7"/>
  <c r="S295" i="7" s="1"/>
  <c r="P295" i="7"/>
  <c r="C295" i="7"/>
  <c r="T294" i="7"/>
  <c r="S294" i="7" s="1"/>
  <c r="P294" i="7"/>
  <c r="C294" i="7"/>
  <c r="V293" i="7"/>
  <c r="U293" i="7"/>
  <c r="T293" i="7"/>
  <c r="S293" i="7"/>
  <c r="P293" i="7"/>
  <c r="L293" i="7"/>
  <c r="J293" i="7"/>
  <c r="C293" i="7"/>
  <c r="T292" i="7"/>
  <c r="P292" i="7"/>
  <c r="C292" i="7"/>
  <c r="U291" i="7"/>
  <c r="V291" i="7" s="1"/>
  <c r="T291" i="7"/>
  <c r="S291" i="7" s="1"/>
  <c r="P291" i="7"/>
  <c r="L291" i="7"/>
  <c r="C291" i="7"/>
  <c r="U290" i="7"/>
  <c r="T290" i="7"/>
  <c r="S290" i="7" s="1"/>
  <c r="P290" i="7"/>
  <c r="L290" i="7"/>
  <c r="C290" i="7"/>
  <c r="T289" i="7"/>
  <c r="L289" i="7" s="1"/>
  <c r="P289" i="7"/>
  <c r="C289" i="7"/>
  <c r="T288" i="7"/>
  <c r="S288" i="7" s="1"/>
  <c r="P288" i="7"/>
  <c r="C288" i="7"/>
  <c r="U287" i="7"/>
  <c r="V287" i="7" s="1"/>
  <c r="T287" i="7"/>
  <c r="S287" i="7"/>
  <c r="P287" i="7"/>
  <c r="L287" i="7"/>
  <c r="J287" i="7"/>
  <c r="N287" i="7" s="1"/>
  <c r="C287" i="7"/>
  <c r="U286" i="7"/>
  <c r="T286" i="7"/>
  <c r="S286" i="7" s="1"/>
  <c r="P286" i="7"/>
  <c r="L286" i="7"/>
  <c r="C286" i="7"/>
  <c r="U285" i="7"/>
  <c r="T285" i="7"/>
  <c r="P285" i="7"/>
  <c r="L285" i="7"/>
  <c r="C285" i="7"/>
  <c r="T284" i="7"/>
  <c r="P284" i="7"/>
  <c r="C284" i="7"/>
  <c r="T283" i="7"/>
  <c r="S283" i="7" s="1"/>
  <c r="P283" i="7"/>
  <c r="L283" i="7"/>
  <c r="J283" i="7"/>
  <c r="N283" i="7" s="1"/>
  <c r="C283" i="7"/>
  <c r="T282" i="7"/>
  <c r="S282" i="7"/>
  <c r="P282" i="7"/>
  <c r="C282" i="7"/>
  <c r="V281" i="7"/>
  <c r="U281" i="7"/>
  <c r="T281" i="7"/>
  <c r="S281" i="7"/>
  <c r="P281" i="7"/>
  <c r="L281" i="7"/>
  <c r="J281" i="7"/>
  <c r="N281" i="7" s="1"/>
  <c r="C281" i="7"/>
  <c r="T280" i="7"/>
  <c r="S280" i="7" s="1"/>
  <c r="P280" i="7"/>
  <c r="C280" i="7"/>
  <c r="U279" i="7"/>
  <c r="V279" i="7" s="1"/>
  <c r="T279" i="7"/>
  <c r="S279" i="7" s="1"/>
  <c r="P279" i="7"/>
  <c r="L279" i="7"/>
  <c r="J279" i="7"/>
  <c r="N279" i="7" s="1"/>
  <c r="C279" i="7"/>
  <c r="T278" i="7"/>
  <c r="S278" i="7" s="1"/>
  <c r="P278" i="7"/>
  <c r="C278" i="7"/>
  <c r="V277" i="7"/>
  <c r="U277" i="7"/>
  <c r="T277" i="7"/>
  <c r="S277" i="7"/>
  <c r="P277" i="7"/>
  <c r="L277" i="7"/>
  <c r="J277" i="7"/>
  <c r="C277" i="7"/>
  <c r="T276" i="7"/>
  <c r="P276" i="7"/>
  <c r="C276" i="7"/>
  <c r="U275" i="7"/>
  <c r="V275" i="7" s="1"/>
  <c r="T275" i="7"/>
  <c r="S275" i="7" s="1"/>
  <c r="P275" i="7"/>
  <c r="L275" i="7"/>
  <c r="C275" i="7"/>
  <c r="U274" i="7"/>
  <c r="T274" i="7"/>
  <c r="S274" i="7" s="1"/>
  <c r="P274" i="7"/>
  <c r="L274" i="7"/>
  <c r="C274" i="7"/>
  <c r="U273" i="7"/>
  <c r="T273" i="7"/>
  <c r="P273" i="7"/>
  <c r="L273" i="7"/>
  <c r="J273" i="7"/>
  <c r="N273" i="7" s="1"/>
  <c r="C273" i="7"/>
  <c r="T272" i="7"/>
  <c r="S272" i="7" s="1"/>
  <c r="P272" i="7"/>
  <c r="C272" i="7"/>
  <c r="U271" i="7"/>
  <c r="V271" i="7" s="1"/>
  <c r="T271" i="7"/>
  <c r="S271" i="7"/>
  <c r="P271" i="7"/>
  <c r="L271" i="7"/>
  <c r="J271" i="7"/>
  <c r="N271" i="7" s="1"/>
  <c r="C271" i="7"/>
  <c r="U270" i="7"/>
  <c r="T270" i="7"/>
  <c r="S270" i="7" s="1"/>
  <c r="P270" i="7"/>
  <c r="L270" i="7"/>
  <c r="C270" i="7"/>
  <c r="T269" i="7"/>
  <c r="P269" i="7"/>
  <c r="C269" i="7"/>
  <c r="T268" i="7"/>
  <c r="P268" i="7"/>
  <c r="C268" i="7"/>
  <c r="T267" i="7"/>
  <c r="S267" i="7" s="1"/>
  <c r="P267" i="7"/>
  <c r="J267" i="7"/>
  <c r="N267" i="7" s="1"/>
  <c r="C267" i="7"/>
  <c r="T266" i="7"/>
  <c r="P266" i="7"/>
  <c r="C266" i="7"/>
  <c r="V265" i="7"/>
  <c r="U265" i="7"/>
  <c r="T265" i="7"/>
  <c r="S265" i="7"/>
  <c r="P265" i="7"/>
  <c r="L265" i="7"/>
  <c r="J265" i="7"/>
  <c r="N265" i="7" s="1"/>
  <c r="C265" i="7"/>
  <c r="T264" i="7"/>
  <c r="S264" i="7" s="1"/>
  <c r="P264" i="7"/>
  <c r="C264" i="7"/>
  <c r="U263" i="7"/>
  <c r="V263" i="7" s="1"/>
  <c r="T263" i="7"/>
  <c r="S263" i="7" s="1"/>
  <c r="P263" i="7"/>
  <c r="L263" i="7"/>
  <c r="J263" i="7"/>
  <c r="N263" i="7" s="1"/>
  <c r="C263" i="7"/>
  <c r="T262" i="7"/>
  <c r="S262" i="7"/>
  <c r="P262" i="7"/>
  <c r="C262" i="7"/>
  <c r="V261" i="7"/>
  <c r="U261" i="7"/>
  <c r="T261" i="7"/>
  <c r="S261" i="7"/>
  <c r="P261" i="7"/>
  <c r="L261" i="7"/>
  <c r="J261" i="7"/>
  <c r="C261" i="7"/>
  <c r="T260" i="7"/>
  <c r="P260" i="7"/>
  <c r="C260" i="7"/>
  <c r="U259" i="7"/>
  <c r="V259" i="7" s="1"/>
  <c r="T259" i="7"/>
  <c r="S259" i="7" s="1"/>
  <c r="P259" i="7"/>
  <c r="L259" i="7"/>
  <c r="C259" i="7"/>
  <c r="U258" i="7"/>
  <c r="T258" i="7"/>
  <c r="S258" i="7" s="1"/>
  <c r="P258" i="7"/>
  <c r="L258" i="7"/>
  <c r="C258" i="7"/>
  <c r="T257" i="7"/>
  <c r="P257" i="7"/>
  <c r="L257" i="7"/>
  <c r="C257" i="7"/>
  <c r="T256" i="7"/>
  <c r="S256" i="7" s="1"/>
  <c r="P256" i="7"/>
  <c r="C256" i="7"/>
  <c r="T255" i="7"/>
  <c r="U255" i="7" s="1"/>
  <c r="V255" i="7" s="1"/>
  <c r="S255" i="7"/>
  <c r="P255" i="7"/>
  <c r="J255" i="7"/>
  <c r="N255" i="7" s="1"/>
  <c r="C255" i="7"/>
  <c r="U254" i="7"/>
  <c r="T254" i="7"/>
  <c r="S254" i="7"/>
  <c r="P254" i="7"/>
  <c r="L254" i="7"/>
  <c r="C254" i="7"/>
  <c r="T253" i="7"/>
  <c r="P253" i="7"/>
  <c r="C253" i="7"/>
  <c r="T252" i="7"/>
  <c r="P252" i="7"/>
  <c r="C252" i="7"/>
  <c r="T251" i="7"/>
  <c r="P251" i="7"/>
  <c r="J251" i="7"/>
  <c r="N251" i="7" s="1"/>
  <c r="C251" i="7"/>
  <c r="T250" i="7"/>
  <c r="S250" i="7" s="1"/>
  <c r="P250" i="7"/>
  <c r="C250" i="7"/>
  <c r="V249" i="7"/>
  <c r="T249" i="7"/>
  <c r="U249" i="7" s="1"/>
  <c r="S249" i="7"/>
  <c r="P249" i="7"/>
  <c r="J249" i="7"/>
  <c r="N249" i="7" s="1"/>
  <c r="C249" i="7"/>
  <c r="T248" i="7"/>
  <c r="S248" i="7" s="1"/>
  <c r="P248" i="7"/>
  <c r="C248" i="7"/>
  <c r="T247" i="7"/>
  <c r="S247" i="7" s="1"/>
  <c r="P247" i="7"/>
  <c r="L247" i="7"/>
  <c r="C247" i="7"/>
  <c r="T246" i="7"/>
  <c r="S246" i="7"/>
  <c r="P246" i="7"/>
  <c r="C246" i="7"/>
  <c r="T245" i="7"/>
  <c r="U245" i="7" s="1"/>
  <c r="V245" i="7" s="1"/>
  <c r="S245" i="7"/>
  <c r="P245" i="7"/>
  <c r="L245" i="7"/>
  <c r="J245" i="7"/>
  <c r="N245" i="7" s="1"/>
  <c r="C245" i="7"/>
  <c r="T244" i="7"/>
  <c r="P244" i="7"/>
  <c r="C244" i="7"/>
  <c r="U243" i="7"/>
  <c r="V243" i="7" s="1"/>
  <c r="T243" i="7"/>
  <c r="S243" i="7"/>
  <c r="P243" i="7"/>
  <c r="O243" i="7"/>
  <c r="L243" i="7"/>
  <c r="J243" i="7"/>
  <c r="N243" i="7" s="1"/>
  <c r="C243" i="7"/>
  <c r="U242" i="7"/>
  <c r="T242" i="7"/>
  <c r="S242" i="7"/>
  <c r="P242" i="7"/>
  <c r="L242" i="7"/>
  <c r="C242" i="7"/>
  <c r="T241" i="7"/>
  <c r="L241" i="7" s="1"/>
  <c r="P241" i="7"/>
  <c r="C241" i="7"/>
  <c r="T240" i="7"/>
  <c r="S240" i="7" s="1"/>
  <c r="P240" i="7"/>
  <c r="C240" i="7"/>
  <c r="T239" i="7"/>
  <c r="U239" i="7" s="1"/>
  <c r="V239" i="7" s="1"/>
  <c r="S239" i="7"/>
  <c r="P239" i="7"/>
  <c r="J239" i="7"/>
  <c r="N239" i="7" s="1"/>
  <c r="C239" i="7"/>
  <c r="U238" i="7"/>
  <c r="T238" i="7"/>
  <c r="S238" i="7"/>
  <c r="P238" i="7"/>
  <c r="L238" i="7"/>
  <c r="C238" i="7"/>
  <c r="T237" i="7"/>
  <c r="P237" i="7"/>
  <c r="C237" i="7"/>
  <c r="T236" i="7"/>
  <c r="P236" i="7"/>
  <c r="C236" i="7"/>
  <c r="T235" i="7"/>
  <c r="S235" i="7" s="1"/>
  <c r="P235" i="7"/>
  <c r="J235" i="7"/>
  <c r="N235" i="7" s="1"/>
  <c r="C235" i="7"/>
  <c r="T234" i="7"/>
  <c r="P234" i="7"/>
  <c r="C234" i="7"/>
  <c r="V233" i="7"/>
  <c r="T233" i="7"/>
  <c r="U233" i="7" s="1"/>
  <c r="S233" i="7"/>
  <c r="P233" i="7"/>
  <c r="J233" i="7"/>
  <c r="N233" i="7" s="1"/>
  <c r="C233" i="7"/>
  <c r="T232" i="7"/>
  <c r="S232" i="7" s="1"/>
  <c r="P232" i="7"/>
  <c r="C232" i="7"/>
  <c r="T231" i="7"/>
  <c r="S231" i="7" s="1"/>
  <c r="P231" i="7"/>
  <c r="C231" i="7"/>
  <c r="T230" i="7"/>
  <c r="S230" i="7" s="1"/>
  <c r="P230" i="7"/>
  <c r="C230" i="7"/>
  <c r="V229" i="7"/>
  <c r="T229" i="7"/>
  <c r="U229" i="7" s="1"/>
  <c r="S229" i="7"/>
  <c r="P229" i="7"/>
  <c r="L229" i="7"/>
  <c r="J229" i="7"/>
  <c r="N229" i="7" s="1"/>
  <c r="C229" i="7"/>
  <c r="T228" i="7"/>
  <c r="P228" i="7"/>
  <c r="C228" i="7"/>
  <c r="U227" i="7"/>
  <c r="V227" i="7" s="1"/>
  <c r="T227" i="7"/>
  <c r="S227" i="7"/>
  <c r="P227" i="7"/>
  <c r="O227" i="7"/>
  <c r="L227" i="7"/>
  <c r="J227" i="7"/>
  <c r="N227" i="7" s="1"/>
  <c r="C227" i="7"/>
  <c r="U226" i="7"/>
  <c r="T226" i="7"/>
  <c r="S226" i="7"/>
  <c r="P226" i="7"/>
  <c r="L226" i="7"/>
  <c r="C226" i="7"/>
  <c r="T225" i="7"/>
  <c r="P225" i="7"/>
  <c r="L225" i="7"/>
  <c r="C225" i="7"/>
  <c r="T224" i="7"/>
  <c r="S224" i="7" s="1"/>
  <c r="P224" i="7"/>
  <c r="C224" i="7"/>
  <c r="T223" i="7"/>
  <c r="U223" i="7" s="1"/>
  <c r="V223" i="7" s="1"/>
  <c r="S223" i="7"/>
  <c r="P223" i="7"/>
  <c r="J223" i="7"/>
  <c r="N223" i="7" s="1"/>
  <c r="C223" i="7"/>
  <c r="U222" i="7"/>
  <c r="T222" i="7"/>
  <c r="S222" i="7"/>
  <c r="P222" i="7"/>
  <c r="L222" i="7"/>
  <c r="C222" i="7"/>
  <c r="T221" i="7"/>
  <c r="P221" i="7"/>
  <c r="C221" i="7"/>
  <c r="T220" i="7"/>
  <c r="P220" i="7"/>
  <c r="C220" i="7"/>
  <c r="T219" i="7"/>
  <c r="P219" i="7"/>
  <c r="J219" i="7"/>
  <c r="N219" i="7" s="1"/>
  <c r="C219" i="7"/>
  <c r="T218" i="7"/>
  <c r="S218" i="7" s="1"/>
  <c r="P218" i="7"/>
  <c r="C218" i="7"/>
  <c r="V217" i="7"/>
  <c r="T217" i="7"/>
  <c r="U217" i="7" s="1"/>
  <c r="S217" i="7"/>
  <c r="P217" i="7"/>
  <c r="J217" i="7"/>
  <c r="N217" i="7" s="1"/>
  <c r="C217" i="7"/>
  <c r="T216" i="7"/>
  <c r="S216" i="7" s="1"/>
  <c r="P216" i="7"/>
  <c r="C216" i="7"/>
  <c r="T215" i="7"/>
  <c r="S215" i="7" s="1"/>
  <c r="P215" i="7"/>
  <c r="L215" i="7"/>
  <c r="C215" i="7"/>
  <c r="T214" i="7"/>
  <c r="S214" i="7"/>
  <c r="P214" i="7"/>
  <c r="C214" i="7"/>
  <c r="T213" i="7"/>
  <c r="U213" i="7" s="1"/>
  <c r="V213" i="7" s="1"/>
  <c r="S213" i="7"/>
  <c r="P213" i="7"/>
  <c r="L213" i="7"/>
  <c r="J213" i="7"/>
  <c r="N213" i="7" s="1"/>
  <c r="C213" i="7"/>
  <c r="T212" i="7"/>
  <c r="P212" i="7"/>
  <c r="C212" i="7"/>
  <c r="U211" i="7"/>
  <c r="V211" i="7" s="1"/>
  <c r="T211" i="7"/>
  <c r="S211" i="7"/>
  <c r="P211" i="7"/>
  <c r="O211" i="7"/>
  <c r="L211" i="7"/>
  <c r="J211" i="7"/>
  <c r="N211" i="7" s="1"/>
  <c r="C211" i="7"/>
  <c r="U210" i="7"/>
  <c r="T210" i="7"/>
  <c r="S210" i="7"/>
  <c r="P210" i="7"/>
  <c r="L210" i="7"/>
  <c r="C210" i="7"/>
  <c r="T209" i="7"/>
  <c r="L209" i="7" s="1"/>
  <c r="P209" i="7"/>
  <c r="C209" i="7"/>
  <c r="T208" i="7"/>
  <c r="S208" i="7" s="1"/>
  <c r="P208" i="7"/>
  <c r="C208" i="7"/>
  <c r="T207" i="7"/>
  <c r="U207" i="7" s="1"/>
  <c r="V207" i="7" s="1"/>
  <c r="S207" i="7"/>
  <c r="P207" i="7"/>
  <c r="J207" i="7"/>
  <c r="N207" i="7" s="1"/>
  <c r="C207" i="7"/>
  <c r="U206" i="7"/>
  <c r="T206" i="7"/>
  <c r="S206" i="7"/>
  <c r="P206" i="7"/>
  <c r="L206" i="7"/>
  <c r="C206" i="7"/>
  <c r="T205" i="7"/>
  <c r="P205" i="7"/>
  <c r="C205" i="7"/>
  <c r="T204" i="7"/>
  <c r="P204" i="7"/>
  <c r="C204" i="7"/>
  <c r="T203" i="7"/>
  <c r="S203" i="7" s="1"/>
  <c r="P203" i="7"/>
  <c r="J203" i="7"/>
  <c r="N203" i="7" s="1"/>
  <c r="C203" i="7"/>
  <c r="T202" i="7"/>
  <c r="P202" i="7"/>
  <c r="C202" i="7"/>
  <c r="V201" i="7"/>
  <c r="T201" i="7"/>
  <c r="U201" i="7" s="1"/>
  <c r="S201" i="7"/>
  <c r="P201" i="7"/>
  <c r="J201" i="7"/>
  <c r="N201" i="7" s="1"/>
  <c r="C201" i="7"/>
  <c r="T200" i="7"/>
  <c r="S200" i="7" s="1"/>
  <c r="P200" i="7"/>
  <c r="C200" i="7"/>
  <c r="T199" i="7"/>
  <c r="S199" i="7" s="1"/>
  <c r="P199" i="7"/>
  <c r="C199" i="7"/>
  <c r="T198" i="7"/>
  <c r="S198" i="7"/>
  <c r="P198" i="7"/>
  <c r="C198" i="7"/>
  <c r="T197" i="7"/>
  <c r="U197" i="7" s="1"/>
  <c r="V197" i="7" s="1"/>
  <c r="S197" i="7"/>
  <c r="P197" i="7"/>
  <c r="L197" i="7"/>
  <c r="J197" i="7"/>
  <c r="N197" i="7" s="1"/>
  <c r="C197" i="7"/>
  <c r="T196" i="7"/>
  <c r="P196" i="7"/>
  <c r="C196" i="7"/>
  <c r="U195" i="7"/>
  <c r="V195" i="7" s="1"/>
  <c r="T195" i="7"/>
  <c r="S195" i="7"/>
  <c r="P195" i="7"/>
  <c r="O195" i="7"/>
  <c r="L195" i="7"/>
  <c r="J195" i="7"/>
  <c r="N195" i="7" s="1"/>
  <c r="C195" i="7"/>
  <c r="U194" i="7"/>
  <c r="T194" i="7"/>
  <c r="S194" i="7"/>
  <c r="P194" i="7"/>
  <c r="L194" i="7"/>
  <c r="C194" i="7"/>
  <c r="T193" i="7"/>
  <c r="P193" i="7"/>
  <c r="L193" i="7"/>
  <c r="C193" i="7"/>
  <c r="T192" i="7"/>
  <c r="S192" i="7" s="1"/>
  <c r="P192" i="7"/>
  <c r="C192" i="7"/>
  <c r="T191" i="7"/>
  <c r="U191" i="7" s="1"/>
  <c r="V191" i="7" s="1"/>
  <c r="S191" i="7"/>
  <c r="P191" i="7"/>
  <c r="J191" i="7"/>
  <c r="N191" i="7" s="1"/>
  <c r="C191" i="7"/>
  <c r="U190" i="7"/>
  <c r="T190" i="7"/>
  <c r="S190" i="7"/>
  <c r="P190" i="7"/>
  <c r="L190" i="7"/>
  <c r="C190" i="7"/>
  <c r="U189" i="7"/>
  <c r="V189" i="7" s="1"/>
  <c r="T189" i="7"/>
  <c r="P189" i="7"/>
  <c r="L189" i="7"/>
  <c r="C189" i="7"/>
  <c r="T188" i="7"/>
  <c r="P188" i="7"/>
  <c r="C188" i="7"/>
  <c r="T187" i="7"/>
  <c r="U187" i="7" s="1"/>
  <c r="V187" i="7" s="1"/>
  <c r="P187" i="7"/>
  <c r="L187" i="7"/>
  <c r="C187" i="7"/>
  <c r="T186" i="7"/>
  <c r="U186" i="7" s="1"/>
  <c r="P186" i="7"/>
  <c r="C186" i="7"/>
  <c r="T185" i="7"/>
  <c r="P185" i="7"/>
  <c r="C185" i="7"/>
  <c r="T184" i="7"/>
  <c r="S184" i="7" s="1"/>
  <c r="P184" i="7"/>
  <c r="C184" i="7"/>
  <c r="U183" i="7"/>
  <c r="V183" i="7" s="1"/>
  <c r="T183" i="7"/>
  <c r="S183" i="7" s="1"/>
  <c r="P183" i="7"/>
  <c r="L183" i="7"/>
  <c r="J183" i="7"/>
  <c r="N183" i="7" s="1"/>
  <c r="C183" i="7"/>
  <c r="U182" i="7"/>
  <c r="T182" i="7"/>
  <c r="S182" i="7"/>
  <c r="P182" i="7"/>
  <c r="L182" i="7"/>
  <c r="C182" i="7"/>
  <c r="T181" i="7"/>
  <c r="S181" i="7"/>
  <c r="P181" i="7"/>
  <c r="L181" i="7"/>
  <c r="J181" i="7"/>
  <c r="N181" i="7" s="1"/>
  <c r="C181" i="7"/>
  <c r="T180" i="7"/>
  <c r="P180" i="7"/>
  <c r="C180" i="7"/>
  <c r="U179" i="7"/>
  <c r="V179" i="7" s="1"/>
  <c r="T179" i="7"/>
  <c r="S179" i="7"/>
  <c r="P179" i="7"/>
  <c r="O179" i="7"/>
  <c r="L179" i="7"/>
  <c r="J179" i="7"/>
  <c r="N179" i="7" s="1"/>
  <c r="C179" i="7"/>
  <c r="U178" i="7"/>
  <c r="T178" i="7"/>
  <c r="S178" i="7"/>
  <c r="P178" i="7"/>
  <c r="L178" i="7"/>
  <c r="C178" i="7"/>
  <c r="T177" i="7"/>
  <c r="S177" i="7" s="1"/>
  <c r="P177" i="7"/>
  <c r="C177" i="7"/>
  <c r="T176" i="7"/>
  <c r="S176" i="7" s="1"/>
  <c r="P176" i="7"/>
  <c r="C176" i="7"/>
  <c r="U175" i="7"/>
  <c r="V175" i="7" s="1"/>
  <c r="T175" i="7"/>
  <c r="S175" i="7"/>
  <c r="P175" i="7"/>
  <c r="L175" i="7"/>
  <c r="J175" i="7"/>
  <c r="N175" i="7" s="1"/>
  <c r="C175" i="7"/>
  <c r="T174" i="7"/>
  <c r="U174" i="7" s="1"/>
  <c r="P174" i="7"/>
  <c r="C174" i="7"/>
  <c r="U173" i="7"/>
  <c r="V173" i="7" s="1"/>
  <c r="T173" i="7"/>
  <c r="S173" i="7"/>
  <c r="P173" i="7"/>
  <c r="L173" i="7"/>
  <c r="J173" i="7"/>
  <c r="N173" i="7" s="1"/>
  <c r="C173" i="7"/>
  <c r="T172" i="7"/>
  <c r="P172" i="7"/>
  <c r="C172" i="7"/>
  <c r="T171" i="7"/>
  <c r="S171" i="7" s="1"/>
  <c r="P171" i="7"/>
  <c r="L171" i="7"/>
  <c r="C171" i="7"/>
  <c r="T170" i="7"/>
  <c r="S170" i="7" s="1"/>
  <c r="P170" i="7"/>
  <c r="C170" i="7"/>
  <c r="U169" i="7"/>
  <c r="T169" i="7"/>
  <c r="V169" i="7" s="1"/>
  <c r="S169" i="7"/>
  <c r="P169" i="7"/>
  <c r="L169" i="7"/>
  <c r="J169" i="7"/>
  <c r="N169" i="7" s="1"/>
  <c r="C169" i="7"/>
  <c r="T168" i="7"/>
  <c r="S168" i="7" s="1"/>
  <c r="P168" i="7"/>
  <c r="C168" i="7"/>
  <c r="U167" i="7"/>
  <c r="V167" i="7" s="1"/>
  <c r="T167" i="7"/>
  <c r="S167" i="7"/>
  <c r="P167" i="7"/>
  <c r="L167" i="7"/>
  <c r="J167" i="7"/>
  <c r="N167" i="7" s="1"/>
  <c r="C167" i="7"/>
  <c r="T166" i="7"/>
  <c r="S166" i="7" s="1"/>
  <c r="P166" i="7"/>
  <c r="C166" i="7"/>
  <c r="U165" i="7"/>
  <c r="T165" i="7"/>
  <c r="V165" i="7" s="1"/>
  <c r="S165" i="7"/>
  <c r="P165" i="7"/>
  <c r="O165" i="7"/>
  <c r="L165" i="7"/>
  <c r="J165" i="7"/>
  <c r="N165" i="7" s="1"/>
  <c r="C165" i="7"/>
  <c r="T164" i="7"/>
  <c r="P164" i="7"/>
  <c r="C164" i="7"/>
  <c r="T163" i="7"/>
  <c r="U163" i="7" s="1"/>
  <c r="V163" i="7" s="1"/>
  <c r="P163" i="7"/>
  <c r="L163" i="7"/>
  <c r="C163" i="7"/>
  <c r="T162" i="7"/>
  <c r="U162" i="7" s="1"/>
  <c r="P162" i="7"/>
  <c r="C162" i="7"/>
  <c r="U161" i="7"/>
  <c r="V161" i="7" s="1"/>
  <c r="T161" i="7"/>
  <c r="S161" i="7"/>
  <c r="P161" i="7"/>
  <c r="L161" i="7"/>
  <c r="J161" i="7"/>
  <c r="N161" i="7" s="1"/>
  <c r="C161" i="7"/>
  <c r="T160" i="7"/>
  <c r="S160" i="7" s="1"/>
  <c r="P160" i="7"/>
  <c r="C160" i="7"/>
  <c r="U159" i="7"/>
  <c r="V159" i="7" s="1"/>
  <c r="T159" i="7"/>
  <c r="S159" i="7"/>
  <c r="P159" i="7"/>
  <c r="L159" i="7"/>
  <c r="J159" i="7"/>
  <c r="N159" i="7" s="1"/>
  <c r="C159" i="7"/>
  <c r="T158" i="7"/>
  <c r="U158" i="7" s="1"/>
  <c r="P158" i="7"/>
  <c r="C158" i="7"/>
  <c r="U157" i="7"/>
  <c r="V157" i="7" s="1"/>
  <c r="T157" i="7"/>
  <c r="S157" i="7"/>
  <c r="P157" i="7"/>
  <c r="L157" i="7"/>
  <c r="J157" i="7"/>
  <c r="N157" i="7" s="1"/>
  <c r="C157" i="7"/>
  <c r="T156" i="7"/>
  <c r="P156" i="7"/>
  <c r="C156" i="7"/>
  <c r="T155" i="7"/>
  <c r="S155" i="7" s="1"/>
  <c r="P155" i="7"/>
  <c r="L155" i="7"/>
  <c r="C155" i="7"/>
  <c r="T154" i="7"/>
  <c r="S154" i="7" s="1"/>
  <c r="P154" i="7"/>
  <c r="C154" i="7"/>
  <c r="U153" i="7"/>
  <c r="T153" i="7"/>
  <c r="V153" i="7" s="1"/>
  <c r="S153" i="7"/>
  <c r="P153" i="7"/>
  <c r="L153" i="7"/>
  <c r="J153" i="7"/>
  <c r="N153" i="7" s="1"/>
  <c r="C153" i="7"/>
  <c r="T152" i="7"/>
  <c r="S152" i="7" s="1"/>
  <c r="P152" i="7"/>
  <c r="C152" i="7"/>
  <c r="U151" i="7"/>
  <c r="V151" i="7" s="1"/>
  <c r="T151" i="7"/>
  <c r="S151" i="7"/>
  <c r="P151" i="7"/>
  <c r="L151" i="7"/>
  <c r="J151" i="7"/>
  <c r="N151" i="7" s="1"/>
  <c r="C151" i="7"/>
  <c r="T150" i="7"/>
  <c r="S150" i="7" s="1"/>
  <c r="P150" i="7"/>
  <c r="C150" i="7"/>
  <c r="U149" i="7"/>
  <c r="T149" i="7"/>
  <c r="V149" i="7" s="1"/>
  <c r="S149" i="7"/>
  <c r="P149" i="7"/>
  <c r="O149" i="7"/>
  <c r="L149" i="7"/>
  <c r="J149" i="7"/>
  <c r="N149" i="7" s="1"/>
  <c r="C149" i="7"/>
  <c r="T148" i="7"/>
  <c r="P148" i="7"/>
  <c r="C148" i="7"/>
  <c r="T147" i="7"/>
  <c r="U147" i="7" s="1"/>
  <c r="V147" i="7" s="1"/>
  <c r="P147" i="7"/>
  <c r="L147" i="7"/>
  <c r="C147" i="7"/>
  <c r="T146" i="7"/>
  <c r="U146" i="7" s="1"/>
  <c r="P146" i="7"/>
  <c r="C146" i="7"/>
  <c r="U145" i="7"/>
  <c r="V145" i="7" s="1"/>
  <c r="T145" i="7"/>
  <c r="S145" i="7"/>
  <c r="P145" i="7"/>
  <c r="L145" i="7"/>
  <c r="J145" i="7"/>
  <c r="N145" i="7" s="1"/>
  <c r="C145" i="7"/>
  <c r="T144" i="7"/>
  <c r="S144" i="7" s="1"/>
  <c r="P144" i="7"/>
  <c r="C144" i="7"/>
  <c r="U143" i="7"/>
  <c r="V143" i="7" s="1"/>
  <c r="T143" i="7"/>
  <c r="S143" i="7"/>
  <c r="P143" i="7"/>
  <c r="L143" i="7"/>
  <c r="J143" i="7"/>
  <c r="N143" i="7" s="1"/>
  <c r="C143" i="7"/>
  <c r="T142" i="7"/>
  <c r="U142" i="7" s="1"/>
  <c r="P142" i="7"/>
  <c r="C142" i="7"/>
  <c r="V141" i="7"/>
  <c r="U141" i="7"/>
  <c r="T141" i="7"/>
  <c r="S141" i="7"/>
  <c r="P141" i="7"/>
  <c r="L141" i="7"/>
  <c r="J141" i="7"/>
  <c r="N141" i="7" s="1"/>
  <c r="C141" i="7"/>
  <c r="T140" i="7"/>
  <c r="P140" i="7"/>
  <c r="C140" i="7"/>
  <c r="U139" i="7"/>
  <c r="V139" i="7" s="1"/>
  <c r="T139" i="7"/>
  <c r="S139" i="7" s="1"/>
  <c r="P139" i="7"/>
  <c r="L139" i="7"/>
  <c r="C139" i="7"/>
  <c r="U138" i="7"/>
  <c r="T138" i="7"/>
  <c r="S138" i="7" s="1"/>
  <c r="P138" i="7"/>
  <c r="L138" i="7"/>
  <c r="C138" i="7"/>
  <c r="U137" i="7"/>
  <c r="T137" i="7"/>
  <c r="V137" i="7" s="1"/>
  <c r="P137" i="7"/>
  <c r="L137" i="7"/>
  <c r="J137" i="7"/>
  <c r="N137" i="7" s="1"/>
  <c r="C137" i="7"/>
  <c r="T136" i="7"/>
  <c r="S136" i="7" s="1"/>
  <c r="P136" i="7"/>
  <c r="C136" i="7"/>
  <c r="U135" i="7"/>
  <c r="V135" i="7" s="1"/>
  <c r="T135" i="7"/>
  <c r="S135" i="7"/>
  <c r="P135" i="7"/>
  <c r="L135" i="7"/>
  <c r="J135" i="7"/>
  <c r="N135" i="7" s="1"/>
  <c r="C135" i="7"/>
  <c r="U134" i="7"/>
  <c r="T134" i="7"/>
  <c r="S134" i="7" s="1"/>
  <c r="P134" i="7"/>
  <c r="L134" i="7"/>
  <c r="C134" i="7"/>
  <c r="U133" i="7"/>
  <c r="T133" i="7"/>
  <c r="V133" i="7" s="1"/>
  <c r="P133" i="7"/>
  <c r="L133" i="7"/>
  <c r="C133" i="7"/>
  <c r="T132" i="7"/>
  <c r="P132" i="7"/>
  <c r="C132" i="7"/>
  <c r="T131" i="7"/>
  <c r="U131" i="7" s="1"/>
  <c r="V131" i="7" s="1"/>
  <c r="P131" i="7"/>
  <c r="L131" i="7"/>
  <c r="C131" i="7"/>
  <c r="T130" i="7"/>
  <c r="U130" i="7" s="1"/>
  <c r="P130" i="7"/>
  <c r="C130" i="7"/>
  <c r="V129" i="7"/>
  <c r="U129" i="7"/>
  <c r="T129" i="7"/>
  <c r="S129" i="7"/>
  <c r="P129" i="7"/>
  <c r="L129" i="7"/>
  <c r="J129" i="7"/>
  <c r="N129" i="7" s="1"/>
  <c r="C129" i="7"/>
  <c r="T128" i="7"/>
  <c r="S128" i="7" s="1"/>
  <c r="P128" i="7"/>
  <c r="C128" i="7"/>
  <c r="U127" i="7"/>
  <c r="V127" i="7" s="1"/>
  <c r="T127" i="7"/>
  <c r="S127" i="7" s="1"/>
  <c r="P127" i="7"/>
  <c r="L127" i="7"/>
  <c r="J127" i="7"/>
  <c r="N127" i="7" s="1"/>
  <c r="C127" i="7"/>
  <c r="T126" i="7"/>
  <c r="U126" i="7" s="1"/>
  <c r="P126" i="7"/>
  <c r="C126" i="7"/>
  <c r="V125" i="7"/>
  <c r="U125" i="7"/>
  <c r="T125" i="7"/>
  <c r="S125" i="7"/>
  <c r="P125" i="7"/>
  <c r="L125" i="7"/>
  <c r="J125" i="7"/>
  <c r="N125" i="7" s="1"/>
  <c r="C125" i="7"/>
  <c r="T124" i="7"/>
  <c r="P124" i="7"/>
  <c r="C124" i="7"/>
  <c r="U123" i="7"/>
  <c r="V123" i="7" s="1"/>
  <c r="T123" i="7"/>
  <c r="S123" i="7" s="1"/>
  <c r="P123" i="7"/>
  <c r="L123" i="7"/>
  <c r="C123" i="7"/>
  <c r="U122" i="7"/>
  <c r="T122" i="7"/>
  <c r="S122" i="7" s="1"/>
  <c r="P122" i="7"/>
  <c r="L122" i="7"/>
  <c r="C122" i="7"/>
  <c r="U121" i="7"/>
  <c r="T121" i="7"/>
  <c r="V121" i="7" s="1"/>
  <c r="P121" i="7"/>
  <c r="L121" i="7"/>
  <c r="J121" i="7"/>
  <c r="N121" i="7" s="1"/>
  <c r="C121" i="7"/>
  <c r="T120" i="7"/>
  <c r="S120" i="7" s="1"/>
  <c r="P120" i="7"/>
  <c r="C120" i="7"/>
  <c r="U119" i="7"/>
  <c r="V119" i="7" s="1"/>
  <c r="T119" i="7"/>
  <c r="S119" i="7"/>
  <c r="P119" i="7"/>
  <c r="L119" i="7"/>
  <c r="J119" i="7"/>
  <c r="N119" i="7" s="1"/>
  <c r="C119" i="7"/>
  <c r="U118" i="7"/>
  <c r="T118" i="7"/>
  <c r="S118" i="7" s="1"/>
  <c r="P118" i="7"/>
  <c r="L118" i="7"/>
  <c r="C118" i="7"/>
  <c r="U117" i="7"/>
  <c r="T117" i="7"/>
  <c r="V117" i="7" s="1"/>
  <c r="P117" i="7"/>
  <c r="L117" i="7"/>
  <c r="C117" i="7"/>
  <c r="T116" i="7"/>
  <c r="P116" i="7"/>
  <c r="C116" i="7"/>
  <c r="T115" i="7"/>
  <c r="U115" i="7" s="1"/>
  <c r="V115" i="7" s="1"/>
  <c r="P115" i="7"/>
  <c r="L115" i="7"/>
  <c r="C115" i="7"/>
  <c r="T114" i="7"/>
  <c r="U114" i="7" s="1"/>
  <c r="P114" i="7"/>
  <c r="C114" i="7"/>
  <c r="V113" i="7"/>
  <c r="U113" i="7"/>
  <c r="T113" i="7"/>
  <c r="S113" i="7"/>
  <c r="P113" i="7"/>
  <c r="L113" i="7"/>
  <c r="J113" i="7"/>
  <c r="N113" i="7" s="1"/>
  <c r="C113" i="7"/>
  <c r="T112" i="7"/>
  <c r="S112" i="7" s="1"/>
  <c r="P112" i="7"/>
  <c r="C112" i="7"/>
  <c r="U111" i="7"/>
  <c r="V111" i="7" s="1"/>
  <c r="T111" i="7"/>
  <c r="S111" i="7" s="1"/>
  <c r="P111" i="7"/>
  <c r="L111" i="7"/>
  <c r="J111" i="7"/>
  <c r="N111" i="7" s="1"/>
  <c r="C111" i="7"/>
  <c r="T110" i="7"/>
  <c r="U110" i="7" s="1"/>
  <c r="P110" i="7"/>
  <c r="C110" i="7"/>
  <c r="V109" i="7"/>
  <c r="U109" i="7"/>
  <c r="T109" i="7"/>
  <c r="S109" i="7"/>
  <c r="P109" i="7"/>
  <c r="L109" i="7"/>
  <c r="J109" i="7"/>
  <c r="N109" i="7" s="1"/>
  <c r="C109" i="7"/>
  <c r="T108" i="7"/>
  <c r="P108" i="7"/>
  <c r="C108" i="7"/>
  <c r="U107" i="7"/>
  <c r="V107" i="7" s="1"/>
  <c r="T107" i="7"/>
  <c r="S107" i="7" s="1"/>
  <c r="P107" i="7"/>
  <c r="L107" i="7"/>
  <c r="C107" i="7"/>
  <c r="U106" i="7"/>
  <c r="T106" i="7"/>
  <c r="S106" i="7" s="1"/>
  <c r="P106" i="7"/>
  <c r="L106" i="7"/>
  <c r="C106" i="7"/>
  <c r="U105" i="7"/>
  <c r="T105" i="7"/>
  <c r="V105" i="7" s="1"/>
  <c r="P105" i="7"/>
  <c r="L105" i="7"/>
  <c r="J105" i="7"/>
  <c r="N105" i="7" s="1"/>
  <c r="C105" i="7"/>
  <c r="T104" i="7"/>
  <c r="S104" i="7" s="1"/>
  <c r="P104" i="7"/>
  <c r="C104" i="7"/>
  <c r="U103" i="7"/>
  <c r="V103" i="7" s="1"/>
  <c r="T103" i="7"/>
  <c r="S103" i="7"/>
  <c r="P103" i="7"/>
  <c r="L103" i="7"/>
  <c r="J103" i="7"/>
  <c r="N103" i="7" s="1"/>
  <c r="C103" i="7"/>
  <c r="U102" i="7"/>
  <c r="T102" i="7"/>
  <c r="S102" i="7" s="1"/>
  <c r="P102" i="7"/>
  <c r="L102" i="7"/>
  <c r="C102" i="7"/>
  <c r="U101" i="7"/>
  <c r="T101" i="7"/>
  <c r="V101" i="7" s="1"/>
  <c r="P101" i="7"/>
  <c r="L101" i="7"/>
  <c r="C101" i="7"/>
  <c r="T100" i="7"/>
  <c r="P100" i="7"/>
  <c r="C100" i="7"/>
  <c r="T99" i="7"/>
  <c r="U99" i="7" s="1"/>
  <c r="V99" i="7" s="1"/>
  <c r="P99" i="7"/>
  <c r="L99" i="7"/>
  <c r="C99" i="7"/>
  <c r="T98" i="7"/>
  <c r="U98" i="7" s="1"/>
  <c r="P98" i="7"/>
  <c r="C98" i="7"/>
  <c r="V97" i="7"/>
  <c r="U97" i="7"/>
  <c r="T97" i="7"/>
  <c r="S97" i="7"/>
  <c r="P97" i="7"/>
  <c r="L97" i="7"/>
  <c r="J97" i="7"/>
  <c r="N97" i="7" s="1"/>
  <c r="C97" i="7"/>
  <c r="T96" i="7"/>
  <c r="S96" i="7" s="1"/>
  <c r="P96" i="7"/>
  <c r="C96" i="7"/>
  <c r="U95" i="7"/>
  <c r="V95" i="7" s="1"/>
  <c r="T95" i="7"/>
  <c r="S95" i="7" s="1"/>
  <c r="P95" i="7"/>
  <c r="L95" i="7"/>
  <c r="J95" i="7"/>
  <c r="N95" i="7" s="1"/>
  <c r="C95" i="7"/>
  <c r="T94" i="7"/>
  <c r="U94" i="7" s="1"/>
  <c r="P94" i="7"/>
  <c r="C94" i="7"/>
  <c r="V93" i="7"/>
  <c r="U93" i="7"/>
  <c r="T93" i="7"/>
  <c r="S93" i="7"/>
  <c r="P93" i="7"/>
  <c r="L93" i="7"/>
  <c r="J93" i="7"/>
  <c r="N93" i="7" s="1"/>
  <c r="C93" i="7"/>
  <c r="T92" i="7"/>
  <c r="P92" i="7"/>
  <c r="C92" i="7"/>
  <c r="U91" i="7"/>
  <c r="V91" i="7" s="1"/>
  <c r="T91" i="7"/>
  <c r="S91" i="7" s="1"/>
  <c r="P91" i="7"/>
  <c r="L91" i="7"/>
  <c r="C91" i="7"/>
  <c r="U90" i="7"/>
  <c r="T90" i="7"/>
  <c r="S90" i="7" s="1"/>
  <c r="P90" i="7"/>
  <c r="L90" i="7"/>
  <c r="C90" i="7"/>
  <c r="U89" i="7"/>
  <c r="T89" i="7"/>
  <c r="V89" i="7" s="1"/>
  <c r="P89" i="7"/>
  <c r="L89" i="7"/>
  <c r="J89" i="7"/>
  <c r="N89" i="7" s="1"/>
  <c r="C89" i="7"/>
  <c r="T88" i="7"/>
  <c r="S88" i="7" s="1"/>
  <c r="P88" i="7"/>
  <c r="C88" i="7"/>
  <c r="U87" i="7"/>
  <c r="V87" i="7" s="1"/>
  <c r="T87" i="7"/>
  <c r="S87" i="7"/>
  <c r="P87" i="7"/>
  <c r="L87" i="7"/>
  <c r="J87" i="7"/>
  <c r="N87" i="7" s="1"/>
  <c r="C87" i="7"/>
  <c r="U86" i="7"/>
  <c r="T86" i="7"/>
  <c r="S86" i="7" s="1"/>
  <c r="P86" i="7"/>
  <c r="L86" i="7"/>
  <c r="C86" i="7"/>
  <c r="U85" i="7"/>
  <c r="T85" i="7"/>
  <c r="V85" i="7" s="1"/>
  <c r="P85" i="7"/>
  <c r="L85" i="7"/>
  <c r="C85" i="7"/>
  <c r="T84" i="7"/>
  <c r="P84" i="7"/>
  <c r="C84" i="7"/>
  <c r="T83" i="7"/>
  <c r="U83" i="7" s="1"/>
  <c r="V83" i="7" s="1"/>
  <c r="P83" i="7"/>
  <c r="L83" i="7"/>
  <c r="C83" i="7"/>
  <c r="T82" i="7"/>
  <c r="U82" i="7" s="1"/>
  <c r="P82" i="7"/>
  <c r="C82" i="7"/>
  <c r="V81" i="7"/>
  <c r="U81" i="7"/>
  <c r="T81" i="7"/>
  <c r="S81" i="7"/>
  <c r="P81" i="7"/>
  <c r="L81" i="7"/>
  <c r="J81" i="7"/>
  <c r="N81" i="7" s="1"/>
  <c r="C81" i="7"/>
  <c r="T80" i="7"/>
  <c r="S80" i="7" s="1"/>
  <c r="P80" i="7"/>
  <c r="C80" i="7"/>
  <c r="U79" i="7"/>
  <c r="V79" i="7" s="1"/>
  <c r="T79" i="7"/>
  <c r="S79" i="7" s="1"/>
  <c r="P79" i="7"/>
  <c r="L79" i="7"/>
  <c r="J79" i="7"/>
  <c r="N79" i="7" s="1"/>
  <c r="C79" i="7"/>
  <c r="T78" i="7"/>
  <c r="U78" i="7" s="1"/>
  <c r="P78" i="7"/>
  <c r="C78" i="7"/>
  <c r="V77" i="7"/>
  <c r="U77" i="7"/>
  <c r="T77" i="7"/>
  <c r="S77" i="7"/>
  <c r="P77" i="7"/>
  <c r="L77" i="7"/>
  <c r="J77" i="7"/>
  <c r="N77" i="7" s="1"/>
  <c r="C77" i="7"/>
  <c r="T76" i="7"/>
  <c r="P76" i="7"/>
  <c r="C76" i="7"/>
  <c r="U75" i="7"/>
  <c r="V75" i="7" s="1"/>
  <c r="T75" i="7"/>
  <c r="S75" i="7" s="1"/>
  <c r="P75" i="7"/>
  <c r="L75" i="7"/>
  <c r="C75" i="7"/>
  <c r="U74" i="7"/>
  <c r="T74" i="7"/>
  <c r="S74" i="7" s="1"/>
  <c r="P74" i="7"/>
  <c r="L74" i="7"/>
  <c r="C74" i="7"/>
  <c r="U73" i="7"/>
  <c r="T73" i="7"/>
  <c r="V73" i="7" s="1"/>
  <c r="P73" i="7"/>
  <c r="L73" i="7"/>
  <c r="J73" i="7"/>
  <c r="N73" i="7" s="1"/>
  <c r="C73" i="7"/>
  <c r="T72" i="7"/>
  <c r="S72" i="7" s="1"/>
  <c r="P72" i="7"/>
  <c r="C72" i="7"/>
  <c r="U71" i="7"/>
  <c r="V71" i="7" s="1"/>
  <c r="T71" i="7"/>
  <c r="S71" i="7"/>
  <c r="P71" i="7"/>
  <c r="L71" i="7"/>
  <c r="J71" i="7"/>
  <c r="N71" i="7" s="1"/>
  <c r="C71" i="7"/>
  <c r="U70" i="7"/>
  <c r="T70" i="7"/>
  <c r="S70" i="7" s="1"/>
  <c r="P70" i="7"/>
  <c r="L70" i="7"/>
  <c r="C70" i="7"/>
  <c r="U69" i="7"/>
  <c r="T69" i="7"/>
  <c r="V69" i="7" s="1"/>
  <c r="P69" i="7"/>
  <c r="L69" i="7"/>
  <c r="C69" i="7"/>
  <c r="T68" i="7"/>
  <c r="P68" i="7"/>
  <c r="C68" i="7"/>
  <c r="T67" i="7"/>
  <c r="U67" i="7" s="1"/>
  <c r="V67" i="7" s="1"/>
  <c r="P67" i="7"/>
  <c r="L67" i="7"/>
  <c r="C67" i="7"/>
  <c r="T66" i="7"/>
  <c r="U66" i="7" s="1"/>
  <c r="V66" i="7" s="1"/>
  <c r="P66" i="7"/>
  <c r="J66" i="7"/>
  <c r="N66" i="7" s="1"/>
  <c r="C66" i="7"/>
  <c r="T65" i="7"/>
  <c r="S65" i="7" s="1"/>
  <c r="P65" i="7"/>
  <c r="C65" i="7"/>
  <c r="T64" i="7"/>
  <c r="U64" i="7" s="1"/>
  <c r="V64" i="7" s="1"/>
  <c r="P64" i="7"/>
  <c r="J64" i="7"/>
  <c r="N64" i="7" s="1"/>
  <c r="C64" i="7"/>
  <c r="T63" i="7"/>
  <c r="S63" i="7" s="1"/>
  <c r="P63" i="7"/>
  <c r="C63" i="7"/>
  <c r="T62" i="7"/>
  <c r="U62" i="7" s="1"/>
  <c r="V62" i="7" s="1"/>
  <c r="P62" i="7"/>
  <c r="C62" i="7"/>
  <c r="T61" i="7"/>
  <c r="S61" i="7" s="1"/>
  <c r="P61" i="7"/>
  <c r="C61" i="7"/>
  <c r="T60" i="7"/>
  <c r="U60" i="7" s="1"/>
  <c r="V60" i="7" s="1"/>
  <c r="P60" i="7"/>
  <c r="C60" i="7"/>
  <c r="T59" i="7"/>
  <c r="S59" i="7" s="1"/>
  <c r="P59" i="7"/>
  <c r="C59" i="7"/>
  <c r="T58" i="7"/>
  <c r="U58" i="7" s="1"/>
  <c r="V58" i="7" s="1"/>
  <c r="P58" i="7"/>
  <c r="J58" i="7"/>
  <c r="N58" i="7" s="1"/>
  <c r="C58" i="7"/>
  <c r="T57" i="7"/>
  <c r="S57" i="7" s="1"/>
  <c r="P57" i="7"/>
  <c r="C57" i="7"/>
  <c r="T56" i="7"/>
  <c r="U56" i="7" s="1"/>
  <c r="V56" i="7" s="1"/>
  <c r="P56" i="7"/>
  <c r="J56" i="7"/>
  <c r="N56" i="7" s="1"/>
  <c r="C56" i="7"/>
  <c r="T55" i="7"/>
  <c r="S55" i="7" s="1"/>
  <c r="P55" i="7"/>
  <c r="C55" i="7"/>
  <c r="T54" i="7"/>
  <c r="U54" i="7" s="1"/>
  <c r="V54" i="7" s="1"/>
  <c r="P54" i="7"/>
  <c r="C54" i="7"/>
  <c r="T53" i="7"/>
  <c r="S53" i="7" s="1"/>
  <c r="P53" i="7"/>
  <c r="C53" i="7"/>
  <c r="T52" i="7"/>
  <c r="U52" i="7" s="1"/>
  <c r="V52" i="7" s="1"/>
  <c r="P52" i="7"/>
  <c r="C52" i="7"/>
  <c r="T51" i="7"/>
  <c r="S51" i="7" s="1"/>
  <c r="P51" i="7"/>
  <c r="C51" i="7"/>
  <c r="T50" i="7"/>
  <c r="U50" i="7" s="1"/>
  <c r="V50" i="7" s="1"/>
  <c r="P50" i="7"/>
  <c r="J50" i="7"/>
  <c r="N50" i="7" s="1"/>
  <c r="C50" i="7"/>
  <c r="T49" i="7"/>
  <c r="S49" i="7" s="1"/>
  <c r="P49" i="7"/>
  <c r="C49" i="7"/>
  <c r="T48" i="7"/>
  <c r="U48" i="7" s="1"/>
  <c r="V48" i="7" s="1"/>
  <c r="P48" i="7"/>
  <c r="J48" i="7"/>
  <c r="N48" i="7" s="1"/>
  <c r="C48" i="7"/>
  <c r="T47" i="7"/>
  <c r="S47" i="7" s="1"/>
  <c r="P47" i="7"/>
  <c r="C47" i="7"/>
  <c r="T46" i="7"/>
  <c r="U46" i="7" s="1"/>
  <c r="V46" i="7" s="1"/>
  <c r="P46" i="7"/>
  <c r="C46" i="7"/>
  <c r="T45" i="7"/>
  <c r="S45" i="7" s="1"/>
  <c r="P45" i="7"/>
  <c r="C45" i="7"/>
  <c r="T44" i="7"/>
  <c r="U44" i="7" s="1"/>
  <c r="V44" i="7" s="1"/>
  <c r="P44" i="7"/>
  <c r="C44" i="7"/>
  <c r="T43" i="7"/>
  <c r="S43" i="7" s="1"/>
  <c r="P43" i="7"/>
  <c r="C43" i="7"/>
  <c r="T42" i="7"/>
  <c r="U42" i="7" s="1"/>
  <c r="V42" i="7" s="1"/>
  <c r="P42" i="7"/>
  <c r="J42" i="7"/>
  <c r="N42" i="7" s="1"/>
  <c r="C42" i="7"/>
  <c r="T41" i="7"/>
  <c r="S41" i="7" s="1"/>
  <c r="P41" i="7"/>
  <c r="C41" i="7"/>
  <c r="T40" i="7"/>
  <c r="U40" i="7" s="1"/>
  <c r="V40" i="7" s="1"/>
  <c r="P40" i="7"/>
  <c r="J40" i="7"/>
  <c r="N40" i="7" s="1"/>
  <c r="C40" i="7"/>
  <c r="T39" i="7"/>
  <c r="S39" i="7" s="1"/>
  <c r="P39" i="7"/>
  <c r="C39" i="7"/>
  <c r="T38" i="7"/>
  <c r="U38" i="7" s="1"/>
  <c r="V38" i="7" s="1"/>
  <c r="P38" i="7"/>
  <c r="C38" i="7"/>
  <c r="T37" i="7"/>
  <c r="S37" i="7" s="1"/>
  <c r="P37" i="7"/>
  <c r="C37" i="7"/>
  <c r="T36" i="7"/>
  <c r="U36" i="7" s="1"/>
  <c r="V36" i="7" s="1"/>
  <c r="P36" i="7"/>
  <c r="C36" i="7"/>
  <c r="T35" i="7"/>
  <c r="S35" i="7" s="1"/>
  <c r="P35" i="7"/>
  <c r="C35" i="7"/>
  <c r="T34" i="7"/>
  <c r="U34" i="7" s="1"/>
  <c r="V34" i="7" s="1"/>
  <c r="P34" i="7"/>
  <c r="J34" i="7"/>
  <c r="N34" i="7" s="1"/>
  <c r="C34" i="7"/>
  <c r="T33" i="7"/>
  <c r="S33" i="7" s="1"/>
  <c r="P33" i="7"/>
  <c r="C33" i="7"/>
  <c r="T32" i="7"/>
  <c r="U32" i="7" s="1"/>
  <c r="V32" i="7" s="1"/>
  <c r="P32" i="7"/>
  <c r="J32" i="7"/>
  <c r="N32" i="7" s="1"/>
  <c r="C32" i="7"/>
  <c r="T31" i="7"/>
  <c r="S31" i="7" s="1"/>
  <c r="P31" i="7"/>
  <c r="C31" i="7"/>
  <c r="T30" i="7"/>
  <c r="U30" i="7" s="1"/>
  <c r="V30" i="7" s="1"/>
  <c r="P30" i="7"/>
  <c r="C30" i="7"/>
  <c r="T29" i="7"/>
  <c r="S29" i="7" s="1"/>
  <c r="P29" i="7"/>
  <c r="C29" i="7"/>
  <c r="T28" i="7"/>
  <c r="U28" i="7" s="1"/>
  <c r="V28" i="7" s="1"/>
  <c r="P28" i="7"/>
  <c r="C28" i="7"/>
  <c r="T27" i="7"/>
  <c r="S27" i="7" s="1"/>
  <c r="P27" i="7"/>
  <c r="C27" i="7"/>
  <c r="T26" i="7"/>
  <c r="U26" i="7" s="1"/>
  <c r="V26" i="7" s="1"/>
  <c r="P26" i="7"/>
  <c r="J26" i="7"/>
  <c r="N26" i="7" s="1"/>
  <c r="C26" i="7"/>
  <c r="T25" i="7"/>
  <c r="S25" i="7" s="1"/>
  <c r="P25" i="7"/>
  <c r="C25" i="7"/>
  <c r="T24" i="7"/>
  <c r="U24" i="7" s="1"/>
  <c r="V24" i="7" s="1"/>
  <c r="P24" i="7"/>
  <c r="J24" i="7"/>
  <c r="N24" i="7" s="1"/>
  <c r="C24" i="7"/>
  <c r="T23" i="7"/>
  <c r="S23" i="7" s="1"/>
  <c r="P23" i="7"/>
  <c r="C23" i="7"/>
  <c r="T22" i="7"/>
  <c r="U22" i="7" s="1"/>
  <c r="V22" i="7" s="1"/>
  <c r="P22" i="7"/>
  <c r="C22" i="7"/>
  <c r="T21" i="7"/>
  <c r="S21" i="7" s="1"/>
  <c r="P21" i="7"/>
  <c r="C21" i="7"/>
  <c r="T20" i="7"/>
  <c r="U20" i="7" s="1"/>
  <c r="V20" i="7" s="1"/>
  <c r="P20" i="7"/>
  <c r="C20" i="7"/>
  <c r="T19" i="7"/>
  <c r="S19" i="7" s="1"/>
  <c r="P19" i="7"/>
  <c r="C19" i="7"/>
  <c r="T18" i="7"/>
  <c r="U18" i="7" s="1"/>
  <c r="V18" i="7" s="1"/>
  <c r="P18" i="7"/>
  <c r="J18" i="7"/>
  <c r="N18" i="7" s="1"/>
  <c r="C18" i="7"/>
  <c r="T17" i="7"/>
  <c r="S17" i="7" s="1"/>
  <c r="P17" i="7"/>
  <c r="C17" i="7"/>
  <c r="T16" i="7"/>
  <c r="U16" i="7" s="1"/>
  <c r="V16" i="7" s="1"/>
  <c r="P16" i="7"/>
  <c r="J16" i="7"/>
  <c r="N16" i="7" s="1"/>
  <c r="C16" i="7"/>
  <c r="T15" i="7"/>
  <c r="S15" i="7" s="1"/>
  <c r="P15" i="7"/>
  <c r="C15" i="7"/>
  <c r="T14" i="7"/>
  <c r="U14" i="7" s="1"/>
  <c r="V14" i="7" s="1"/>
  <c r="P14" i="7"/>
  <c r="C14" i="7"/>
  <c r="T13" i="7"/>
  <c r="S13" i="7" s="1"/>
  <c r="P13" i="7"/>
  <c r="C13" i="7"/>
  <c r="T12" i="7"/>
  <c r="U12" i="7" s="1"/>
  <c r="V12" i="7" s="1"/>
  <c r="P12" i="7"/>
  <c r="C12" i="7"/>
  <c r="T11" i="7"/>
  <c r="S11" i="7" s="1"/>
  <c r="P11" i="7"/>
  <c r="C11" i="7"/>
  <c r="T10" i="7"/>
  <c r="U10" i="7" s="1"/>
  <c r="V10" i="7" s="1"/>
  <c r="P10" i="7"/>
  <c r="J10" i="7"/>
  <c r="N10" i="7" s="1"/>
  <c r="C10" i="7"/>
  <c r="T9" i="7"/>
  <c r="S9" i="7" s="1"/>
  <c r="P9" i="7"/>
  <c r="C9" i="7"/>
  <c r="T8" i="7"/>
  <c r="U8" i="7" s="1"/>
  <c r="V8" i="7" s="1"/>
  <c r="P8" i="7"/>
  <c r="J8" i="7"/>
  <c r="N8" i="7" s="1"/>
  <c r="C8" i="7"/>
  <c r="T7" i="7"/>
  <c r="S7" i="7" s="1"/>
  <c r="P7" i="7"/>
  <c r="C7" i="7"/>
  <c r="T6" i="7"/>
  <c r="U6" i="7" s="1"/>
  <c r="V6" i="7" s="1"/>
  <c r="P6" i="7"/>
  <c r="C6" i="7"/>
  <c r="T5" i="7"/>
  <c r="S5" i="7" s="1"/>
  <c r="P5" i="7"/>
  <c r="C5" i="7"/>
  <c r="T4" i="7"/>
  <c r="U4" i="7" s="1"/>
  <c r="V4" i="7" s="1"/>
  <c r="P4" i="7"/>
  <c r="C4" i="7"/>
  <c r="W303" i="6"/>
  <c r="T303" i="6" s="1"/>
  <c r="V303" i="6"/>
  <c r="Q303" i="6"/>
  <c r="D303" i="6"/>
  <c r="W302" i="6"/>
  <c r="Q302" i="6" s="1"/>
  <c r="V302" i="6"/>
  <c r="D302" i="6"/>
  <c r="W301" i="6"/>
  <c r="Q301" i="6" s="1"/>
  <c r="V301" i="6"/>
  <c r="D301" i="6"/>
  <c r="W300" i="6"/>
  <c r="J300" i="6" s="1"/>
  <c r="O300" i="6" s="1"/>
  <c r="V300" i="6"/>
  <c r="Q300" i="6"/>
  <c r="D300" i="6"/>
  <c r="W299" i="6"/>
  <c r="V299" i="6"/>
  <c r="U299" i="6" s="1"/>
  <c r="T299" i="6"/>
  <c r="Q299" i="6"/>
  <c r="P299" i="6"/>
  <c r="O299" i="6"/>
  <c r="J299" i="6"/>
  <c r="D299" i="6"/>
  <c r="W298" i="6"/>
  <c r="U298" i="6" s="1"/>
  <c r="V298" i="6"/>
  <c r="D298" i="6"/>
  <c r="W297" i="6"/>
  <c r="Q297" i="6" s="1"/>
  <c r="V297" i="6"/>
  <c r="D297" i="6"/>
  <c r="W296" i="6"/>
  <c r="V296" i="6"/>
  <c r="U296" i="6" s="1"/>
  <c r="T296" i="6"/>
  <c r="Q296" i="6"/>
  <c r="J296" i="6"/>
  <c r="O296" i="6" s="1"/>
  <c r="D296" i="6"/>
  <c r="W295" i="6"/>
  <c r="P295" i="6" s="1"/>
  <c r="V295" i="6"/>
  <c r="U295" i="6"/>
  <c r="T295" i="6"/>
  <c r="Q295" i="6"/>
  <c r="O295" i="6"/>
  <c r="J295" i="6"/>
  <c r="D295" i="6"/>
  <c r="W294" i="6"/>
  <c r="V294" i="6"/>
  <c r="Q294" i="6"/>
  <c r="D294" i="6"/>
  <c r="W293" i="6"/>
  <c r="V293" i="6"/>
  <c r="Q293" i="6"/>
  <c r="D293" i="6"/>
  <c r="W292" i="6"/>
  <c r="V292" i="6"/>
  <c r="U292" i="6" s="1"/>
  <c r="T292" i="6"/>
  <c r="Q292" i="6"/>
  <c r="J292" i="6"/>
  <c r="O292" i="6" s="1"/>
  <c r="D292" i="6"/>
  <c r="W291" i="6"/>
  <c r="P291" i="6" s="1"/>
  <c r="V291" i="6"/>
  <c r="U291" i="6"/>
  <c r="T291" i="6"/>
  <c r="Q291" i="6"/>
  <c r="O291" i="6"/>
  <c r="J291" i="6"/>
  <c r="D291" i="6"/>
  <c r="W290" i="6"/>
  <c r="V290" i="6"/>
  <c r="Q290" i="6"/>
  <c r="D290" i="6"/>
  <c r="W289" i="6"/>
  <c r="V289" i="6"/>
  <c r="Q289" i="6"/>
  <c r="D289" i="6"/>
  <c r="W288" i="6"/>
  <c r="V288" i="6"/>
  <c r="U288" i="6" s="1"/>
  <c r="T288" i="6"/>
  <c r="Q288" i="6"/>
  <c r="J288" i="6"/>
  <c r="O288" i="6" s="1"/>
  <c r="D288" i="6"/>
  <c r="W287" i="6"/>
  <c r="P287" i="6" s="1"/>
  <c r="V287" i="6"/>
  <c r="U287" i="6"/>
  <c r="T287" i="6"/>
  <c r="Q287" i="6"/>
  <c r="O287" i="6"/>
  <c r="J287" i="6"/>
  <c r="D287" i="6"/>
  <c r="W286" i="6"/>
  <c r="V286" i="6"/>
  <c r="Q286" i="6"/>
  <c r="D286" i="6"/>
  <c r="W285" i="6"/>
  <c r="Q285" i="6" s="1"/>
  <c r="V285" i="6"/>
  <c r="D285" i="6"/>
  <c r="W284" i="6"/>
  <c r="V284" i="6"/>
  <c r="U284" i="6"/>
  <c r="T284" i="6"/>
  <c r="Q284" i="6"/>
  <c r="D284" i="6"/>
  <c r="W283" i="6"/>
  <c r="U283" i="6" s="1"/>
  <c r="V283" i="6"/>
  <c r="T283" i="6"/>
  <c r="Q283" i="6"/>
  <c r="J283" i="6"/>
  <c r="D283" i="6"/>
  <c r="W282" i="6"/>
  <c r="U282" i="6" s="1"/>
  <c r="V282" i="6"/>
  <c r="Q282" i="6"/>
  <c r="D282" i="6"/>
  <c r="W281" i="6"/>
  <c r="Q281" i="6" s="1"/>
  <c r="V281" i="6"/>
  <c r="D281" i="6"/>
  <c r="W280" i="6"/>
  <c r="J280" i="6" s="1"/>
  <c r="O280" i="6" s="1"/>
  <c r="V280" i="6"/>
  <c r="T280" i="6"/>
  <c r="Q280" i="6"/>
  <c r="D280" i="6"/>
  <c r="W279" i="6"/>
  <c r="T279" i="6" s="1"/>
  <c r="V279" i="6"/>
  <c r="Q279" i="6"/>
  <c r="D279" i="6"/>
  <c r="W278" i="6"/>
  <c r="U278" i="6" s="1"/>
  <c r="V278" i="6"/>
  <c r="D278" i="6"/>
  <c r="W277" i="6"/>
  <c r="Q277" i="6" s="1"/>
  <c r="V277" i="6"/>
  <c r="D277" i="6"/>
  <c r="W276" i="6"/>
  <c r="J276" i="6" s="1"/>
  <c r="O276" i="6" s="1"/>
  <c r="V276" i="6"/>
  <c r="T276" i="6"/>
  <c r="Q276" i="6"/>
  <c r="D276" i="6"/>
  <c r="W275" i="6"/>
  <c r="T275" i="6" s="1"/>
  <c r="V275" i="6"/>
  <c r="Q275" i="6"/>
  <c r="D275" i="6"/>
  <c r="W274" i="6"/>
  <c r="U274" i="6" s="1"/>
  <c r="V274" i="6"/>
  <c r="D274" i="6"/>
  <c r="W273" i="6"/>
  <c r="Q273" i="6" s="1"/>
  <c r="V273" i="6"/>
  <c r="D273" i="6"/>
  <c r="W272" i="6"/>
  <c r="U272" i="6" s="1"/>
  <c r="V272" i="6"/>
  <c r="T272" i="6"/>
  <c r="Q272" i="6"/>
  <c r="D272" i="6"/>
  <c r="W271" i="6"/>
  <c r="T271" i="6" s="1"/>
  <c r="V271" i="6"/>
  <c r="Q271" i="6"/>
  <c r="D271" i="6"/>
  <c r="W270" i="6"/>
  <c r="Q270" i="6" s="1"/>
  <c r="V270" i="6"/>
  <c r="D270" i="6"/>
  <c r="W269" i="6"/>
  <c r="V269" i="6"/>
  <c r="D269" i="6"/>
  <c r="W268" i="6"/>
  <c r="J268" i="6" s="1"/>
  <c r="O268" i="6" s="1"/>
  <c r="V268" i="6"/>
  <c r="Q268" i="6"/>
  <c r="D268" i="6"/>
  <c r="W267" i="6"/>
  <c r="V267" i="6"/>
  <c r="U267" i="6" s="1"/>
  <c r="T267" i="6"/>
  <c r="Q267" i="6"/>
  <c r="P267" i="6"/>
  <c r="O267" i="6"/>
  <c r="J267" i="6"/>
  <c r="D267" i="6"/>
  <c r="W266" i="6"/>
  <c r="U266" i="6" s="1"/>
  <c r="V266" i="6"/>
  <c r="D266" i="6"/>
  <c r="W265" i="6"/>
  <c r="Q265" i="6" s="1"/>
  <c r="V265" i="6"/>
  <c r="D265" i="6"/>
  <c r="W264" i="6"/>
  <c r="V264" i="6"/>
  <c r="U264" i="6" s="1"/>
  <c r="T264" i="6"/>
  <c r="Q264" i="6"/>
  <c r="J264" i="6"/>
  <c r="O264" i="6" s="1"/>
  <c r="D264" i="6"/>
  <c r="W263" i="6"/>
  <c r="P263" i="6" s="1"/>
  <c r="V263" i="6"/>
  <c r="U263" i="6"/>
  <c r="T263" i="6"/>
  <c r="Q263" i="6"/>
  <c r="O263" i="6"/>
  <c r="J263" i="6"/>
  <c r="D263" i="6"/>
  <c r="W262" i="6"/>
  <c r="V262" i="6"/>
  <c r="Q262" i="6"/>
  <c r="D262" i="6"/>
  <c r="W261" i="6"/>
  <c r="V261" i="6"/>
  <c r="Q261" i="6"/>
  <c r="D261" i="6"/>
  <c r="W260" i="6"/>
  <c r="V260" i="6"/>
  <c r="U260" i="6" s="1"/>
  <c r="T260" i="6"/>
  <c r="Q260" i="6"/>
  <c r="J260" i="6"/>
  <c r="O260" i="6" s="1"/>
  <c r="D260" i="6"/>
  <c r="W259" i="6"/>
  <c r="P259" i="6" s="1"/>
  <c r="V259" i="6"/>
  <c r="U259" i="6"/>
  <c r="T259" i="6"/>
  <c r="Q259" i="6"/>
  <c r="O259" i="6"/>
  <c r="J259" i="6"/>
  <c r="D259" i="6"/>
  <c r="W258" i="6"/>
  <c r="V258" i="6"/>
  <c r="Q258" i="6"/>
  <c r="D258" i="6"/>
  <c r="W257" i="6"/>
  <c r="V257" i="6"/>
  <c r="Q257" i="6"/>
  <c r="D257" i="6"/>
  <c r="W256" i="6"/>
  <c r="V256" i="6"/>
  <c r="U256" i="6" s="1"/>
  <c r="T256" i="6"/>
  <c r="Q256" i="6"/>
  <c r="J256" i="6"/>
  <c r="O256" i="6" s="1"/>
  <c r="D256" i="6"/>
  <c r="W255" i="6"/>
  <c r="P255" i="6" s="1"/>
  <c r="V255" i="6"/>
  <c r="U255" i="6"/>
  <c r="T255" i="6"/>
  <c r="Q255" i="6"/>
  <c r="O255" i="6"/>
  <c r="J255" i="6"/>
  <c r="D255" i="6"/>
  <c r="W254" i="6"/>
  <c r="V254" i="6"/>
  <c r="Q254" i="6"/>
  <c r="D254" i="6"/>
  <c r="W253" i="6"/>
  <c r="V253" i="6"/>
  <c r="D253" i="6"/>
  <c r="W252" i="6"/>
  <c r="V252" i="6"/>
  <c r="U252" i="6"/>
  <c r="T252" i="6"/>
  <c r="Q252" i="6"/>
  <c r="D252" i="6"/>
  <c r="W251" i="6"/>
  <c r="U251" i="6" s="1"/>
  <c r="V251" i="6"/>
  <c r="T251" i="6"/>
  <c r="Q251" i="6"/>
  <c r="J251" i="6"/>
  <c r="D251" i="6"/>
  <c r="W250" i="6"/>
  <c r="U250" i="6" s="1"/>
  <c r="V250" i="6"/>
  <c r="Q250" i="6"/>
  <c r="D250" i="6"/>
  <c r="W249" i="6"/>
  <c r="Q249" i="6" s="1"/>
  <c r="V249" i="6"/>
  <c r="D249" i="6"/>
  <c r="W248" i="6"/>
  <c r="J248" i="6" s="1"/>
  <c r="O248" i="6" s="1"/>
  <c r="V248" i="6"/>
  <c r="T248" i="6"/>
  <c r="Q248" i="6"/>
  <c r="D248" i="6"/>
  <c r="W247" i="6"/>
  <c r="T247" i="6" s="1"/>
  <c r="V247" i="6"/>
  <c r="Q247" i="6"/>
  <c r="D247" i="6"/>
  <c r="W246" i="6"/>
  <c r="U246" i="6" s="1"/>
  <c r="V246" i="6"/>
  <c r="D246" i="6"/>
  <c r="W245" i="6"/>
  <c r="Q245" i="6" s="1"/>
  <c r="V245" i="6"/>
  <c r="D245" i="6"/>
  <c r="W244" i="6"/>
  <c r="J244" i="6" s="1"/>
  <c r="O244" i="6" s="1"/>
  <c r="V244" i="6"/>
  <c r="T244" i="6"/>
  <c r="Q244" i="6"/>
  <c r="D244" i="6"/>
  <c r="W243" i="6"/>
  <c r="T243" i="6" s="1"/>
  <c r="V243" i="6"/>
  <c r="Q243" i="6"/>
  <c r="D243" i="6"/>
  <c r="W242" i="6"/>
  <c r="U242" i="6" s="1"/>
  <c r="V242" i="6"/>
  <c r="D242" i="6"/>
  <c r="W241" i="6"/>
  <c r="Q241" i="6" s="1"/>
  <c r="V241" i="6"/>
  <c r="D241" i="6"/>
  <c r="W240" i="6"/>
  <c r="U240" i="6" s="1"/>
  <c r="V240" i="6"/>
  <c r="T240" i="6"/>
  <c r="Q240" i="6"/>
  <c r="D240" i="6"/>
  <c r="W239" i="6"/>
  <c r="T239" i="6" s="1"/>
  <c r="V239" i="6"/>
  <c r="Q239" i="6"/>
  <c r="D239" i="6"/>
  <c r="W238" i="6"/>
  <c r="Q238" i="6" s="1"/>
  <c r="V238" i="6"/>
  <c r="D238" i="6"/>
  <c r="W237" i="6"/>
  <c r="V237" i="6"/>
  <c r="D237" i="6"/>
  <c r="W236" i="6"/>
  <c r="J236" i="6" s="1"/>
  <c r="O236" i="6" s="1"/>
  <c r="V236" i="6"/>
  <c r="Q236" i="6"/>
  <c r="D236" i="6"/>
  <c r="W235" i="6"/>
  <c r="V235" i="6"/>
  <c r="U235" i="6" s="1"/>
  <c r="T235" i="6"/>
  <c r="Q235" i="6"/>
  <c r="P235" i="6"/>
  <c r="O235" i="6"/>
  <c r="J235" i="6"/>
  <c r="D235" i="6"/>
  <c r="W234" i="6"/>
  <c r="U234" i="6" s="1"/>
  <c r="V234" i="6"/>
  <c r="D234" i="6"/>
  <c r="W233" i="6"/>
  <c r="Q233" i="6" s="1"/>
  <c r="V233" i="6"/>
  <c r="D233" i="6"/>
  <c r="W232" i="6"/>
  <c r="V232" i="6"/>
  <c r="U232" i="6" s="1"/>
  <c r="T232" i="6"/>
  <c r="Q232" i="6"/>
  <c r="J232" i="6"/>
  <c r="O232" i="6" s="1"/>
  <c r="D232" i="6"/>
  <c r="W231" i="6"/>
  <c r="P231" i="6" s="1"/>
  <c r="V231" i="6"/>
  <c r="U231" i="6"/>
  <c r="T231" i="6"/>
  <c r="Q231" i="6"/>
  <c r="O231" i="6"/>
  <c r="J231" i="6"/>
  <c r="D231" i="6"/>
  <c r="W230" i="6"/>
  <c r="V230" i="6"/>
  <c r="Q230" i="6"/>
  <c r="D230" i="6"/>
  <c r="W229" i="6"/>
  <c r="V229" i="6"/>
  <c r="Q229" i="6"/>
  <c r="D229" i="6"/>
  <c r="W228" i="6"/>
  <c r="V228" i="6"/>
  <c r="U228" i="6" s="1"/>
  <c r="T228" i="6"/>
  <c r="Q228" i="6"/>
  <c r="J228" i="6"/>
  <c r="O228" i="6" s="1"/>
  <c r="D228" i="6"/>
  <c r="W227" i="6"/>
  <c r="P227" i="6" s="1"/>
  <c r="V227" i="6"/>
  <c r="U227" i="6"/>
  <c r="T227" i="6"/>
  <c r="Q227" i="6"/>
  <c r="O227" i="6"/>
  <c r="J227" i="6"/>
  <c r="D227" i="6"/>
  <c r="W226" i="6"/>
  <c r="V226" i="6"/>
  <c r="Q226" i="6"/>
  <c r="D226" i="6"/>
  <c r="W225" i="6"/>
  <c r="V225" i="6"/>
  <c r="Q225" i="6"/>
  <c r="D225" i="6"/>
  <c r="W224" i="6"/>
  <c r="V224" i="6"/>
  <c r="U224" i="6" s="1"/>
  <c r="T224" i="6"/>
  <c r="Q224" i="6"/>
  <c r="J224" i="6"/>
  <c r="O224" i="6" s="1"/>
  <c r="D224" i="6"/>
  <c r="W223" i="6"/>
  <c r="P223" i="6" s="1"/>
  <c r="V223" i="6"/>
  <c r="U223" i="6"/>
  <c r="T223" i="6"/>
  <c r="Q223" i="6"/>
  <c r="O223" i="6"/>
  <c r="J223" i="6"/>
  <c r="D223" i="6"/>
  <c r="W222" i="6"/>
  <c r="V222" i="6"/>
  <c r="Q222" i="6"/>
  <c r="D222" i="6"/>
  <c r="W221" i="6"/>
  <c r="V221" i="6"/>
  <c r="D221" i="6"/>
  <c r="W220" i="6"/>
  <c r="V220" i="6"/>
  <c r="U220" i="6"/>
  <c r="T220" i="6"/>
  <c r="Q220" i="6"/>
  <c r="D220" i="6"/>
  <c r="W219" i="6"/>
  <c r="U219" i="6" s="1"/>
  <c r="V219" i="6"/>
  <c r="T219" i="6"/>
  <c r="Q219" i="6"/>
  <c r="J219" i="6"/>
  <c r="D219" i="6"/>
  <c r="W218" i="6"/>
  <c r="U218" i="6" s="1"/>
  <c r="V218" i="6"/>
  <c r="Q218" i="6"/>
  <c r="D218" i="6"/>
  <c r="W217" i="6"/>
  <c r="Q217" i="6" s="1"/>
  <c r="V217" i="6"/>
  <c r="D217" i="6"/>
  <c r="W216" i="6"/>
  <c r="J216" i="6" s="1"/>
  <c r="O216" i="6" s="1"/>
  <c r="V216" i="6"/>
  <c r="T216" i="6"/>
  <c r="Q216" i="6"/>
  <c r="D216" i="6"/>
  <c r="W215" i="6"/>
  <c r="Q215" i="6" s="1"/>
  <c r="V215" i="6"/>
  <c r="D215" i="6"/>
  <c r="W214" i="6"/>
  <c r="U214" i="6" s="1"/>
  <c r="V214" i="6"/>
  <c r="D214" i="6"/>
  <c r="W213" i="6"/>
  <c r="Q213" i="6" s="1"/>
  <c r="V213" i="6"/>
  <c r="D213" i="6"/>
  <c r="W212" i="6"/>
  <c r="J212" i="6" s="1"/>
  <c r="O212" i="6" s="1"/>
  <c r="V212" i="6"/>
  <c r="T212" i="6"/>
  <c r="Q212" i="6"/>
  <c r="D212" i="6"/>
  <c r="W211" i="6"/>
  <c r="V211" i="6"/>
  <c r="Q211" i="6"/>
  <c r="D211" i="6"/>
  <c r="W210" i="6"/>
  <c r="U210" i="6" s="1"/>
  <c r="V210" i="6"/>
  <c r="D210" i="6"/>
  <c r="W209" i="6"/>
  <c r="Q209" i="6" s="1"/>
  <c r="V209" i="6"/>
  <c r="D209" i="6"/>
  <c r="W208" i="6"/>
  <c r="U208" i="6" s="1"/>
  <c r="V208" i="6"/>
  <c r="T208" i="6"/>
  <c r="Q208" i="6"/>
  <c r="D208" i="6"/>
  <c r="W207" i="6"/>
  <c r="V207" i="6"/>
  <c r="Q207" i="6"/>
  <c r="D207" i="6"/>
  <c r="W206" i="6"/>
  <c r="Q206" i="6" s="1"/>
  <c r="V206" i="6"/>
  <c r="D206" i="6"/>
  <c r="W205" i="6"/>
  <c r="V205" i="6"/>
  <c r="D205" i="6"/>
  <c r="W204" i="6"/>
  <c r="Q204" i="6" s="1"/>
  <c r="V204" i="6"/>
  <c r="D204" i="6"/>
  <c r="W203" i="6"/>
  <c r="V203" i="6"/>
  <c r="U203" i="6" s="1"/>
  <c r="T203" i="6"/>
  <c r="Q203" i="6"/>
  <c r="P203" i="6"/>
  <c r="O203" i="6"/>
  <c r="J203" i="6"/>
  <c r="D203" i="6"/>
  <c r="W202" i="6"/>
  <c r="V202" i="6"/>
  <c r="D202" i="6"/>
  <c r="W201" i="6"/>
  <c r="Q201" i="6" s="1"/>
  <c r="V201" i="6"/>
  <c r="D201" i="6"/>
  <c r="W200" i="6"/>
  <c r="V200" i="6"/>
  <c r="U200" i="6"/>
  <c r="T200" i="6"/>
  <c r="Q200" i="6"/>
  <c r="J200" i="6"/>
  <c r="O200" i="6" s="1"/>
  <c r="D200" i="6"/>
  <c r="W199" i="6"/>
  <c r="P199" i="6" s="1"/>
  <c r="V199" i="6"/>
  <c r="U199" i="6"/>
  <c r="T199" i="6"/>
  <c r="Q199" i="6"/>
  <c r="J199" i="6"/>
  <c r="O199" i="6" s="1"/>
  <c r="D199" i="6"/>
  <c r="W198" i="6"/>
  <c r="V198" i="6"/>
  <c r="Q198" i="6"/>
  <c r="D198" i="6"/>
  <c r="W197" i="6"/>
  <c r="V197" i="6"/>
  <c r="Q197" i="6"/>
  <c r="D197" i="6"/>
  <c r="W196" i="6"/>
  <c r="V196" i="6"/>
  <c r="U196" i="6"/>
  <c r="T196" i="6"/>
  <c r="Q196" i="6"/>
  <c r="J196" i="6"/>
  <c r="O196" i="6" s="1"/>
  <c r="D196" i="6"/>
  <c r="W195" i="6"/>
  <c r="P195" i="6" s="1"/>
  <c r="V195" i="6"/>
  <c r="U195" i="6"/>
  <c r="T195" i="6"/>
  <c r="Q195" i="6"/>
  <c r="O195" i="6"/>
  <c r="J195" i="6"/>
  <c r="D195" i="6"/>
  <c r="W194" i="6"/>
  <c r="V194" i="6"/>
  <c r="Q194" i="6"/>
  <c r="D194" i="6"/>
  <c r="W193" i="6"/>
  <c r="V193" i="6"/>
  <c r="Q193" i="6"/>
  <c r="D193" i="6"/>
  <c r="W192" i="6"/>
  <c r="V192" i="6"/>
  <c r="U192" i="6" s="1"/>
  <c r="T192" i="6"/>
  <c r="Q192" i="6"/>
  <c r="J192" i="6"/>
  <c r="O192" i="6" s="1"/>
  <c r="D192" i="6"/>
  <c r="W191" i="6"/>
  <c r="V191" i="6"/>
  <c r="U191" i="6"/>
  <c r="T191" i="6"/>
  <c r="Q191" i="6"/>
  <c r="J191" i="6"/>
  <c r="O191" i="6" s="1"/>
  <c r="D191" i="6"/>
  <c r="W190" i="6"/>
  <c r="V190" i="6"/>
  <c r="Q190" i="6"/>
  <c r="D190" i="6"/>
  <c r="W189" i="6"/>
  <c r="V189" i="6"/>
  <c r="D189" i="6"/>
  <c r="W188" i="6"/>
  <c r="V188" i="6"/>
  <c r="U188" i="6"/>
  <c r="T188" i="6"/>
  <c r="Q188" i="6"/>
  <c r="D188" i="6"/>
  <c r="W187" i="6"/>
  <c r="T187" i="6" s="1"/>
  <c r="V187" i="6"/>
  <c r="J187" i="6"/>
  <c r="D187" i="6"/>
  <c r="W186" i="6"/>
  <c r="U186" i="6" s="1"/>
  <c r="V186" i="6"/>
  <c r="Q186" i="6"/>
  <c r="D186" i="6"/>
  <c r="W185" i="6"/>
  <c r="Q185" i="6" s="1"/>
  <c r="V185" i="6"/>
  <c r="D185" i="6"/>
  <c r="W184" i="6"/>
  <c r="V184" i="6"/>
  <c r="D184" i="6"/>
  <c r="W183" i="6"/>
  <c r="V183" i="6"/>
  <c r="Q183" i="6"/>
  <c r="D183" i="6"/>
  <c r="W182" i="6"/>
  <c r="V182" i="6"/>
  <c r="D182" i="6"/>
  <c r="W181" i="6"/>
  <c r="Q181" i="6" s="1"/>
  <c r="V181" i="6"/>
  <c r="D181" i="6"/>
  <c r="W180" i="6"/>
  <c r="V180" i="6"/>
  <c r="D180" i="6"/>
  <c r="W179" i="6"/>
  <c r="V179" i="6"/>
  <c r="Q179" i="6"/>
  <c r="D179" i="6"/>
  <c r="W178" i="6"/>
  <c r="V178" i="6"/>
  <c r="D178" i="6"/>
  <c r="W177" i="6"/>
  <c r="Q177" i="6" s="1"/>
  <c r="V177" i="6"/>
  <c r="D177" i="6"/>
  <c r="W176" i="6"/>
  <c r="V176" i="6"/>
  <c r="D176" i="6"/>
  <c r="W175" i="6"/>
  <c r="V175" i="6"/>
  <c r="Q175" i="6"/>
  <c r="D175" i="6"/>
  <c r="W174" i="6"/>
  <c r="Q174" i="6" s="1"/>
  <c r="V174" i="6"/>
  <c r="D174" i="6"/>
  <c r="W173" i="6"/>
  <c r="V173" i="6"/>
  <c r="D173" i="6"/>
  <c r="W172" i="6"/>
  <c r="V172" i="6"/>
  <c r="D172" i="6"/>
  <c r="W171" i="6"/>
  <c r="V171" i="6"/>
  <c r="U171" i="6"/>
  <c r="T171" i="6"/>
  <c r="Q171" i="6"/>
  <c r="P171" i="6"/>
  <c r="O171" i="6"/>
  <c r="J171" i="6"/>
  <c r="D171" i="6"/>
  <c r="W170" i="6"/>
  <c r="V170" i="6"/>
  <c r="D170" i="6"/>
  <c r="W169" i="6"/>
  <c r="Q169" i="6" s="1"/>
  <c r="V169" i="6"/>
  <c r="D169" i="6"/>
  <c r="W168" i="6"/>
  <c r="V168" i="6"/>
  <c r="U168" i="6" s="1"/>
  <c r="T168" i="6"/>
  <c r="Q168" i="6"/>
  <c r="J168" i="6"/>
  <c r="O168" i="6" s="1"/>
  <c r="D168" i="6"/>
  <c r="W167" i="6"/>
  <c r="P167" i="6" s="1"/>
  <c r="V167" i="6"/>
  <c r="U167" i="6"/>
  <c r="T167" i="6"/>
  <c r="Q167" i="6"/>
  <c r="O167" i="6"/>
  <c r="J167" i="6"/>
  <c r="D167" i="6"/>
  <c r="W166" i="6"/>
  <c r="V166" i="6"/>
  <c r="Q166" i="6"/>
  <c r="D166" i="6"/>
  <c r="W165" i="6"/>
  <c r="V165" i="6"/>
  <c r="Q165" i="6"/>
  <c r="D165" i="6"/>
  <c r="W164" i="6"/>
  <c r="V164" i="6"/>
  <c r="U164" i="6" s="1"/>
  <c r="T164" i="6"/>
  <c r="Q164" i="6"/>
  <c r="J164" i="6"/>
  <c r="O164" i="6" s="1"/>
  <c r="D164" i="6"/>
  <c r="W163" i="6"/>
  <c r="V163" i="6"/>
  <c r="U163" i="6"/>
  <c r="T163" i="6"/>
  <c r="Q163" i="6"/>
  <c r="J163" i="6"/>
  <c r="O163" i="6" s="1"/>
  <c r="D163" i="6"/>
  <c r="W162" i="6"/>
  <c r="V162" i="6"/>
  <c r="Q162" i="6"/>
  <c r="D162" i="6"/>
  <c r="W161" i="6"/>
  <c r="V161" i="6"/>
  <c r="Q161" i="6"/>
  <c r="D161" i="6"/>
  <c r="W160" i="6"/>
  <c r="V160" i="6"/>
  <c r="U160" i="6"/>
  <c r="T160" i="6"/>
  <c r="Q160" i="6"/>
  <c r="J160" i="6"/>
  <c r="O160" i="6" s="1"/>
  <c r="D160" i="6"/>
  <c r="W159" i="6"/>
  <c r="V159" i="6"/>
  <c r="U159" i="6"/>
  <c r="T159" i="6"/>
  <c r="Q159" i="6"/>
  <c r="J159" i="6"/>
  <c r="O159" i="6" s="1"/>
  <c r="D159" i="6"/>
  <c r="W158" i="6"/>
  <c r="V158" i="6"/>
  <c r="Q158" i="6"/>
  <c r="D158" i="6"/>
  <c r="W157" i="6"/>
  <c r="V157" i="6"/>
  <c r="D157" i="6"/>
  <c r="W156" i="6"/>
  <c r="V156" i="6"/>
  <c r="U156" i="6"/>
  <c r="T156" i="6"/>
  <c r="Q156" i="6"/>
  <c r="D156" i="6"/>
  <c r="W155" i="6"/>
  <c r="V155" i="6"/>
  <c r="T155" i="6"/>
  <c r="Q155" i="6"/>
  <c r="J155" i="6"/>
  <c r="D155" i="6"/>
  <c r="W154" i="6"/>
  <c r="U154" i="6" s="1"/>
  <c r="V154" i="6"/>
  <c r="Q154" i="6"/>
  <c r="D154" i="6"/>
  <c r="W153" i="6"/>
  <c r="Q153" i="6" s="1"/>
  <c r="V153" i="6"/>
  <c r="D153" i="6"/>
  <c r="W152" i="6"/>
  <c r="T152" i="6" s="1"/>
  <c r="V152" i="6"/>
  <c r="D152" i="6"/>
  <c r="W151" i="6"/>
  <c r="V151" i="6"/>
  <c r="D151" i="6"/>
  <c r="W150" i="6"/>
  <c r="V150" i="6"/>
  <c r="D150" i="6"/>
  <c r="W149" i="6"/>
  <c r="Q149" i="6" s="1"/>
  <c r="V149" i="6"/>
  <c r="D149" i="6"/>
  <c r="W148" i="6"/>
  <c r="T148" i="6" s="1"/>
  <c r="V148" i="6"/>
  <c r="D148" i="6"/>
  <c r="W147" i="6"/>
  <c r="V147" i="6"/>
  <c r="D147" i="6"/>
  <c r="W146" i="6"/>
  <c r="V146" i="6"/>
  <c r="D146" i="6"/>
  <c r="W145" i="6"/>
  <c r="Q145" i="6" s="1"/>
  <c r="V145" i="6"/>
  <c r="D145" i="6"/>
  <c r="W144" i="6"/>
  <c r="T144" i="6" s="1"/>
  <c r="V144" i="6"/>
  <c r="D144" i="6"/>
  <c r="W143" i="6"/>
  <c r="V143" i="6"/>
  <c r="D143" i="6"/>
  <c r="W142" i="6"/>
  <c r="Q142" i="6" s="1"/>
  <c r="V142" i="6"/>
  <c r="D142" i="6"/>
  <c r="W141" i="6"/>
  <c r="V141" i="6"/>
  <c r="D141" i="6"/>
  <c r="W140" i="6"/>
  <c r="Q140" i="6" s="1"/>
  <c r="V140" i="6"/>
  <c r="D140" i="6"/>
  <c r="W139" i="6"/>
  <c r="V139" i="6"/>
  <c r="U139" i="6" s="1"/>
  <c r="T139" i="6"/>
  <c r="Q139" i="6"/>
  <c r="P139" i="6"/>
  <c r="O139" i="6"/>
  <c r="J139" i="6"/>
  <c r="D139" i="6"/>
  <c r="W138" i="6"/>
  <c r="V138" i="6"/>
  <c r="D138" i="6"/>
  <c r="W137" i="6"/>
  <c r="Q137" i="6" s="1"/>
  <c r="V137" i="6"/>
  <c r="D137" i="6"/>
  <c r="W136" i="6"/>
  <c r="V136" i="6"/>
  <c r="U136" i="6" s="1"/>
  <c r="T136" i="6"/>
  <c r="Q136" i="6"/>
  <c r="J136" i="6"/>
  <c r="O136" i="6" s="1"/>
  <c r="D136" i="6"/>
  <c r="W135" i="6"/>
  <c r="V135" i="6"/>
  <c r="U135" i="6"/>
  <c r="T135" i="6"/>
  <c r="Q135" i="6"/>
  <c r="J135" i="6"/>
  <c r="O135" i="6" s="1"/>
  <c r="D135" i="6"/>
  <c r="W134" i="6"/>
  <c r="V134" i="6"/>
  <c r="Q134" i="6"/>
  <c r="D134" i="6"/>
  <c r="W133" i="6"/>
  <c r="V133" i="6"/>
  <c r="T133" i="6"/>
  <c r="Q133" i="6"/>
  <c r="J133" i="6"/>
  <c r="D133" i="6"/>
  <c r="W132" i="6"/>
  <c r="V132" i="6"/>
  <c r="D132" i="6"/>
  <c r="W131" i="6"/>
  <c r="V131" i="6"/>
  <c r="Q131" i="6"/>
  <c r="D131" i="6"/>
  <c r="W130" i="6"/>
  <c r="Q130" i="6" s="1"/>
  <c r="V130" i="6"/>
  <c r="D130" i="6"/>
  <c r="W129" i="6"/>
  <c r="V129" i="6"/>
  <c r="J129" i="6"/>
  <c r="D129" i="6"/>
  <c r="W128" i="6"/>
  <c r="V128" i="6"/>
  <c r="U128" i="6"/>
  <c r="T128" i="6"/>
  <c r="Q128" i="6"/>
  <c r="J128" i="6"/>
  <c r="D128" i="6"/>
  <c r="W127" i="6"/>
  <c r="V127" i="6"/>
  <c r="T127" i="6"/>
  <c r="Q127" i="6"/>
  <c r="J127" i="6"/>
  <c r="P127" i="6" s="1"/>
  <c r="D127" i="6"/>
  <c r="W126" i="6"/>
  <c r="Q126" i="6" s="1"/>
  <c r="V126" i="6"/>
  <c r="D126" i="6"/>
  <c r="W125" i="6"/>
  <c r="T125" i="6" s="1"/>
  <c r="V125" i="6"/>
  <c r="Q125" i="6"/>
  <c r="J125" i="6"/>
  <c r="D125" i="6"/>
  <c r="W124" i="6"/>
  <c r="V124" i="6"/>
  <c r="U124" i="6"/>
  <c r="T124" i="6"/>
  <c r="Q124" i="6"/>
  <c r="J124" i="6"/>
  <c r="O124" i="6" s="1"/>
  <c r="D124" i="6"/>
  <c r="W123" i="6"/>
  <c r="V123" i="6"/>
  <c r="U123" i="6" s="1"/>
  <c r="T123" i="6"/>
  <c r="Q123" i="6"/>
  <c r="J123" i="6"/>
  <c r="P123" i="6" s="1"/>
  <c r="D123" i="6"/>
  <c r="W122" i="6"/>
  <c r="Q122" i="6" s="1"/>
  <c r="V122" i="6"/>
  <c r="D122" i="6"/>
  <c r="W121" i="6"/>
  <c r="V121" i="6"/>
  <c r="T121" i="6"/>
  <c r="Q121" i="6"/>
  <c r="J121" i="6"/>
  <c r="D121" i="6"/>
  <c r="W120" i="6"/>
  <c r="V120" i="6"/>
  <c r="Q120" i="6"/>
  <c r="D120" i="6"/>
  <c r="W119" i="6"/>
  <c r="V119" i="6"/>
  <c r="U119" i="6" s="1"/>
  <c r="D119" i="6"/>
  <c r="W118" i="6"/>
  <c r="Q118" i="6" s="1"/>
  <c r="V118" i="6"/>
  <c r="D118" i="6"/>
  <c r="W117" i="6"/>
  <c r="V117" i="6"/>
  <c r="T117" i="6"/>
  <c r="Q117" i="6"/>
  <c r="J117" i="6"/>
  <c r="D117" i="6"/>
  <c r="W116" i="6"/>
  <c r="V116" i="6"/>
  <c r="T116" i="6"/>
  <c r="Q116" i="6"/>
  <c r="D116" i="6"/>
  <c r="W115" i="6"/>
  <c r="V115" i="6"/>
  <c r="Q115" i="6"/>
  <c r="D115" i="6"/>
  <c r="W114" i="6"/>
  <c r="Q114" i="6" s="1"/>
  <c r="V114" i="6"/>
  <c r="D114" i="6"/>
  <c r="W113" i="6"/>
  <c r="V113" i="6"/>
  <c r="J113" i="6"/>
  <c r="D113" i="6"/>
  <c r="W112" i="6"/>
  <c r="V112" i="6"/>
  <c r="U112" i="6"/>
  <c r="T112" i="6"/>
  <c r="Q112" i="6"/>
  <c r="J112" i="6"/>
  <c r="D112" i="6"/>
  <c r="W111" i="6"/>
  <c r="V111" i="6"/>
  <c r="T111" i="6"/>
  <c r="Q111" i="6"/>
  <c r="J111" i="6"/>
  <c r="P111" i="6" s="1"/>
  <c r="D111" i="6"/>
  <c r="W110" i="6"/>
  <c r="Q110" i="6" s="1"/>
  <c r="V110" i="6"/>
  <c r="D110" i="6"/>
  <c r="W109" i="6"/>
  <c r="T109" i="6" s="1"/>
  <c r="V109" i="6"/>
  <c r="Q109" i="6"/>
  <c r="J109" i="6"/>
  <c r="D109" i="6"/>
  <c r="W108" i="6"/>
  <c r="V108" i="6"/>
  <c r="U108" i="6" s="1"/>
  <c r="T108" i="6"/>
  <c r="Q108" i="6"/>
  <c r="O108" i="6"/>
  <c r="J108" i="6"/>
  <c r="D108" i="6"/>
  <c r="W107" i="6"/>
  <c r="V107" i="6"/>
  <c r="U107" i="6" s="1"/>
  <c r="T107" i="6"/>
  <c r="Q107" i="6"/>
  <c r="J107" i="6"/>
  <c r="P107" i="6" s="1"/>
  <c r="D107" i="6"/>
  <c r="W106" i="6"/>
  <c r="Q106" i="6" s="1"/>
  <c r="V106" i="6"/>
  <c r="D106" i="6"/>
  <c r="W105" i="6"/>
  <c r="V105" i="6"/>
  <c r="T105" i="6"/>
  <c r="Q105" i="6"/>
  <c r="J105" i="6"/>
  <c r="D105" i="6"/>
  <c r="W104" i="6"/>
  <c r="Q104" i="6" s="1"/>
  <c r="V104" i="6"/>
  <c r="D104" i="6"/>
  <c r="W103" i="6"/>
  <c r="V103" i="6"/>
  <c r="D103" i="6"/>
  <c r="W102" i="6"/>
  <c r="Q102" i="6" s="1"/>
  <c r="V102" i="6"/>
  <c r="D102" i="6"/>
  <c r="W101" i="6"/>
  <c r="V101" i="6"/>
  <c r="T101" i="6"/>
  <c r="Q101" i="6"/>
  <c r="J101" i="6"/>
  <c r="D101" i="6"/>
  <c r="W100" i="6"/>
  <c r="V100" i="6"/>
  <c r="T100" i="6"/>
  <c r="Q100" i="6"/>
  <c r="D100" i="6"/>
  <c r="W99" i="6"/>
  <c r="Q99" i="6" s="1"/>
  <c r="V99" i="6"/>
  <c r="D99" i="6"/>
  <c r="W98" i="6"/>
  <c r="Q98" i="6" s="1"/>
  <c r="V98" i="6"/>
  <c r="D98" i="6"/>
  <c r="W97" i="6"/>
  <c r="J97" i="6" s="1"/>
  <c r="V97" i="6"/>
  <c r="D97" i="6"/>
  <c r="W96" i="6"/>
  <c r="V96" i="6"/>
  <c r="U96" i="6"/>
  <c r="T96" i="6"/>
  <c r="Q96" i="6"/>
  <c r="J96" i="6"/>
  <c r="D96" i="6"/>
  <c r="W95" i="6"/>
  <c r="V95" i="6"/>
  <c r="T95" i="6"/>
  <c r="Q95" i="6"/>
  <c r="J95" i="6"/>
  <c r="P95" i="6" s="1"/>
  <c r="D95" i="6"/>
  <c r="W94" i="6"/>
  <c r="Q94" i="6" s="1"/>
  <c r="V94" i="6"/>
  <c r="D94" i="6"/>
  <c r="W93" i="6"/>
  <c r="T93" i="6" s="1"/>
  <c r="V93" i="6"/>
  <c r="D93" i="6"/>
  <c r="W92" i="6"/>
  <c r="V92" i="6"/>
  <c r="U92" i="6" s="1"/>
  <c r="T92" i="6"/>
  <c r="Q92" i="6"/>
  <c r="O92" i="6"/>
  <c r="J92" i="6"/>
  <c r="D92" i="6"/>
  <c r="W91" i="6"/>
  <c r="V91" i="6"/>
  <c r="U91" i="6" s="1"/>
  <c r="T91" i="6"/>
  <c r="Q91" i="6"/>
  <c r="O91" i="6"/>
  <c r="J91" i="6"/>
  <c r="P91" i="6" s="1"/>
  <c r="D91" i="6"/>
  <c r="W90" i="6"/>
  <c r="Q90" i="6" s="1"/>
  <c r="V90" i="6"/>
  <c r="D90" i="6"/>
  <c r="W89" i="6"/>
  <c r="V89" i="6"/>
  <c r="T89" i="6"/>
  <c r="Q89" i="6"/>
  <c r="J89" i="6"/>
  <c r="D89" i="6"/>
  <c r="W88" i="6"/>
  <c r="V88" i="6"/>
  <c r="D88" i="6"/>
  <c r="W87" i="6"/>
  <c r="V87" i="6"/>
  <c r="D87" i="6"/>
  <c r="W86" i="6"/>
  <c r="Q86" i="6" s="1"/>
  <c r="V86" i="6"/>
  <c r="D86" i="6"/>
  <c r="W85" i="6"/>
  <c r="V85" i="6"/>
  <c r="T85" i="6"/>
  <c r="Q85" i="6"/>
  <c r="J85" i="6"/>
  <c r="D85" i="6"/>
  <c r="W84" i="6"/>
  <c r="T84" i="6" s="1"/>
  <c r="V84" i="6"/>
  <c r="D84" i="6"/>
  <c r="W83" i="6"/>
  <c r="V83" i="6"/>
  <c r="D83" i="6"/>
  <c r="W82" i="6"/>
  <c r="Q82" i="6" s="1"/>
  <c r="V82" i="6"/>
  <c r="D82" i="6"/>
  <c r="W81" i="6"/>
  <c r="V81" i="6"/>
  <c r="D81" i="6"/>
  <c r="W80" i="6"/>
  <c r="V80" i="6"/>
  <c r="U80" i="6"/>
  <c r="T80" i="6"/>
  <c r="Q80" i="6"/>
  <c r="J80" i="6"/>
  <c r="D80" i="6"/>
  <c r="W79" i="6"/>
  <c r="V79" i="6"/>
  <c r="T79" i="6"/>
  <c r="Q79" i="6"/>
  <c r="J79" i="6"/>
  <c r="P79" i="6" s="1"/>
  <c r="D79" i="6"/>
  <c r="W78" i="6"/>
  <c r="Q78" i="6" s="1"/>
  <c r="V78" i="6"/>
  <c r="D78" i="6"/>
  <c r="W77" i="6"/>
  <c r="T77" i="6" s="1"/>
  <c r="V77" i="6"/>
  <c r="D77" i="6"/>
  <c r="W76" i="6"/>
  <c r="V76" i="6"/>
  <c r="U76" i="6"/>
  <c r="T76" i="6"/>
  <c r="Q76" i="6"/>
  <c r="J76" i="6"/>
  <c r="O76" i="6" s="1"/>
  <c r="D76" i="6"/>
  <c r="W75" i="6"/>
  <c r="V75" i="6"/>
  <c r="U75" i="6" s="1"/>
  <c r="T75" i="6"/>
  <c r="Q75" i="6"/>
  <c r="O75" i="6"/>
  <c r="J75" i="6"/>
  <c r="P75" i="6" s="1"/>
  <c r="D75" i="6"/>
  <c r="W74" i="6"/>
  <c r="Q74" i="6" s="1"/>
  <c r="V74" i="6"/>
  <c r="D74" i="6"/>
  <c r="W73" i="6"/>
  <c r="V73" i="6"/>
  <c r="T73" i="6"/>
  <c r="Q73" i="6"/>
  <c r="J73" i="6"/>
  <c r="D73" i="6"/>
  <c r="W72" i="6"/>
  <c r="V72" i="6"/>
  <c r="Q72" i="6"/>
  <c r="D72" i="6"/>
  <c r="W71" i="6"/>
  <c r="V71" i="6"/>
  <c r="U71" i="6" s="1"/>
  <c r="D71" i="6"/>
  <c r="W70" i="6"/>
  <c r="Q70" i="6" s="1"/>
  <c r="V70" i="6"/>
  <c r="D70" i="6"/>
  <c r="W69" i="6"/>
  <c r="V69" i="6"/>
  <c r="T69" i="6"/>
  <c r="Q69" i="6"/>
  <c r="J69" i="6"/>
  <c r="D69" i="6"/>
  <c r="W68" i="6"/>
  <c r="V68" i="6"/>
  <c r="D68" i="6"/>
  <c r="W67" i="6"/>
  <c r="V67" i="6"/>
  <c r="Q67" i="6"/>
  <c r="D67" i="6"/>
  <c r="W66" i="6"/>
  <c r="Q66" i="6" s="1"/>
  <c r="V66" i="6"/>
  <c r="D66" i="6"/>
  <c r="W65" i="6"/>
  <c r="V65" i="6"/>
  <c r="J65" i="6"/>
  <c r="D65" i="6"/>
  <c r="W64" i="6"/>
  <c r="V64" i="6"/>
  <c r="U64" i="6"/>
  <c r="T64" i="6"/>
  <c r="Q64" i="6"/>
  <c r="J64" i="6"/>
  <c r="O64" i="6" s="1"/>
  <c r="D64" i="6"/>
  <c r="W63" i="6"/>
  <c r="V63" i="6"/>
  <c r="T63" i="6"/>
  <c r="Q63" i="6"/>
  <c r="J63" i="6"/>
  <c r="P63" i="6" s="1"/>
  <c r="D63" i="6"/>
  <c r="W62" i="6"/>
  <c r="Q62" i="6" s="1"/>
  <c r="V62" i="6"/>
  <c r="D62" i="6"/>
  <c r="W61" i="6"/>
  <c r="T61" i="6" s="1"/>
  <c r="V61" i="6"/>
  <c r="Q61" i="6"/>
  <c r="J61" i="6"/>
  <c r="D61" i="6"/>
  <c r="W60" i="6"/>
  <c r="V60" i="6"/>
  <c r="U60" i="6"/>
  <c r="T60" i="6"/>
  <c r="Q60" i="6"/>
  <c r="J60" i="6"/>
  <c r="O60" i="6" s="1"/>
  <c r="D60" i="6"/>
  <c r="W59" i="6"/>
  <c r="V59" i="6"/>
  <c r="U59" i="6" s="1"/>
  <c r="T59" i="6"/>
  <c r="Q59" i="6"/>
  <c r="J59" i="6"/>
  <c r="P59" i="6" s="1"/>
  <c r="D59" i="6"/>
  <c r="W58" i="6"/>
  <c r="Q58" i="6" s="1"/>
  <c r="V58" i="6"/>
  <c r="D58" i="6"/>
  <c r="W57" i="6"/>
  <c r="V57" i="6"/>
  <c r="T57" i="6"/>
  <c r="Q57" i="6"/>
  <c r="J57" i="6"/>
  <c r="D57" i="6"/>
  <c r="W56" i="6"/>
  <c r="V56" i="6"/>
  <c r="Q56" i="6"/>
  <c r="D56" i="6"/>
  <c r="W55" i="6"/>
  <c r="V55" i="6"/>
  <c r="U55" i="6" s="1"/>
  <c r="D55" i="6"/>
  <c r="W54" i="6"/>
  <c r="Q54" i="6" s="1"/>
  <c r="V54" i="6"/>
  <c r="D54" i="6"/>
  <c r="W53" i="6"/>
  <c r="Q53" i="6" s="1"/>
  <c r="V53" i="6"/>
  <c r="T53" i="6"/>
  <c r="J53" i="6"/>
  <c r="D53" i="6"/>
  <c r="W52" i="6"/>
  <c r="V52" i="6"/>
  <c r="D52" i="6"/>
  <c r="W51" i="6"/>
  <c r="V51" i="6"/>
  <c r="Q51" i="6"/>
  <c r="D51" i="6"/>
  <c r="W50" i="6"/>
  <c r="Q50" i="6" s="1"/>
  <c r="V50" i="6"/>
  <c r="D50" i="6"/>
  <c r="W49" i="6"/>
  <c r="V49" i="6"/>
  <c r="T49" i="6"/>
  <c r="Q49" i="6"/>
  <c r="J49" i="6"/>
  <c r="D49" i="6"/>
  <c r="W48" i="6"/>
  <c r="U48" i="6" s="1"/>
  <c r="V48" i="6"/>
  <c r="Q48" i="6"/>
  <c r="D48" i="6"/>
  <c r="W47" i="6"/>
  <c r="Q47" i="6" s="1"/>
  <c r="V47" i="6"/>
  <c r="U47" i="6" s="1"/>
  <c r="D47" i="6"/>
  <c r="W46" i="6"/>
  <c r="Q46" i="6" s="1"/>
  <c r="V46" i="6"/>
  <c r="D46" i="6"/>
  <c r="W45" i="6"/>
  <c r="Q45" i="6" s="1"/>
  <c r="V45" i="6"/>
  <c r="T45" i="6"/>
  <c r="J45" i="6"/>
  <c r="D45" i="6"/>
  <c r="W44" i="6"/>
  <c r="V44" i="6"/>
  <c r="Q44" i="6"/>
  <c r="D44" i="6"/>
  <c r="W43" i="6"/>
  <c r="T43" i="6" s="1"/>
  <c r="V43" i="6"/>
  <c r="D43" i="6"/>
  <c r="W42" i="6"/>
  <c r="Q42" i="6" s="1"/>
  <c r="V42" i="6"/>
  <c r="D42" i="6"/>
  <c r="W41" i="6"/>
  <c r="Q41" i="6" s="1"/>
  <c r="V41" i="6"/>
  <c r="J41" i="6"/>
  <c r="D41" i="6"/>
  <c r="W40" i="6"/>
  <c r="V40" i="6"/>
  <c r="U40" i="6"/>
  <c r="T40" i="6"/>
  <c r="Q40" i="6"/>
  <c r="J40" i="6"/>
  <c r="O40" i="6" s="1"/>
  <c r="D40" i="6"/>
  <c r="W39" i="6"/>
  <c r="T39" i="6" s="1"/>
  <c r="V39" i="6"/>
  <c r="D39" i="6"/>
  <c r="W38" i="6"/>
  <c r="Q38" i="6" s="1"/>
  <c r="V38" i="6"/>
  <c r="D38" i="6"/>
  <c r="W37" i="6"/>
  <c r="Q37" i="6" s="1"/>
  <c r="V37" i="6"/>
  <c r="J37" i="6"/>
  <c r="D37" i="6"/>
  <c r="W36" i="6"/>
  <c r="V36" i="6"/>
  <c r="U36" i="6"/>
  <c r="T36" i="6"/>
  <c r="Q36" i="6"/>
  <c r="J36" i="6"/>
  <c r="O36" i="6" s="1"/>
  <c r="D36" i="6"/>
  <c r="W35" i="6"/>
  <c r="U35" i="6" s="1"/>
  <c r="V35" i="6"/>
  <c r="Q35" i="6"/>
  <c r="D35" i="6"/>
  <c r="W34" i="6"/>
  <c r="Q34" i="6" s="1"/>
  <c r="V34" i="6"/>
  <c r="D34" i="6"/>
  <c r="W33" i="6"/>
  <c r="T33" i="6" s="1"/>
  <c r="V33" i="6"/>
  <c r="D33" i="6"/>
  <c r="W32" i="6"/>
  <c r="V32" i="6"/>
  <c r="U32" i="6"/>
  <c r="T32" i="6"/>
  <c r="Q32" i="6"/>
  <c r="J32" i="6"/>
  <c r="O32" i="6" s="1"/>
  <c r="D32" i="6"/>
  <c r="W31" i="6"/>
  <c r="U31" i="6" s="1"/>
  <c r="V31" i="6"/>
  <c r="Q31" i="6"/>
  <c r="D31" i="6"/>
  <c r="W30" i="6"/>
  <c r="Q30" i="6" s="1"/>
  <c r="V30" i="6"/>
  <c r="D30" i="6"/>
  <c r="W29" i="6"/>
  <c r="T29" i="6" s="1"/>
  <c r="V29" i="6"/>
  <c r="D29" i="6"/>
  <c r="W28" i="6"/>
  <c r="V28" i="6"/>
  <c r="U28" i="6"/>
  <c r="T28" i="6"/>
  <c r="Q28" i="6"/>
  <c r="D28" i="6"/>
  <c r="W27" i="6"/>
  <c r="U27" i="6" s="1"/>
  <c r="V27" i="6"/>
  <c r="Q27" i="6"/>
  <c r="D27" i="6"/>
  <c r="W26" i="6"/>
  <c r="Q26" i="6" s="1"/>
  <c r="V26" i="6"/>
  <c r="D26" i="6"/>
  <c r="W25" i="6"/>
  <c r="J25" i="6" s="1"/>
  <c r="P25" i="6" s="1"/>
  <c r="V25" i="6"/>
  <c r="D25" i="6"/>
  <c r="W24" i="6"/>
  <c r="U24" i="6" s="1"/>
  <c r="V24" i="6"/>
  <c r="D24" i="6"/>
  <c r="W23" i="6"/>
  <c r="V23" i="6"/>
  <c r="T23" i="6"/>
  <c r="Q23" i="6"/>
  <c r="J23" i="6"/>
  <c r="D23" i="6"/>
  <c r="W22" i="6"/>
  <c r="U22" i="6" s="1"/>
  <c r="V22" i="6"/>
  <c r="D22" i="6"/>
  <c r="W21" i="6"/>
  <c r="T21" i="6" s="1"/>
  <c r="V21" i="6"/>
  <c r="D21" i="6"/>
  <c r="W20" i="6"/>
  <c r="Q20" i="6" s="1"/>
  <c r="V20" i="6"/>
  <c r="D20" i="6"/>
  <c r="W19" i="6"/>
  <c r="U19" i="6" s="1"/>
  <c r="V19" i="6"/>
  <c r="Q19" i="6"/>
  <c r="D19" i="6"/>
  <c r="W18" i="6"/>
  <c r="U18" i="6" s="1"/>
  <c r="V18" i="6"/>
  <c r="Q18" i="6"/>
  <c r="D18" i="6"/>
  <c r="W17" i="6"/>
  <c r="V17" i="6"/>
  <c r="D17" i="6"/>
  <c r="W16" i="6"/>
  <c r="U16" i="6" s="1"/>
  <c r="V16" i="6"/>
  <c r="Q16" i="6"/>
  <c r="D16" i="6"/>
  <c r="W15" i="6"/>
  <c r="T15" i="6" s="1"/>
  <c r="V15" i="6"/>
  <c r="D15" i="6"/>
  <c r="W14" i="6"/>
  <c r="V14" i="6"/>
  <c r="D14" i="6"/>
  <c r="W13" i="6"/>
  <c r="V13" i="6"/>
  <c r="T13" i="6"/>
  <c r="Q13" i="6"/>
  <c r="J13" i="6"/>
  <c r="P13" i="6" s="1"/>
  <c r="D13" i="6"/>
  <c r="W12" i="6"/>
  <c r="U12" i="6" s="1"/>
  <c r="V12" i="6"/>
  <c r="J12" i="6"/>
  <c r="D12" i="6"/>
  <c r="W11" i="6"/>
  <c r="V11" i="6"/>
  <c r="U11" i="6"/>
  <c r="T11" i="6"/>
  <c r="Q11" i="6"/>
  <c r="J11" i="6"/>
  <c r="P11" i="6" s="1"/>
  <c r="D11" i="6"/>
  <c r="W10" i="6"/>
  <c r="V10" i="6"/>
  <c r="U10" i="6" s="1"/>
  <c r="Q10" i="6"/>
  <c r="D10" i="6"/>
  <c r="W9" i="6"/>
  <c r="J9" i="6" s="1"/>
  <c r="P9" i="6" s="1"/>
  <c r="V9" i="6"/>
  <c r="T9" i="6"/>
  <c r="D9" i="6"/>
  <c r="W8" i="6"/>
  <c r="Q8" i="6" s="1"/>
  <c r="V8" i="6"/>
  <c r="T8" i="6"/>
  <c r="D8" i="6"/>
  <c r="W7" i="6"/>
  <c r="Q7" i="6" s="1"/>
  <c r="V7" i="6"/>
  <c r="U7" i="6" s="1"/>
  <c r="J7" i="6"/>
  <c r="D7" i="6"/>
  <c r="W6" i="6"/>
  <c r="V6" i="6"/>
  <c r="U6" i="6"/>
  <c r="D6" i="6"/>
  <c r="W5" i="6"/>
  <c r="T5" i="6" s="1"/>
  <c r="V5" i="6"/>
  <c r="Q5" i="6"/>
  <c r="J5" i="6"/>
  <c r="P5" i="6" s="1"/>
  <c r="D5" i="6"/>
  <c r="W4" i="6"/>
  <c r="V4" i="6"/>
  <c r="Q4" i="6"/>
  <c r="D4" i="6"/>
  <c r="U403" i="5"/>
  <c r="W403" i="5" s="1"/>
  <c r="Q403" i="5"/>
  <c r="M403" i="5"/>
  <c r="C403" i="5"/>
  <c r="W402" i="5"/>
  <c r="V402" i="5"/>
  <c r="U402" i="5"/>
  <c r="Q402" i="5"/>
  <c r="P402" i="5"/>
  <c r="O402" i="5"/>
  <c r="K402" i="5"/>
  <c r="C402" i="5"/>
  <c r="U401" i="5"/>
  <c r="V401" i="5" s="1"/>
  <c r="X401" i="5" s="1"/>
  <c r="Q401" i="5"/>
  <c r="C401" i="5"/>
  <c r="U400" i="5"/>
  <c r="Q400" i="5"/>
  <c r="M400" i="5"/>
  <c r="C400" i="5"/>
  <c r="U399" i="5"/>
  <c r="V399" i="5" s="1"/>
  <c r="X399" i="5" s="1"/>
  <c r="T399" i="5"/>
  <c r="Q399" i="5"/>
  <c r="M399" i="5"/>
  <c r="K399" i="5"/>
  <c r="O399" i="5" s="1"/>
  <c r="C399" i="5"/>
  <c r="U398" i="5"/>
  <c r="W398" i="5" s="1"/>
  <c r="Q398" i="5"/>
  <c r="K398" i="5"/>
  <c r="C398" i="5"/>
  <c r="U397" i="5"/>
  <c r="V397" i="5" s="1"/>
  <c r="X397" i="5" s="1"/>
  <c r="T397" i="5"/>
  <c r="Q397" i="5"/>
  <c r="C397" i="5"/>
  <c r="U396" i="5"/>
  <c r="M396" i="5" s="1"/>
  <c r="Q396" i="5"/>
  <c r="C396" i="5"/>
  <c r="W395" i="5"/>
  <c r="V395" i="5"/>
  <c r="X395" i="5" s="1"/>
  <c r="U395" i="5"/>
  <c r="T395" i="5"/>
  <c r="Q395" i="5"/>
  <c r="M395" i="5"/>
  <c r="K395" i="5"/>
  <c r="O395" i="5" s="1"/>
  <c r="C395" i="5"/>
  <c r="U394" i="5"/>
  <c r="V394" i="5" s="1"/>
  <c r="Q394" i="5"/>
  <c r="K394" i="5"/>
  <c r="C394" i="5"/>
  <c r="U393" i="5"/>
  <c r="V393" i="5" s="1"/>
  <c r="T393" i="5"/>
  <c r="Q393" i="5"/>
  <c r="C393" i="5"/>
  <c r="U392" i="5"/>
  <c r="M392" i="5" s="1"/>
  <c r="Q392" i="5"/>
  <c r="C392" i="5"/>
  <c r="W391" i="5"/>
  <c r="V391" i="5"/>
  <c r="X391" i="5" s="1"/>
  <c r="U391" i="5"/>
  <c r="T391" i="5"/>
  <c r="Q391" i="5"/>
  <c r="M391" i="5"/>
  <c r="K391" i="5"/>
  <c r="O391" i="5" s="1"/>
  <c r="C391" i="5"/>
  <c r="U390" i="5"/>
  <c r="V390" i="5" s="1"/>
  <c r="Q390" i="5"/>
  <c r="K390" i="5"/>
  <c r="C390" i="5"/>
  <c r="V389" i="5"/>
  <c r="X389" i="5" s="1"/>
  <c r="U389" i="5"/>
  <c r="T389" i="5"/>
  <c r="Q389" i="5"/>
  <c r="M389" i="5"/>
  <c r="C389" i="5"/>
  <c r="U388" i="5"/>
  <c r="K388" i="5" s="1"/>
  <c r="T388" i="5"/>
  <c r="Q388" i="5"/>
  <c r="C388" i="5"/>
  <c r="W387" i="5"/>
  <c r="V387" i="5"/>
  <c r="X387" i="5" s="1"/>
  <c r="U387" i="5"/>
  <c r="T387" i="5"/>
  <c r="Q387" i="5"/>
  <c r="M387" i="5"/>
  <c r="K387" i="5"/>
  <c r="O387" i="5" s="1"/>
  <c r="C387" i="5"/>
  <c r="U386" i="5"/>
  <c r="V386" i="5" s="1"/>
  <c r="Q386" i="5"/>
  <c r="K386" i="5"/>
  <c r="C386" i="5"/>
  <c r="V385" i="5"/>
  <c r="X385" i="5" s="1"/>
  <c r="U385" i="5"/>
  <c r="T385" i="5"/>
  <c r="Q385" i="5"/>
  <c r="M385" i="5"/>
  <c r="C385" i="5"/>
  <c r="U384" i="5"/>
  <c r="K384" i="5" s="1"/>
  <c r="T384" i="5"/>
  <c r="Q384" i="5"/>
  <c r="C384" i="5"/>
  <c r="W383" i="5"/>
  <c r="V383" i="5"/>
  <c r="X383" i="5" s="1"/>
  <c r="U383" i="5"/>
  <c r="T383" i="5"/>
  <c r="Q383" i="5"/>
  <c r="M383" i="5"/>
  <c r="K383" i="5"/>
  <c r="O383" i="5" s="1"/>
  <c r="C383" i="5"/>
  <c r="U382" i="5"/>
  <c r="V382" i="5" s="1"/>
  <c r="Q382" i="5"/>
  <c r="K382" i="5"/>
  <c r="C382" i="5"/>
  <c r="V381" i="5"/>
  <c r="X381" i="5" s="1"/>
  <c r="U381" i="5"/>
  <c r="T381" i="5"/>
  <c r="Q381" i="5"/>
  <c r="M381" i="5"/>
  <c r="C381" i="5"/>
  <c r="U380" i="5"/>
  <c r="K380" i="5" s="1"/>
  <c r="T380" i="5"/>
  <c r="Q380" i="5"/>
  <c r="C380" i="5"/>
  <c r="W379" i="5"/>
  <c r="V379" i="5"/>
  <c r="X379" i="5" s="1"/>
  <c r="U379" i="5"/>
  <c r="T379" i="5"/>
  <c r="Q379" i="5"/>
  <c r="M379" i="5"/>
  <c r="K379" i="5"/>
  <c r="O379" i="5" s="1"/>
  <c r="C379" i="5"/>
  <c r="U378" i="5"/>
  <c r="V378" i="5" s="1"/>
  <c r="Q378" i="5"/>
  <c r="K378" i="5"/>
  <c r="C378" i="5"/>
  <c r="V377" i="5"/>
  <c r="X377" i="5" s="1"/>
  <c r="U377" i="5"/>
  <c r="T377" i="5"/>
  <c r="Q377" i="5"/>
  <c r="M377" i="5"/>
  <c r="C377" i="5"/>
  <c r="U376" i="5"/>
  <c r="T376" i="5" s="1"/>
  <c r="Q376" i="5"/>
  <c r="C376" i="5"/>
  <c r="W375" i="5"/>
  <c r="V375" i="5"/>
  <c r="X375" i="5" s="1"/>
  <c r="U375" i="5"/>
  <c r="T375" i="5" s="1"/>
  <c r="Q375" i="5"/>
  <c r="M375" i="5"/>
  <c r="C375" i="5"/>
  <c r="W374" i="5"/>
  <c r="V374" i="5"/>
  <c r="U374" i="5"/>
  <c r="Q374" i="5"/>
  <c r="P374" i="5"/>
  <c r="O374" i="5"/>
  <c r="K374" i="5"/>
  <c r="C374" i="5"/>
  <c r="V373" i="5"/>
  <c r="X373" i="5" s="1"/>
  <c r="U373" i="5"/>
  <c r="T373" i="5" s="1"/>
  <c r="Q373" i="5"/>
  <c r="M373" i="5"/>
  <c r="C373" i="5"/>
  <c r="U372" i="5"/>
  <c r="T372" i="5" s="1"/>
  <c r="Q372" i="5"/>
  <c r="K372" i="5"/>
  <c r="C372" i="5"/>
  <c r="U371" i="5"/>
  <c r="W371" i="5" s="1"/>
  <c r="Q371" i="5"/>
  <c r="M371" i="5"/>
  <c r="C371" i="5"/>
  <c r="W370" i="5"/>
  <c r="V370" i="5"/>
  <c r="U370" i="5"/>
  <c r="Q370" i="5"/>
  <c r="P370" i="5"/>
  <c r="O370" i="5"/>
  <c r="K370" i="5"/>
  <c r="C370" i="5"/>
  <c r="U369" i="5"/>
  <c r="V369" i="5" s="1"/>
  <c r="X369" i="5" s="1"/>
  <c r="Q369" i="5"/>
  <c r="C369" i="5"/>
  <c r="U368" i="5"/>
  <c r="T368" i="5" s="1"/>
  <c r="Q368" i="5"/>
  <c r="K368" i="5"/>
  <c r="C368" i="5"/>
  <c r="U367" i="5"/>
  <c r="V367" i="5" s="1"/>
  <c r="X367" i="5" s="1"/>
  <c r="T367" i="5"/>
  <c r="Q367" i="5"/>
  <c r="M367" i="5"/>
  <c r="K367" i="5"/>
  <c r="O367" i="5" s="1"/>
  <c r="C367" i="5"/>
  <c r="U366" i="5"/>
  <c r="W366" i="5" s="1"/>
  <c r="Q366" i="5"/>
  <c r="K366" i="5"/>
  <c r="C366" i="5"/>
  <c r="U365" i="5"/>
  <c r="V365" i="5" s="1"/>
  <c r="X365" i="5" s="1"/>
  <c r="T365" i="5"/>
  <c r="Q365" i="5"/>
  <c r="C365" i="5"/>
  <c r="U364" i="5"/>
  <c r="T364" i="5" s="1"/>
  <c r="Q364" i="5"/>
  <c r="C364" i="5"/>
  <c r="W363" i="5"/>
  <c r="V363" i="5"/>
  <c r="X363" i="5" s="1"/>
  <c r="U363" i="5"/>
  <c r="T363" i="5"/>
  <c r="Q363" i="5"/>
  <c r="M363" i="5"/>
  <c r="K363" i="5"/>
  <c r="O363" i="5" s="1"/>
  <c r="C363" i="5"/>
  <c r="U362" i="5"/>
  <c r="V362" i="5" s="1"/>
  <c r="Q362" i="5"/>
  <c r="K362" i="5"/>
  <c r="C362" i="5"/>
  <c r="W361" i="5"/>
  <c r="U361" i="5"/>
  <c r="T361" i="5" s="1"/>
  <c r="Q361" i="5"/>
  <c r="M361" i="5"/>
  <c r="C361" i="5"/>
  <c r="W360" i="5"/>
  <c r="V360" i="5"/>
  <c r="U360" i="5"/>
  <c r="X360" i="5" s="1"/>
  <c r="Q360" i="5"/>
  <c r="M360" i="5"/>
  <c r="K360" i="5"/>
  <c r="O360" i="5" s="1"/>
  <c r="C360" i="5"/>
  <c r="U359" i="5"/>
  <c r="W359" i="5" s="1"/>
  <c r="Q359" i="5"/>
  <c r="C359" i="5"/>
  <c r="U358" i="5"/>
  <c r="T358" i="5" s="1"/>
  <c r="Q358" i="5"/>
  <c r="C358" i="5"/>
  <c r="U357" i="5"/>
  <c r="T357" i="5" s="1"/>
  <c r="Q357" i="5"/>
  <c r="C357" i="5"/>
  <c r="X356" i="5"/>
  <c r="W356" i="5"/>
  <c r="V356" i="5"/>
  <c r="U356" i="5"/>
  <c r="T356" i="5"/>
  <c r="Q356" i="5"/>
  <c r="M356" i="5"/>
  <c r="K356" i="5"/>
  <c r="O356" i="5" s="1"/>
  <c r="C356" i="5"/>
  <c r="U355" i="5"/>
  <c r="W355" i="5" s="1"/>
  <c r="Q355" i="5"/>
  <c r="C355" i="5"/>
  <c r="U354" i="5"/>
  <c r="T354" i="5" s="1"/>
  <c r="Q354" i="5"/>
  <c r="C354" i="5"/>
  <c r="U353" i="5"/>
  <c r="T353" i="5" s="1"/>
  <c r="Q353" i="5"/>
  <c r="C353" i="5"/>
  <c r="U352" i="5"/>
  <c r="V352" i="5" s="1"/>
  <c r="X352" i="5" s="1"/>
  <c r="T352" i="5"/>
  <c r="Q352" i="5"/>
  <c r="K352" i="5"/>
  <c r="O352" i="5" s="1"/>
  <c r="C352" i="5"/>
  <c r="U351" i="5"/>
  <c r="W351" i="5" s="1"/>
  <c r="Q351" i="5"/>
  <c r="K351" i="5"/>
  <c r="C351" i="5"/>
  <c r="U350" i="5"/>
  <c r="T350" i="5" s="1"/>
  <c r="Q350" i="5"/>
  <c r="C350" i="5"/>
  <c r="W349" i="5"/>
  <c r="U349" i="5"/>
  <c r="T349" i="5" s="1"/>
  <c r="Q349" i="5"/>
  <c r="M349" i="5"/>
  <c r="C349" i="5"/>
  <c r="U348" i="5"/>
  <c r="W348" i="5" s="1"/>
  <c r="Q348" i="5"/>
  <c r="K348" i="5"/>
  <c r="O348" i="5" s="1"/>
  <c r="C348" i="5"/>
  <c r="U347" i="5"/>
  <c r="W347" i="5" s="1"/>
  <c r="Q347" i="5"/>
  <c r="K347" i="5"/>
  <c r="C347" i="5"/>
  <c r="U346" i="5"/>
  <c r="T346" i="5" s="1"/>
  <c r="Q346" i="5"/>
  <c r="C346" i="5"/>
  <c r="W345" i="5"/>
  <c r="U345" i="5"/>
  <c r="T345" i="5" s="1"/>
  <c r="Q345" i="5"/>
  <c r="M345" i="5"/>
  <c r="C345" i="5"/>
  <c r="W344" i="5"/>
  <c r="V344" i="5"/>
  <c r="U344" i="5"/>
  <c r="X344" i="5" s="1"/>
  <c r="Q344" i="5"/>
  <c r="M344" i="5"/>
  <c r="K344" i="5"/>
  <c r="O344" i="5" s="1"/>
  <c r="C344" i="5"/>
  <c r="U343" i="5"/>
  <c r="W343" i="5" s="1"/>
  <c r="Q343" i="5"/>
  <c r="C343" i="5"/>
  <c r="U342" i="5"/>
  <c r="T342" i="5" s="1"/>
  <c r="Q342" i="5"/>
  <c r="C342" i="5"/>
  <c r="U341" i="5"/>
  <c r="T341" i="5" s="1"/>
  <c r="Q341" i="5"/>
  <c r="C341" i="5"/>
  <c r="X340" i="5"/>
  <c r="W340" i="5"/>
  <c r="V340" i="5"/>
  <c r="U340" i="5"/>
  <c r="T340" i="5"/>
  <c r="Q340" i="5"/>
  <c r="M340" i="5"/>
  <c r="K340" i="5"/>
  <c r="O340" i="5" s="1"/>
  <c r="C340" i="5"/>
  <c r="U339" i="5"/>
  <c r="W339" i="5" s="1"/>
  <c r="Q339" i="5"/>
  <c r="C339" i="5"/>
  <c r="U338" i="5"/>
  <c r="T338" i="5" s="1"/>
  <c r="Q338" i="5"/>
  <c r="C338" i="5"/>
  <c r="U337" i="5"/>
  <c r="T337" i="5" s="1"/>
  <c r="Q337" i="5"/>
  <c r="C337" i="5"/>
  <c r="U336" i="5"/>
  <c r="V336" i="5" s="1"/>
  <c r="X336" i="5" s="1"/>
  <c r="T336" i="5"/>
  <c r="Q336" i="5"/>
  <c r="K336" i="5"/>
  <c r="O336" i="5" s="1"/>
  <c r="C336" i="5"/>
  <c r="U335" i="5"/>
  <c r="W335" i="5" s="1"/>
  <c r="Q335" i="5"/>
  <c r="K335" i="5"/>
  <c r="C335" i="5"/>
  <c r="U334" i="5"/>
  <c r="T334" i="5" s="1"/>
  <c r="Q334" i="5"/>
  <c r="C334" i="5"/>
  <c r="W333" i="5"/>
  <c r="U333" i="5"/>
  <c r="T333" i="5" s="1"/>
  <c r="Q333" i="5"/>
  <c r="M333" i="5"/>
  <c r="C333" i="5"/>
  <c r="U332" i="5"/>
  <c r="W332" i="5" s="1"/>
  <c r="Q332" i="5"/>
  <c r="K332" i="5"/>
  <c r="O332" i="5" s="1"/>
  <c r="C332" i="5"/>
  <c r="U331" i="5"/>
  <c r="W331" i="5" s="1"/>
  <c r="Q331" i="5"/>
  <c r="K331" i="5"/>
  <c r="C331" i="5"/>
  <c r="U330" i="5"/>
  <c r="T330" i="5" s="1"/>
  <c r="Q330" i="5"/>
  <c r="C330" i="5"/>
  <c r="W329" i="5"/>
  <c r="U329" i="5"/>
  <c r="T329" i="5" s="1"/>
  <c r="Q329" i="5"/>
  <c r="M329" i="5"/>
  <c r="C329" i="5"/>
  <c r="W328" i="5"/>
  <c r="V328" i="5"/>
  <c r="U328" i="5"/>
  <c r="X328" i="5" s="1"/>
  <c r="Q328" i="5"/>
  <c r="M328" i="5"/>
  <c r="K328" i="5"/>
  <c r="O328" i="5" s="1"/>
  <c r="C328" i="5"/>
  <c r="U327" i="5"/>
  <c r="W327" i="5" s="1"/>
  <c r="Q327" i="5"/>
  <c r="C327" i="5"/>
  <c r="U326" i="5"/>
  <c r="T326" i="5" s="1"/>
  <c r="Q326" i="5"/>
  <c r="C326" i="5"/>
  <c r="U325" i="5"/>
  <c r="T325" i="5" s="1"/>
  <c r="Q325" i="5"/>
  <c r="C325" i="5"/>
  <c r="X324" i="5"/>
  <c r="W324" i="5"/>
  <c r="V324" i="5"/>
  <c r="U324" i="5"/>
  <c r="T324" i="5"/>
  <c r="Q324" i="5"/>
  <c r="M324" i="5"/>
  <c r="K324" i="5"/>
  <c r="O324" i="5" s="1"/>
  <c r="C324" i="5"/>
  <c r="U323" i="5"/>
  <c r="W323" i="5" s="1"/>
  <c r="Q323" i="5"/>
  <c r="C323" i="5"/>
  <c r="U322" i="5"/>
  <c r="T322" i="5" s="1"/>
  <c r="Q322" i="5"/>
  <c r="C322" i="5"/>
  <c r="U321" i="5"/>
  <c r="T321" i="5" s="1"/>
  <c r="Q321" i="5"/>
  <c r="C321" i="5"/>
  <c r="U320" i="5"/>
  <c r="V320" i="5" s="1"/>
  <c r="X320" i="5" s="1"/>
  <c r="T320" i="5"/>
  <c r="Q320" i="5"/>
  <c r="K320" i="5"/>
  <c r="O320" i="5" s="1"/>
  <c r="C320" i="5"/>
  <c r="U319" i="5"/>
  <c r="W319" i="5" s="1"/>
  <c r="Q319" i="5"/>
  <c r="K319" i="5"/>
  <c r="C319" i="5"/>
  <c r="U318" i="5"/>
  <c r="T318" i="5" s="1"/>
  <c r="Q318" i="5"/>
  <c r="C318" i="5"/>
  <c r="W317" i="5"/>
  <c r="U317" i="5"/>
  <c r="T317" i="5" s="1"/>
  <c r="Q317" i="5"/>
  <c r="M317" i="5"/>
  <c r="C317" i="5"/>
  <c r="U316" i="5"/>
  <c r="W316" i="5" s="1"/>
  <c r="Q316" i="5"/>
  <c r="K316" i="5"/>
  <c r="O316" i="5" s="1"/>
  <c r="C316" i="5"/>
  <c r="U315" i="5"/>
  <c r="W315" i="5" s="1"/>
  <c r="Q315" i="5"/>
  <c r="K315" i="5"/>
  <c r="C315" i="5"/>
  <c r="U314" i="5"/>
  <c r="T314" i="5" s="1"/>
  <c r="Q314" i="5"/>
  <c r="C314" i="5"/>
  <c r="W313" i="5"/>
  <c r="U313" i="5"/>
  <c r="T313" i="5" s="1"/>
  <c r="Q313" i="5"/>
  <c r="M313" i="5"/>
  <c r="C313" i="5"/>
  <c r="W312" i="5"/>
  <c r="V312" i="5"/>
  <c r="U312" i="5"/>
  <c r="X312" i="5" s="1"/>
  <c r="Q312" i="5"/>
  <c r="M312" i="5"/>
  <c r="K312" i="5"/>
  <c r="O312" i="5" s="1"/>
  <c r="C312" i="5"/>
  <c r="U311" i="5"/>
  <c r="W311" i="5" s="1"/>
  <c r="Q311" i="5"/>
  <c r="C311" i="5"/>
  <c r="U310" i="5"/>
  <c r="T310" i="5" s="1"/>
  <c r="Q310" i="5"/>
  <c r="C310" i="5"/>
  <c r="U309" i="5"/>
  <c r="T309" i="5" s="1"/>
  <c r="Q309" i="5"/>
  <c r="C309" i="5"/>
  <c r="X308" i="5"/>
  <c r="W308" i="5"/>
  <c r="V308" i="5"/>
  <c r="U308" i="5"/>
  <c r="T308" i="5"/>
  <c r="Q308" i="5"/>
  <c r="M308" i="5"/>
  <c r="K308" i="5"/>
  <c r="O308" i="5" s="1"/>
  <c r="C308" i="5"/>
  <c r="U307" i="5"/>
  <c r="W307" i="5" s="1"/>
  <c r="Q307" i="5"/>
  <c r="C307" i="5"/>
  <c r="U306" i="5"/>
  <c r="T306" i="5" s="1"/>
  <c r="Q306" i="5"/>
  <c r="C306" i="5"/>
  <c r="U305" i="5"/>
  <c r="T305" i="5" s="1"/>
  <c r="Q305" i="5"/>
  <c r="C305" i="5"/>
  <c r="U304" i="5"/>
  <c r="V304" i="5" s="1"/>
  <c r="X304" i="5" s="1"/>
  <c r="T304" i="5"/>
  <c r="Q304" i="5"/>
  <c r="K304" i="5"/>
  <c r="O304" i="5" s="1"/>
  <c r="C304" i="5"/>
  <c r="U303" i="5"/>
  <c r="W303" i="5" s="1"/>
  <c r="Q303" i="5"/>
  <c r="K303" i="5"/>
  <c r="C303" i="5"/>
  <c r="U302" i="5"/>
  <c r="T302" i="5" s="1"/>
  <c r="Q302" i="5"/>
  <c r="C302" i="5"/>
  <c r="W301" i="5"/>
  <c r="U301" i="5"/>
  <c r="T301" i="5" s="1"/>
  <c r="Q301" i="5"/>
  <c r="M301" i="5"/>
  <c r="C301" i="5"/>
  <c r="U300" i="5"/>
  <c r="W300" i="5" s="1"/>
  <c r="Q300" i="5"/>
  <c r="K300" i="5"/>
  <c r="O300" i="5" s="1"/>
  <c r="C300" i="5"/>
  <c r="U299" i="5"/>
  <c r="W299" i="5" s="1"/>
  <c r="Q299" i="5"/>
  <c r="K299" i="5"/>
  <c r="C299" i="5"/>
  <c r="U298" i="5"/>
  <c r="T298" i="5" s="1"/>
  <c r="Q298" i="5"/>
  <c r="C298" i="5"/>
  <c r="W297" i="5"/>
  <c r="U297" i="5"/>
  <c r="T297" i="5" s="1"/>
  <c r="Q297" i="5"/>
  <c r="M297" i="5"/>
  <c r="C297" i="5"/>
  <c r="W296" i="5"/>
  <c r="V296" i="5"/>
  <c r="U296" i="5"/>
  <c r="X296" i="5" s="1"/>
  <c r="Q296" i="5"/>
  <c r="M296" i="5"/>
  <c r="K296" i="5"/>
  <c r="O296" i="5" s="1"/>
  <c r="C296" i="5"/>
  <c r="U295" i="5"/>
  <c r="W295" i="5" s="1"/>
  <c r="Q295" i="5"/>
  <c r="C295" i="5"/>
  <c r="U294" i="5"/>
  <c r="T294" i="5" s="1"/>
  <c r="Q294" i="5"/>
  <c r="C294" i="5"/>
  <c r="U293" i="5"/>
  <c r="T293" i="5" s="1"/>
  <c r="Q293" i="5"/>
  <c r="C293" i="5"/>
  <c r="X292" i="5"/>
  <c r="W292" i="5"/>
  <c r="V292" i="5"/>
  <c r="U292" i="5"/>
  <c r="T292" i="5"/>
  <c r="Q292" i="5"/>
  <c r="M292" i="5"/>
  <c r="K292" i="5"/>
  <c r="O292" i="5" s="1"/>
  <c r="C292" i="5"/>
  <c r="U291" i="5"/>
  <c r="W291" i="5" s="1"/>
  <c r="Q291" i="5"/>
  <c r="C291" i="5"/>
  <c r="U290" i="5"/>
  <c r="T290" i="5" s="1"/>
  <c r="Q290" i="5"/>
  <c r="C290" i="5"/>
  <c r="U289" i="5"/>
  <c r="T289" i="5" s="1"/>
  <c r="Q289" i="5"/>
  <c r="C289" i="5"/>
  <c r="U288" i="5"/>
  <c r="V288" i="5" s="1"/>
  <c r="X288" i="5" s="1"/>
  <c r="T288" i="5"/>
  <c r="Q288" i="5"/>
  <c r="K288" i="5"/>
  <c r="O288" i="5" s="1"/>
  <c r="C288" i="5"/>
  <c r="U287" i="5"/>
  <c r="W287" i="5" s="1"/>
  <c r="Q287" i="5"/>
  <c r="K287" i="5"/>
  <c r="C287" i="5"/>
  <c r="U286" i="5"/>
  <c r="T286" i="5" s="1"/>
  <c r="Q286" i="5"/>
  <c r="C286" i="5"/>
  <c r="W285" i="5"/>
  <c r="U285" i="5"/>
  <c r="T285" i="5" s="1"/>
  <c r="Q285" i="5"/>
  <c r="M285" i="5"/>
  <c r="C285" i="5"/>
  <c r="U284" i="5"/>
  <c r="W284" i="5" s="1"/>
  <c r="Q284" i="5"/>
  <c r="K284" i="5"/>
  <c r="O284" i="5" s="1"/>
  <c r="C284" i="5"/>
  <c r="U283" i="5"/>
  <c r="W283" i="5" s="1"/>
  <c r="Q283" i="5"/>
  <c r="K283" i="5"/>
  <c r="C283" i="5"/>
  <c r="U282" i="5"/>
  <c r="T282" i="5" s="1"/>
  <c r="Q282" i="5"/>
  <c r="C282" i="5"/>
  <c r="W281" i="5"/>
  <c r="U281" i="5"/>
  <c r="T281" i="5" s="1"/>
  <c r="Q281" i="5"/>
  <c r="M281" i="5"/>
  <c r="C281" i="5"/>
  <c r="W280" i="5"/>
  <c r="V280" i="5"/>
  <c r="U280" i="5"/>
  <c r="X280" i="5" s="1"/>
  <c r="Q280" i="5"/>
  <c r="M280" i="5"/>
  <c r="K280" i="5"/>
  <c r="O280" i="5" s="1"/>
  <c r="C280" i="5"/>
  <c r="U279" i="5"/>
  <c r="W279" i="5" s="1"/>
  <c r="Q279" i="5"/>
  <c r="C279" i="5"/>
  <c r="U278" i="5"/>
  <c r="T278" i="5" s="1"/>
  <c r="Q278" i="5"/>
  <c r="C278" i="5"/>
  <c r="U277" i="5"/>
  <c r="T277" i="5" s="1"/>
  <c r="Q277" i="5"/>
  <c r="C277" i="5"/>
  <c r="X276" i="5"/>
  <c r="W276" i="5"/>
  <c r="V276" i="5"/>
  <c r="U276" i="5"/>
  <c r="T276" i="5"/>
  <c r="Q276" i="5"/>
  <c r="M276" i="5"/>
  <c r="K276" i="5"/>
  <c r="O276" i="5" s="1"/>
  <c r="C276" i="5"/>
  <c r="U275" i="5"/>
  <c r="W275" i="5" s="1"/>
  <c r="Q275" i="5"/>
  <c r="C275" i="5"/>
  <c r="U274" i="5"/>
  <c r="T274" i="5" s="1"/>
  <c r="Q274" i="5"/>
  <c r="C274" i="5"/>
  <c r="U273" i="5"/>
  <c r="T273" i="5" s="1"/>
  <c r="Q273" i="5"/>
  <c r="C273" i="5"/>
  <c r="U272" i="5"/>
  <c r="V272" i="5" s="1"/>
  <c r="X272" i="5" s="1"/>
  <c r="T272" i="5"/>
  <c r="Q272" i="5"/>
  <c r="K272" i="5"/>
  <c r="O272" i="5" s="1"/>
  <c r="C272" i="5"/>
  <c r="U271" i="5"/>
  <c r="W271" i="5" s="1"/>
  <c r="Q271" i="5"/>
  <c r="K271" i="5"/>
  <c r="C271" i="5"/>
  <c r="U270" i="5"/>
  <c r="T270" i="5" s="1"/>
  <c r="Q270" i="5"/>
  <c r="C270" i="5"/>
  <c r="W269" i="5"/>
  <c r="U269" i="5"/>
  <c r="T269" i="5" s="1"/>
  <c r="Q269" i="5"/>
  <c r="M269" i="5"/>
  <c r="C269" i="5"/>
  <c r="U268" i="5"/>
  <c r="W268" i="5" s="1"/>
  <c r="Q268" i="5"/>
  <c r="K268" i="5"/>
  <c r="O268" i="5" s="1"/>
  <c r="C268" i="5"/>
  <c r="U267" i="5"/>
  <c r="W267" i="5" s="1"/>
  <c r="Q267" i="5"/>
  <c r="K267" i="5"/>
  <c r="C267" i="5"/>
  <c r="U266" i="5"/>
  <c r="T266" i="5" s="1"/>
  <c r="Q266" i="5"/>
  <c r="C266" i="5"/>
  <c r="U265" i="5"/>
  <c r="T265" i="5" s="1"/>
  <c r="Q265" i="5"/>
  <c r="M265" i="5"/>
  <c r="C265" i="5"/>
  <c r="W264" i="5"/>
  <c r="V264" i="5"/>
  <c r="U264" i="5"/>
  <c r="X264" i="5" s="1"/>
  <c r="Q264" i="5"/>
  <c r="M264" i="5"/>
  <c r="K264" i="5"/>
  <c r="O264" i="5" s="1"/>
  <c r="C264" i="5"/>
  <c r="U263" i="5"/>
  <c r="Q263" i="5"/>
  <c r="C263" i="5"/>
  <c r="U262" i="5"/>
  <c r="Q262" i="5"/>
  <c r="C262" i="5"/>
  <c r="U261" i="5"/>
  <c r="V261" i="5" s="1"/>
  <c r="X261" i="5" s="1"/>
  <c r="T261" i="5"/>
  <c r="Q261" i="5"/>
  <c r="K261" i="5"/>
  <c r="O261" i="5" s="1"/>
  <c r="C261" i="5"/>
  <c r="U260" i="5"/>
  <c r="V260" i="5" s="1"/>
  <c r="X260" i="5" s="1"/>
  <c r="T260" i="5"/>
  <c r="Q260" i="5"/>
  <c r="K260" i="5"/>
  <c r="P260" i="5" s="1"/>
  <c r="C260" i="5"/>
  <c r="V259" i="5"/>
  <c r="U259" i="5"/>
  <c r="Q259" i="5"/>
  <c r="C259" i="5"/>
  <c r="U258" i="5"/>
  <c r="Q258" i="5"/>
  <c r="C258" i="5"/>
  <c r="W257" i="5"/>
  <c r="U257" i="5"/>
  <c r="V257" i="5" s="1"/>
  <c r="X257" i="5" s="1"/>
  <c r="Q257" i="5"/>
  <c r="M257" i="5"/>
  <c r="K257" i="5"/>
  <c r="O257" i="5" s="1"/>
  <c r="C257" i="5"/>
  <c r="W256" i="5"/>
  <c r="V256" i="5"/>
  <c r="X256" i="5" s="1"/>
  <c r="U256" i="5"/>
  <c r="T256" i="5" s="1"/>
  <c r="Q256" i="5"/>
  <c r="M256" i="5"/>
  <c r="K256" i="5"/>
  <c r="P256" i="5" s="1"/>
  <c r="C256" i="5"/>
  <c r="U255" i="5"/>
  <c r="Q255" i="5"/>
  <c r="C255" i="5"/>
  <c r="U254" i="5"/>
  <c r="Q254" i="5"/>
  <c r="C254" i="5"/>
  <c r="U253" i="5"/>
  <c r="V253" i="5" s="1"/>
  <c r="X253" i="5" s="1"/>
  <c r="T253" i="5"/>
  <c r="Q253" i="5"/>
  <c r="K253" i="5"/>
  <c r="O253" i="5" s="1"/>
  <c r="C253" i="5"/>
  <c r="U252" i="5"/>
  <c r="V252" i="5" s="1"/>
  <c r="X252" i="5" s="1"/>
  <c r="T252" i="5"/>
  <c r="Q252" i="5"/>
  <c r="K252" i="5"/>
  <c r="P252" i="5" s="1"/>
  <c r="C252" i="5"/>
  <c r="V251" i="5"/>
  <c r="U251" i="5"/>
  <c r="Q251" i="5"/>
  <c r="C251" i="5"/>
  <c r="U250" i="5"/>
  <c r="Q250" i="5"/>
  <c r="C250" i="5"/>
  <c r="W249" i="5"/>
  <c r="U249" i="5"/>
  <c r="V249" i="5" s="1"/>
  <c r="X249" i="5" s="1"/>
  <c r="Q249" i="5"/>
  <c r="M249" i="5"/>
  <c r="K249" i="5"/>
  <c r="O249" i="5" s="1"/>
  <c r="C249" i="5"/>
  <c r="W248" i="5"/>
  <c r="V248" i="5"/>
  <c r="X248" i="5" s="1"/>
  <c r="U248" i="5"/>
  <c r="T248" i="5" s="1"/>
  <c r="Q248" i="5"/>
  <c r="M248" i="5"/>
  <c r="K248" i="5"/>
  <c r="P248" i="5" s="1"/>
  <c r="C248" i="5"/>
  <c r="U247" i="5"/>
  <c r="Q247" i="5"/>
  <c r="C247" i="5"/>
  <c r="U246" i="5"/>
  <c r="Q246" i="5"/>
  <c r="C246" i="5"/>
  <c r="U245" i="5"/>
  <c r="V245" i="5" s="1"/>
  <c r="X245" i="5" s="1"/>
  <c r="T245" i="5"/>
  <c r="Q245" i="5"/>
  <c r="K245" i="5"/>
  <c r="O245" i="5" s="1"/>
  <c r="C245" i="5"/>
  <c r="U244" i="5"/>
  <c r="V244" i="5" s="1"/>
  <c r="X244" i="5" s="1"/>
  <c r="T244" i="5"/>
  <c r="Q244" i="5"/>
  <c r="K244" i="5"/>
  <c r="P244" i="5" s="1"/>
  <c r="C244" i="5"/>
  <c r="V243" i="5"/>
  <c r="U243" i="5"/>
  <c r="Q243" i="5"/>
  <c r="C243" i="5"/>
  <c r="U242" i="5"/>
  <c r="Q242" i="5"/>
  <c r="C242" i="5"/>
  <c r="W241" i="5"/>
  <c r="U241" i="5"/>
  <c r="V241" i="5" s="1"/>
  <c r="X241" i="5" s="1"/>
  <c r="Q241" i="5"/>
  <c r="M241" i="5"/>
  <c r="K241" i="5"/>
  <c r="O241" i="5" s="1"/>
  <c r="C241" i="5"/>
  <c r="W240" i="5"/>
  <c r="V240" i="5"/>
  <c r="X240" i="5" s="1"/>
  <c r="U240" i="5"/>
  <c r="T240" i="5" s="1"/>
  <c r="Q240" i="5"/>
  <c r="M240" i="5"/>
  <c r="K240" i="5"/>
  <c r="P240" i="5" s="1"/>
  <c r="C240" i="5"/>
  <c r="U239" i="5"/>
  <c r="Q239" i="5"/>
  <c r="C239" i="5"/>
  <c r="U238" i="5"/>
  <c r="Q238" i="5"/>
  <c r="C238" i="5"/>
  <c r="U237" i="5"/>
  <c r="V237" i="5" s="1"/>
  <c r="X237" i="5" s="1"/>
  <c r="T237" i="5"/>
  <c r="Q237" i="5"/>
  <c r="K237" i="5"/>
  <c r="O237" i="5" s="1"/>
  <c r="C237" i="5"/>
  <c r="U236" i="5"/>
  <c r="V236" i="5" s="1"/>
  <c r="X236" i="5" s="1"/>
  <c r="T236" i="5"/>
  <c r="Q236" i="5"/>
  <c r="K236" i="5"/>
  <c r="P236" i="5" s="1"/>
  <c r="C236" i="5"/>
  <c r="V235" i="5"/>
  <c r="U235" i="5"/>
  <c r="Q235" i="5"/>
  <c r="C235" i="5"/>
  <c r="U234" i="5"/>
  <c r="Q234" i="5"/>
  <c r="C234" i="5"/>
  <c r="W233" i="5"/>
  <c r="U233" i="5"/>
  <c r="V233" i="5" s="1"/>
  <c r="X233" i="5" s="1"/>
  <c r="Q233" i="5"/>
  <c r="M233" i="5"/>
  <c r="K233" i="5"/>
  <c r="O233" i="5" s="1"/>
  <c r="C233" i="5"/>
  <c r="W232" i="5"/>
  <c r="V232" i="5"/>
  <c r="X232" i="5" s="1"/>
  <c r="U232" i="5"/>
  <c r="T232" i="5" s="1"/>
  <c r="Q232" i="5"/>
  <c r="M232" i="5"/>
  <c r="K232" i="5"/>
  <c r="P232" i="5" s="1"/>
  <c r="C232" i="5"/>
  <c r="U231" i="5"/>
  <c r="Q231" i="5"/>
  <c r="C231" i="5"/>
  <c r="U230" i="5"/>
  <c r="Q230" i="5"/>
  <c r="C230" i="5"/>
  <c r="U229" i="5"/>
  <c r="V229" i="5" s="1"/>
  <c r="X229" i="5" s="1"/>
  <c r="T229" i="5"/>
  <c r="Q229" i="5"/>
  <c r="K229" i="5"/>
  <c r="O229" i="5" s="1"/>
  <c r="C229" i="5"/>
  <c r="U228" i="5"/>
  <c r="V228" i="5" s="1"/>
  <c r="X228" i="5" s="1"/>
  <c r="T228" i="5"/>
  <c r="Q228" i="5"/>
  <c r="K228" i="5"/>
  <c r="P228" i="5" s="1"/>
  <c r="C228" i="5"/>
  <c r="V227" i="5"/>
  <c r="U227" i="5"/>
  <c r="Q227" i="5"/>
  <c r="C227" i="5"/>
  <c r="U226" i="5"/>
  <c r="Q226" i="5"/>
  <c r="C226" i="5"/>
  <c r="W225" i="5"/>
  <c r="U225" i="5"/>
  <c r="V225" i="5" s="1"/>
  <c r="X225" i="5" s="1"/>
  <c r="Q225" i="5"/>
  <c r="M225" i="5"/>
  <c r="K225" i="5"/>
  <c r="O225" i="5" s="1"/>
  <c r="C225" i="5"/>
  <c r="W224" i="5"/>
  <c r="V224" i="5"/>
  <c r="X224" i="5" s="1"/>
  <c r="U224" i="5"/>
  <c r="T224" i="5" s="1"/>
  <c r="Q224" i="5"/>
  <c r="M224" i="5"/>
  <c r="K224" i="5"/>
  <c r="P224" i="5" s="1"/>
  <c r="C224" i="5"/>
  <c r="U223" i="5"/>
  <c r="Q223" i="5"/>
  <c r="C223" i="5"/>
  <c r="U222" i="5"/>
  <c r="Q222" i="5"/>
  <c r="C222" i="5"/>
  <c r="U221" i="5"/>
  <c r="V221" i="5" s="1"/>
  <c r="X221" i="5" s="1"/>
  <c r="T221" i="5"/>
  <c r="Q221" i="5"/>
  <c r="K221" i="5"/>
  <c r="O221" i="5" s="1"/>
  <c r="C221" i="5"/>
  <c r="U220" i="5"/>
  <c r="V220" i="5" s="1"/>
  <c r="X220" i="5" s="1"/>
  <c r="T220" i="5"/>
  <c r="Q220" i="5"/>
  <c r="K220" i="5"/>
  <c r="P220" i="5" s="1"/>
  <c r="C220" i="5"/>
  <c r="V219" i="5"/>
  <c r="U219" i="5"/>
  <c r="Q219" i="5"/>
  <c r="C219" i="5"/>
  <c r="U218" i="5"/>
  <c r="Q218" i="5"/>
  <c r="C218" i="5"/>
  <c r="W217" i="5"/>
  <c r="U217" i="5"/>
  <c r="V217" i="5" s="1"/>
  <c r="X217" i="5" s="1"/>
  <c r="Q217" i="5"/>
  <c r="M217" i="5"/>
  <c r="K217" i="5"/>
  <c r="O217" i="5" s="1"/>
  <c r="C217" i="5"/>
  <c r="W216" i="5"/>
  <c r="V216" i="5"/>
  <c r="X216" i="5" s="1"/>
  <c r="U216" i="5"/>
  <c r="T216" i="5" s="1"/>
  <c r="Q216" i="5"/>
  <c r="M216" i="5"/>
  <c r="K216" i="5"/>
  <c r="C216" i="5"/>
  <c r="U215" i="5"/>
  <c r="V215" i="5" s="1"/>
  <c r="Q215" i="5"/>
  <c r="C215" i="5"/>
  <c r="U214" i="5"/>
  <c r="Q214" i="5"/>
  <c r="C214" i="5"/>
  <c r="U213" i="5"/>
  <c r="V213" i="5" s="1"/>
  <c r="Q213" i="5"/>
  <c r="K213" i="5"/>
  <c r="O213" i="5" s="1"/>
  <c r="C213" i="5"/>
  <c r="U212" i="5"/>
  <c r="W212" i="5" s="1"/>
  <c r="Q212" i="5"/>
  <c r="K212" i="5"/>
  <c r="C212" i="5"/>
  <c r="U211" i="5"/>
  <c r="Q211" i="5"/>
  <c r="C211" i="5"/>
  <c r="U210" i="5"/>
  <c r="Q210" i="5"/>
  <c r="C210" i="5"/>
  <c r="W209" i="5"/>
  <c r="U209" i="5"/>
  <c r="V209" i="5" s="1"/>
  <c r="X209" i="5" s="1"/>
  <c r="T209" i="5"/>
  <c r="Q209" i="5"/>
  <c r="M209" i="5"/>
  <c r="K209" i="5"/>
  <c r="O209" i="5" s="1"/>
  <c r="C209" i="5"/>
  <c r="W208" i="5"/>
  <c r="V208" i="5"/>
  <c r="X208" i="5" s="1"/>
  <c r="U208" i="5"/>
  <c r="T208" i="5"/>
  <c r="Q208" i="5"/>
  <c r="M208" i="5"/>
  <c r="K208" i="5"/>
  <c r="C208" i="5"/>
  <c r="V207" i="5"/>
  <c r="U207" i="5"/>
  <c r="Q207" i="5"/>
  <c r="C207" i="5"/>
  <c r="U206" i="5"/>
  <c r="Q206" i="5"/>
  <c r="C206" i="5"/>
  <c r="U205" i="5"/>
  <c r="V205" i="5" s="1"/>
  <c r="X205" i="5" s="1"/>
  <c r="Q205" i="5"/>
  <c r="K205" i="5"/>
  <c r="O205" i="5" s="1"/>
  <c r="C205" i="5"/>
  <c r="U204" i="5"/>
  <c r="W204" i="5" s="1"/>
  <c r="Q204" i="5"/>
  <c r="K204" i="5"/>
  <c r="C204" i="5"/>
  <c r="U203" i="5"/>
  <c r="Q203" i="5"/>
  <c r="C203" i="5"/>
  <c r="U202" i="5"/>
  <c r="Q202" i="5"/>
  <c r="C202" i="5"/>
  <c r="U201" i="5"/>
  <c r="V201" i="5" s="1"/>
  <c r="T201" i="5"/>
  <c r="Q201" i="5"/>
  <c r="K201" i="5"/>
  <c r="O201" i="5" s="1"/>
  <c r="C201" i="5"/>
  <c r="U200" i="5"/>
  <c r="V200" i="5" s="1"/>
  <c r="X200" i="5" s="1"/>
  <c r="T200" i="5"/>
  <c r="Q200" i="5"/>
  <c r="K200" i="5"/>
  <c r="C200" i="5"/>
  <c r="V199" i="5"/>
  <c r="U199" i="5"/>
  <c r="Q199" i="5"/>
  <c r="C199" i="5"/>
  <c r="U198" i="5"/>
  <c r="Q198" i="5"/>
  <c r="C198" i="5"/>
  <c r="X197" i="5"/>
  <c r="W197" i="5"/>
  <c r="U197" i="5"/>
  <c r="V197" i="5" s="1"/>
  <c r="T197" i="5"/>
  <c r="Q197" i="5"/>
  <c r="M197" i="5"/>
  <c r="K197" i="5"/>
  <c r="O197" i="5" s="1"/>
  <c r="C197" i="5"/>
  <c r="W196" i="5"/>
  <c r="V196" i="5"/>
  <c r="X196" i="5" s="1"/>
  <c r="U196" i="5"/>
  <c r="T196" i="5"/>
  <c r="Q196" i="5"/>
  <c r="M196" i="5"/>
  <c r="K196" i="5"/>
  <c r="C196" i="5"/>
  <c r="V195" i="5"/>
  <c r="U195" i="5"/>
  <c r="Q195" i="5"/>
  <c r="C195" i="5"/>
  <c r="U194" i="5"/>
  <c r="Q194" i="5"/>
  <c r="C194" i="5"/>
  <c r="U193" i="5"/>
  <c r="V193" i="5" s="1"/>
  <c r="X193" i="5" s="1"/>
  <c r="Q193" i="5"/>
  <c r="K193" i="5"/>
  <c r="O193" i="5" s="1"/>
  <c r="C193" i="5"/>
  <c r="U192" i="5"/>
  <c r="W192" i="5" s="1"/>
  <c r="Q192" i="5"/>
  <c r="K192" i="5"/>
  <c r="C192" i="5"/>
  <c r="U191" i="5"/>
  <c r="V191" i="5" s="1"/>
  <c r="Q191" i="5"/>
  <c r="C191" i="5"/>
  <c r="U190" i="5"/>
  <c r="Q190" i="5"/>
  <c r="C190" i="5"/>
  <c r="W189" i="5"/>
  <c r="U189" i="5"/>
  <c r="V189" i="5" s="1"/>
  <c r="X189" i="5" s="1"/>
  <c r="T189" i="5"/>
  <c r="Q189" i="5"/>
  <c r="M189" i="5"/>
  <c r="K189" i="5"/>
  <c r="O189" i="5" s="1"/>
  <c r="C189" i="5"/>
  <c r="W188" i="5"/>
  <c r="V188" i="5"/>
  <c r="X188" i="5" s="1"/>
  <c r="U188" i="5"/>
  <c r="T188" i="5"/>
  <c r="Q188" i="5"/>
  <c r="M188" i="5"/>
  <c r="K188" i="5"/>
  <c r="C188" i="5"/>
  <c r="V187" i="5"/>
  <c r="U187" i="5"/>
  <c r="Q187" i="5"/>
  <c r="C187" i="5"/>
  <c r="U186" i="5"/>
  <c r="Q186" i="5"/>
  <c r="C186" i="5"/>
  <c r="X185" i="5"/>
  <c r="W185" i="5"/>
  <c r="U185" i="5"/>
  <c r="V185" i="5" s="1"/>
  <c r="Q185" i="5"/>
  <c r="M185" i="5"/>
  <c r="K185" i="5"/>
  <c r="O185" i="5" s="1"/>
  <c r="C185" i="5"/>
  <c r="W184" i="5"/>
  <c r="V184" i="5"/>
  <c r="X184" i="5" s="1"/>
  <c r="U184" i="5"/>
  <c r="T184" i="5" s="1"/>
  <c r="Q184" i="5"/>
  <c r="M184" i="5"/>
  <c r="K184" i="5"/>
  <c r="C184" i="5"/>
  <c r="U183" i="5"/>
  <c r="V183" i="5" s="1"/>
  <c r="Q183" i="5"/>
  <c r="C183" i="5"/>
  <c r="U182" i="5"/>
  <c r="Q182" i="5"/>
  <c r="C182" i="5"/>
  <c r="U181" i="5"/>
  <c r="V181" i="5" s="1"/>
  <c r="Q181" i="5"/>
  <c r="K181" i="5"/>
  <c r="O181" i="5" s="1"/>
  <c r="C181" i="5"/>
  <c r="U180" i="5"/>
  <c r="W180" i="5" s="1"/>
  <c r="Q180" i="5"/>
  <c r="K180" i="5"/>
  <c r="C180" i="5"/>
  <c r="U179" i="5"/>
  <c r="V179" i="5" s="1"/>
  <c r="Q179" i="5"/>
  <c r="C179" i="5"/>
  <c r="U178" i="5"/>
  <c r="Q178" i="5"/>
  <c r="C178" i="5"/>
  <c r="W177" i="5"/>
  <c r="U177" i="5"/>
  <c r="V177" i="5" s="1"/>
  <c r="X177" i="5" s="1"/>
  <c r="T177" i="5"/>
  <c r="Q177" i="5"/>
  <c r="M177" i="5"/>
  <c r="K177" i="5"/>
  <c r="O177" i="5" s="1"/>
  <c r="C177" i="5"/>
  <c r="W176" i="5"/>
  <c r="V176" i="5"/>
  <c r="X176" i="5" s="1"/>
  <c r="U176" i="5"/>
  <c r="T176" i="5"/>
  <c r="Q176" i="5"/>
  <c r="M176" i="5"/>
  <c r="K176" i="5"/>
  <c r="C176" i="5"/>
  <c r="V175" i="5"/>
  <c r="U175" i="5"/>
  <c r="Q175" i="5"/>
  <c r="C175" i="5"/>
  <c r="U174" i="5"/>
  <c r="Q174" i="5"/>
  <c r="C174" i="5"/>
  <c r="U173" i="5"/>
  <c r="V173" i="5" s="1"/>
  <c r="X173" i="5" s="1"/>
  <c r="Q173" i="5"/>
  <c r="K173" i="5"/>
  <c r="O173" i="5" s="1"/>
  <c r="C173" i="5"/>
  <c r="U172" i="5"/>
  <c r="W172" i="5" s="1"/>
  <c r="Q172" i="5"/>
  <c r="K172" i="5"/>
  <c r="C172" i="5"/>
  <c r="U171" i="5"/>
  <c r="Q171" i="5"/>
  <c r="C171" i="5"/>
  <c r="U170" i="5"/>
  <c r="Q170" i="5"/>
  <c r="C170" i="5"/>
  <c r="U169" i="5"/>
  <c r="V169" i="5" s="1"/>
  <c r="T169" i="5"/>
  <c r="Q169" i="5"/>
  <c r="K169" i="5"/>
  <c r="O169" i="5" s="1"/>
  <c r="C169" i="5"/>
  <c r="U168" i="5"/>
  <c r="V168" i="5" s="1"/>
  <c r="X168" i="5" s="1"/>
  <c r="T168" i="5"/>
  <c r="Q168" i="5"/>
  <c r="K168" i="5"/>
  <c r="C168" i="5"/>
  <c r="V167" i="5"/>
  <c r="U167" i="5"/>
  <c r="Q167" i="5"/>
  <c r="C167" i="5"/>
  <c r="U166" i="5"/>
  <c r="T166" i="5" s="1"/>
  <c r="Q166" i="5"/>
  <c r="M166" i="5"/>
  <c r="C166" i="5"/>
  <c r="U165" i="5"/>
  <c r="V165" i="5" s="1"/>
  <c r="Q165" i="5"/>
  <c r="K165" i="5"/>
  <c r="O165" i="5" s="1"/>
  <c r="C165" i="5"/>
  <c r="U164" i="5"/>
  <c r="W164" i="5" s="1"/>
  <c r="Q164" i="5"/>
  <c r="K164" i="5"/>
  <c r="O164" i="5" s="1"/>
  <c r="C164" i="5"/>
  <c r="U163" i="5"/>
  <c r="V163" i="5" s="1"/>
  <c r="Q163" i="5"/>
  <c r="C163" i="5"/>
  <c r="U162" i="5"/>
  <c r="T162" i="5" s="1"/>
  <c r="Q162" i="5"/>
  <c r="M162" i="5"/>
  <c r="C162" i="5"/>
  <c r="U161" i="5"/>
  <c r="V161" i="5" s="1"/>
  <c r="X161" i="5" s="1"/>
  <c r="T161" i="5"/>
  <c r="Q161" i="5"/>
  <c r="K161" i="5"/>
  <c r="O161" i="5" s="1"/>
  <c r="C161" i="5"/>
  <c r="U160" i="5"/>
  <c r="V160" i="5" s="1"/>
  <c r="X160" i="5" s="1"/>
  <c r="T160" i="5"/>
  <c r="Q160" i="5"/>
  <c r="M160" i="5"/>
  <c r="K160" i="5"/>
  <c r="O160" i="5" s="1"/>
  <c r="C160" i="5"/>
  <c r="U159" i="5"/>
  <c r="V159" i="5" s="1"/>
  <c r="Q159" i="5"/>
  <c r="C159" i="5"/>
  <c r="U158" i="5"/>
  <c r="T158" i="5"/>
  <c r="Q158" i="5"/>
  <c r="M158" i="5"/>
  <c r="C158" i="5"/>
  <c r="X157" i="5"/>
  <c r="W157" i="5"/>
  <c r="U157" i="5"/>
  <c r="V157" i="5" s="1"/>
  <c r="Q157" i="5"/>
  <c r="M157" i="5"/>
  <c r="K157" i="5"/>
  <c r="O157" i="5" s="1"/>
  <c r="C157" i="5"/>
  <c r="W156" i="5"/>
  <c r="V156" i="5"/>
  <c r="X156" i="5" s="1"/>
  <c r="U156" i="5"/>
  <c r="T156" i="5" s="1"/>
  <c r="Q156" i="5"/>
  <c r="M156" i="5"/>
  <c r="K156" i="5"/>
  <c r="O156" i="5" s="1"/>
  <c r="C156" i="5"/>
  <c r="U155" i="5"/>
  <c r="V155" i="5" s="1"/>
  <c r="Q155" i="5"/>
  <c r="C155" i="5"/>
  <c r="U154" i="5"/>
  <c r="T154" i="5" s="1"/>
  <c r="Q154" i="5"/>
  <c r="C154" i="5"/>
  <c r="U153" i="5"/>
  <c r="V153" i="5" s="1"/>
  <c r="X153" i="5" s="1"/>
  <c r="Q153" i="5"/>
  <c r="K153" i="5"/>
  <c r="O153" i="5" s="1"/>
  <c r="C153" i="5"/>
  <c r="U152" i="5"/>
  <c r="W152" i="5" s="1"/>
  <c r="Q152" i="5"/>
  <c r="M152" i="5"/>
  <c r="C152" i="5"/>
  <c r="U151" i="5"/>
  <c r="V151" i="5" s="1"/>
  <c r="Q151" i="5"/>
  <c r="C151" i="5"/>
  <c r="U150" i="5"/>
  <c r="M150" i="5" s="1"/>
  <c r="T150" i="5"/>
  <c r="Q150" i="5"/>
  <c r="C150" i="5"/>
  <c r="X149" i="5"/>
  <c r="W149" i="5"/>
  <c r="U149" i="5"/>
  <c r="V149" i="5" s="1"/>
  <c r="T149" i="5"/>
  <c r="Q149" i="5"/>
  <c r="M149" i="5"/>
  <c r="K149" i="5"/>
  <c r="O149" i="5" s="1"/>
  <c r="C149" i="5"/>
  <c r="W148" i="5"/>
  <c r="V148" i="5"/>
  <c r="X148" i="5" s="1"/>
  <c r="U148" i="5"/>
  <c r="T148" i="5"/>
  <c r="Q148" i="5"/>
  <c r="M148" i="5"/>
  <c r="K148" i="5"/>
  <c r="O148" i="5" s="1"/>
  <c r="C148" i="5"/>
  <c r="V147" i="5"/>
  <c r="U147" i="5"/>
  <c r="Q147" i="5"/>
  <c r="C147" i="5"/>
  <c r="U146" i="5"/>
  <c r="T146" i="5" s="1"/>
  <c r="Q146" i="5"/>
  <c r="C146" i="5"/>
  <c r="W145" i="5"/>
  <c r="U145" i="5"/>
  <c r="V145" i="5" s="1"/>
  <c r="X145" i="5" s="1"/>
  <c r="Q145" i="5"/>
  <c r="M145" i="5"/>
  <c r="K145" i="5"/>
  <c r="O145" i="5" s="1"/>
  <c r="C145" i="5"/>
  <c r="W144" i="5"/>
  <c r="V144" i="5"/>
  <c r="X144" i="5" s="1"/>
  <c r="U144" i="5"/>
  <c r="T144" i="5" s="1"/>
  <c r="Q144" i="5"/>
  <c r="M144" i="5"/>
  <c r="C144" i="5"/>
  <c r="V143" i="5"/>
  <c r="U143" i="5"/>
  <c r="Q143" i="5"/>
  <c r="C143" i="5"/>
  <c r="U142" i="5"/>
  <c r="M142" i="5" s="1"/>
  <c r="Q142" i="5"/>
  <c r="C142" i="5"/>
  <c r="U141" i="5"/>
  <c r="V141" i="5" s="1"/>
  <c r="T141" i="5"/>
  <c r="Q141" i="5"/>
  <c r="K141" i="5"/>
  <c r="O141" i="5" s="1"/>
  <c r="C141" i="5"/>
  <c r="U140" i="5"/>
  <c r="V140" i="5" s="1"/>
  <c r="X140" i="5" s="1"/>
  <c r="T140" i="5"/>
  <c r="Q140" i="5"/>
  <c r="K140" i="5"/>
  <c r="O140" i="5" s="1"/>
  <c r="C140" i="5"/>
  <c r="V139" i="5"/>
  <c r="U139" i="5"/>
  <c r="Q139" i="5"/>
  <c r="C139" i="5"/>
  <c r="U138" i="5"/>
  <c r="T138" i="5" s="1"/>
  <c r="Q138" i="5"/>
  <c r="M138" i="5"/>
  <c r="C138" i="5"/>
  <c r="W137" i="5"/>
  <c r="U137" i="5"/>
  <c r="V137" i="5" s="1"/>
  <c r="X137" i="5" s="1"/>
  <c r="T137" i="5"/>
  <c r="Q137" i="5"/>
  <c r="M137" i="5"/>
  <c r="K137" i="5"/>
  <c r="O137" i="5" s="1"/>
  <c r="C137" i="5"/>
  <c r="W136" i="5"/>
  <c r="V136" i="5"/>
  <c r="X136" i="5" s="1"/>
  <c r="U136" i="5"/>
  <c r="T136" i="5"/>
  <c r="Q136" i="5"/>
  <c r="M136" i="5"/>
  <c r="K136" i="5"/>
  <c r="O136" i="5" s="1"/>
  <c r="C136" i="5"/>
  <c r="V135" i="5"/>
  <c r="U135" i="5"/>
  <c r="Q135" i="5"/>
  <c r="C135" i="5"/>
  <c r="U134" i="5"/>
  <c r="T134" i="5" s="1"/>
  <c r="Q134" i="5"/>
  <c r="M134" i="5"/>
  <c r="C134" i="5"/>
  <c r="U133" i="5"/>
  <c r="V133" i="5" s="1"/>
  <c r="Q133" i="5"/>
  <c r="K133" i="5"/>
  <c r="O133" i="5" s="1"/>
  <c r="C133" i="5"/>
  <c r="U132" i="5"/>
  <c r="W132" i="5" s="1"/>
  <c r="Q132" i="5"/>
  <c r="K132" i="5"/>
  <c r="O132" i="5" s="1"/>
  <c r="C132" i="5"/>
  <c r="U131" i="5"/>
  <c r="V131" i="5" s="1"/>
  <c r="Q131" i="5"/>
  <c r="C131" i="5"/>
  <c r="U130" i="5"/>
  <c r="T130" i="5" s="1"/>
  <c r="Q130" i="5"/>
  <c r="M130" i="5"/>
  <c r="C130" i="5"/>
  <c r="U129" i="5"/>
  <c r="V129" i="5" s="1"/>
  <c r="X129" i="5" s="1"/>
  <c r="T129" i="5"/>
  <c r="Q129" i="5"/>
  <c r="K129" i="5"/>
  <c r="O129" i="5" s="1"/>
  <c r="C129" i="5"/>
  <c r="U128" i="5"/>
  <c r="V128" i="5" s="1"/>
  <c r="X128" i="5" s="1"/>
  <c r="T128" i="5"/>
  <c r="Q128" i="5"/>
  <c r="M128" i="5"/>
  <c r="K128" i="5"/>
  <c r="O128" i="5" s="1"/>
  <c r="C128" i="5"/>
  <c r="U127" i="5"/>
  <c r="V127" i="5" s="1"/>
  <c r="Q127" i="5"/>
  <c r="C127" i="5"/>
  <c r="U126" i="5"/>
  <c r="T126" i="5"/>
  <c r="Q126" i="5"/>
  <c r="M126" i="5"/>
  <c r="C126" i="5"/>
  <c r="X125" i="5"/>
  <c r="W125" i="5"/>
  <c r="U125" i="5"/>
  <c r="V125" i="5" s="1"/>
  <c r="Q125" i="5"/>
  <c r="M125" i="5"/>
  <c r="K125" i="5"/>
  <c r="O125" i="5" s="1"/>
  <c r="C125" i="5"/>
  <c r="W124" i="5"/>
  <c r="V124" i="5"/>
  <c r="X124" i="5" s="1"/>
  <c r="U124" i="5"/>
  <c r="T124" i="5" s="1"/>
  <c r="Q124" i="5"/>
  <c r="M124" i="5"/>
  <c r="K124" i="5"/>
  <c r="O124" i="5" s="1"/>
  <c r="C124" i="5"/>
  <c r="U123" i="5"/>
  <c r="V123" i="5" s="1"/>
  <c r="Q123" i="5"/>
  <c r="C123" i="5"/>
  <c r="U122" i="5"/>
  <c r="T122" i="5" s="1"/>
  <c r="Q122" i="5"/>
  <c r="C122" i="5"/>
  <c r="U121" i="5"/>
  <c r="V121" i="5" s="1"/>
  <c r="X121" i="5" s="1"/>
  <c r="Q121" i="5"/>
  <c r="K121" i="5"/>
  <c r="O121" i="5" s="1"/>
  <c r="C121" i="5"/>
  <c r="U120" i="5"/>
  <c r="W120" i="5" s="1"/>
  <c r="Q120" i="5"/>
  <c r="M120" i="5"/>
  <c r="C120" i="5"/>
  <c r="U119" i="5"/>
  <c r="V119" i="5" s="1"/>
  <c r="Q119" i="5"/>
  <c r="C119" i="5"/>
  <c r="U118" i="5"/>
  <c r="M118" i="5" s="1"/>
  <c r="T118" i="5"/>
  <c r="Q118" i="5"/>
  <c r="C118" i="5"/>
  <c r="X117" i="5"/>
  <c r="W117" i="5"/>
  <c r="U117" i="5"/>
  <c r="V117" i="5" s="1"/>
  <c r="T117" i="5"/>
  <c r="Q117" i="5"/>
  <c r="M117" i="5"/>
  <c r="K117" i="5"/>
  <c r="O117" i="5" s="1"/>
  <c r="C117" i="5"/>
  <c r="W116" i="5"/>
  <c r="V116" i="5"/>
  <c r="X116" i="5" s="1"/>
  <c r="U116" i="5"/>
  <c r="T116" i="5"/>
  <c r="Q116" i="5"/>
  <c r="M116" i="5"/>
  <c r="K116" i="5"/>
  <c r="O116" i="5" s="1"/>
  <c r="C116" i="5"/>
  <c r="U115" i="5"/>
  <c r="Q115" i="5"/>
  <c r="C115" i="5"/>
  <c r="U114" i="5"/>
  <c r="T114" i="5" s="1"/>
  <c r="Q114" i="5"/>
  <c r="C114" i="5"/>
  <c r="U113" i="5"/>
  <c r="V113" i="5" s="1"/>
  <c r="X113" i="5" s="1"/>
  <c r="Q113" i="5"/>
  <c r="K113" i="5"/>
  <c r="O113" i="5" s="1"/>
  <c r="C113" i="5"/>
  <c r="U112" i="5"/>
  <c r="W112" i="5" s="1"/>
  <c r="Q112" i="5"/>
  <c r="M112" i="5"/>
  <c r="C112" i="5"/>
  <c r="U111" i="5"/>
  <c r="V111" i="5" s="1"/>
  <c r="Q111" i="5"/>
  <c r="C111" i="5"/>
  <c r="U110" i="5"/>
  <c r="M110" i="5" s="1"/>
  <c r="T110" i="5"/>
  <c r="Q110" i="5"/>
  <c r="C110" i="5"/>
  <c r="X109" i="5"/>
  <c r="W109" i="5"/>
  <c r="U109" i="5"/>
  <c r="V109" i="5" s="1"/>
  <c r="T109" i="5"/>
  <c r="Q109" i="5"/>
  <c r="M109" i="5"/>
  <c r="K109" i="5"/>
  <c r="O109" i="5" s="1"/>
  <c r="C109" i="5"/>
  <c r="W108" i="5"/>
  <c r="V108" i="5"/>
  <c r="X108" i="5" s="1"/>
  <c r="U108" i="5"/>
  <c r="T108" i="5"/>
  <c r="Q108" i="5"/>
  <c r="M108" i="5"/>
  <c r="K108" i="5"/>
  <c r="O108" i="5" s="1"/>
  <c r="C108" i="5"/>
  <c r="U107" i="5"/>
  <c r="Q107" i="5"/>
  <c r="C107" i="5"/>
  <c r="U106" i="5"/>
  <c r="T106" i="5" s="1"/>
  <c r="Q106" i="5"/>
  <c r="C106" i="5"/>
  <c r="U105" i="5"/>
  <c r="V105" i="5" s="1"/>
  <c r="X105" i="5" s="1"/>
  <c r="Q105" i="5"/>
  <c r="K105" i="5"/>
  <c r="O105" i="5" s="1"/>
  <c r="C105" i="5"/>
  <c r="U104" i="5"/>
  <c r="W104" i="5" s="1"/>
  <c r="Q104" i="5"/>
  <c r="M104" i="5"/>
  <c r="C104" i="5"/>
  <c r="U103" i="5"/>
  <c r="V103" i="5" s="1"/>
  <c r="Q103" i="5"/>
  <c r="C103" i="5"/>
  <c r="U102" i="5"/>
  <c r="M102" i="5" s="1"/>
  <c r="T102" i="5"/>
  <c r="Q102" i="5"/>
  <c r="C102" i="5"/>
  <c r="X101" i="5"/>
  <c r="W101" i="5"/>
  <c r="U101" i="5"/>
  <c r="V101" i="5" s="1"/>
  <c r="T101" i="5"/>
  <c r="Q101" i="5"/>
  <c r="M101" i="5"/>
  <c r="K101" i="5"/>
  <c r="O101" i="5" s="1"/>
  <c r="C101" i="5"/>
  <c r="W100" i="5"/>
  <c r="V100" i="5"/>
  <c r="X100" i="5" s="1"/>
  <c r="U100" i="5"/>
  <c r="T100" i="5"/>
  <c r="Q100" i="5"/>
  <c r="M100" i="5"/>
  <c r="K100" i="5"/>
  <c r="O100" i="5" s="1"/>
  <c r="C100" i="5"/>
  <c r="U99" i="5"/>
  <c r="Q99" i="5"/>
  <c r="C99" i="5"/>
  <c r="U98" i="5"/>
  <c r="T98" i="5" s="1"/>
  <c r="Q98" i="5"/>
  <c r="C98" i="5"/>
  <c r="U97" i="5"/>
  <c r="V97" i="5" s="1"/>
  <c r="X97" i="5" s="1"/>
  <c r="Q97" i="5"/>
  <c r="K97" i="5"/>
  <c r="O97" i="5" s="1"/>
  <c r="C97" i="5"/>
  <c r="U96" i="5"/>
  <c r="W96" i="5" s="1"/>
  <c r="Q96" i="5"/>
  <c r="M96" i="5"/>
  <c r="C96" i="5"/>
  <c r="U95" i="5"/>
  <c r="V95" i="5" s="1"/>
  <c r="Q95" i="5"/>
  <c r="C95" i="5"/>
  <c r="U94" i="5"/>
  <c r="M94" i="5" s="1"/>
  <c r="T94" i="5"/>
  <c r="Q94" i="5"/>
  <c r="C94" i="5"/>
  <c r="X93" i="5"/>
  <c r="W93" i="5"/>
  <c r="U93" i="5"/>
  <c r="V93" i="5" s="1"/>
  <c r="T93" i="5"/>
  <c r="Q93" i="5"/>
  <c r="M93" i="5"/>
  <c r="K93" i="5"/>
  <c r="O93" i="5" s="1"/>
  <c r="C93" i="5"/>
  <c r="W92" i="5"/>
  <c r="V92" i="5"/>
  <c r="X92" i="5" s="1"/>
  <c r="U92" i="5"/>
  <c r="T92" i="5"/>
  <c r="Q92" i="5"/>
  <c r="M92" i="5"/>
  <c r="K92" i="5"/>
  <c r="O92" i="5" s="1"/>
  <c r="C92" i="5"/>
  <c r="U91" i="5"/>
  <c r="Q91" i="5"/>
  <c r="C91" i="5"/>
  <c r="U90" i="5"/>
  <c r="T90" i="5" s="1"/>
  <c r="Q90" i="5"/>
  <c r="C90" i="5"/>
  <c r="U89" i="5"/>
  <c r="V89" i="5" s="1"/>
  <c r="X89" i="5" s="1"/>
  <c r="Q89" i="5"/>
  <c r="K89" i="5"/>
  <c r="O89" i="5" s="1"/>
  <c r="C89" i="5"/>
  <c r="U88" i="5"/>
  <c r="W88" i="5" s="1"/>
  <c r="Q88" i="5"/>
  <c r="M88" i="5"/>
  <c r="C88" i="5"/>
  <c r="U87" i="5"/>
  <c r="V87" i="5" s="1"/>
  <c r="Q87" i="5"/>
  <c r="C87" i="5"/>
  <c r="U86" i="5"/>
  <c r="M86" i="5" s="1"/>
  <c r="T86" i="5"/>
  <c r="Q86" i="5"/>
  <c r="C86" i="5"/>
  <c r="X85" i="5"/>
  <c r="W85" i="5"/>
  <c r="U85" i="5"/>
  <c r="V85" i="5" s="1"/>
  <c r="T85" i="5"/>
  <c r="Q85" i="5"/>
  <c r="M85" i="5"/>
  <c r="K85" i="5"/>
  <c r="O85" i="5" s="1"/>
  <c r="C85" i="5"/>
  <c r="W84" i="5"/>
  <c r="V84" i="5"/>
  <c r="X84" i="5" s="1"/>
  <c r="U84" i="5"/>
  <c r="T84" i="5"/>
  <c r="Q84" i="5"/>
  <c r="M84" i="5"/>
  <c r="K84" i="5"/>
  <c r="O84" i="5" s="1"/>
  <c r="C84" i="5"/>
  <c r="U83" i="5"/>
  <c r="Q83" i="5"/>
  <c r="C83" i="5"/>
  <c r="U82" i="5"/>
  <c r="T82" i="5" s="1"/>
  <c r="Q82" i="5"/>
  <c r="C82" i="5"/>
  <c r="U81" i="5"/>
  <c r="V81" i="5" s="1"/>
  <c r="X81" i="5" s="1"/>
  <c r="Q81" i="5"/>
  <c r="K81" i="5"/>
  <c r="O81" i="5" s="1"/>
  <c r="C81" i="5"/>
  <c r="U80" i="5"/>
  <c r="W80" i="5" s="1"/>
  <c r="Q80" i="5"/>
  <c r="M80" i="5"/>
  <c r="C80" i="5"/>
  <c r="U79" i="5"/>
  <c r="V79" i="5" s="1"/>
  <c r="Q79" i="5"/>
  <c r="C79" i="5"/>
  <c r="U78" i="5"/>
  <c r="M78" i="5" s="1"/>
  <c r="T78" i="5"/>
  <c r="Q78" i="5"/>
  <c r="C78" i="5"/>
  <c r="X77" i="5"/>
  <c r="W77" i="5"/>
  <c r="U77" i="5"/>
  <c r="V77" i="5" s="1"/>
  <c r="T77" i="5"/>
  <c r="Q77" i="5"/>
  <c r="M77" i="5"/>
  <c r="K77" i="5"/>
  <c r="O77" i="5" s="1"/>
  <c r="C77" i="5"/>
  <c r="W76" i="5"/>
  <c r="V76" i="5"/>
  <c r="X76" i="5" s="1"/>
  <c r="U76" i="5"/>
  <c r="T76" i="5"/>
  <c r="Q76" i="5"/>
  <c r="M76" i="5"/>
  <c r="K76" i="5"/>
  <c r="O76" i="5" s="1"/>
  <c r="C76" i="5"/>
  <c r="U75" i="5"/>
  <c r="Q75" i="5"/>
  <c r="C75" i="5"/>
  <c r="U74" i="5"/>
  <c r="T74" i="5" s="1"/>
  <c r="Q74" i="5"/>
  <c r="C74" i="5"/>
  <c r="U73" i="5"/>
  <c r="V73" i="5" s="1"/>
  <c r="X73" i="5" s="1"/>
  <c r="Q73" i="5"/>
  <c r="K73" i="5"/>
  <c r="O73" i="5" s="1"/>
  <c r="C73" i="5"/>
  <c r="U72" i="5"/>
  <c r="W72" i="5" s="1"/>
  <c r="Q72" i="5"/>
  <c r="M72" i="5"/>
  <c r="C72" i="5"/>
  <c r="U71" i="5"/>
  <c r="V71" i="5" s="1"/>
  <c r="Q71" i="5"/>
  <c r="C71" i="5"/>
  <c r="U70" i="5"/>
  <c r="M70" i="5" s="1"/>
  <c r="T70" i="5"/>
  <c r="Q70" i="5"/>
  <c r="C70" i="5"/>
  <c r="X69" i="5"/>
  <c r="U69" i="5"/>
  <c r="V69" i="5" s="1"/>
  <c r="T69" i="5"/>
  <c r="Q69" i="5"/>
  <c r="K69" i="5"/>
  <c r="O69" i="5" s="1"/>
  <c r="C69" i="5"/>
  <c r="W68" i="5"/>
  <c r="U68" i="5"/>
  <c r="V68" i="5" s="1"/>
  <c r="X68" i="5" s="1"/>
  <c r="T68" i="5"/>
  <c r="Q68" i="5"/>
  <c r="K68" i="5"/>
  <c r="O68" i="5" s="1"/>
  <c r="C68" i="5"/>
  <c r="U67" i="5"/>
  <c r="Q67" i="5"/>
  <c r="C67" i="5"/>
  <c r="U66" i="5"/>
  <c r="T66" i="5" s="1"/>
  <c r="Q66" i="5"/>
  <c r="C66" i="5"/>
  <c r="U65" i="5"/>
  <c r="V65" i="5" s="1"/>
  <c r="X65" i="5" s="1"/>
  <c r="Q65" i="5"/>
  <c r="K65" i="5"/>
  <c r="O65" i="5" s="1"/>
  <c r="C65" i="5"/>
  <c r="U64" i="5"/>
  <c r="W64" i="5" s="1"/>
  <c r="Q64" i="5"/>
  <c r="M64" i="5"/>
  <c r="C64" i="5"/>
  <c r="U63" i="5"/>
  <c r="V63" i="5" s="1"/>
  <c r="Q63" i="5"/>
  <c r="C63" i="5"/>
  <c r="U62" i="5"/>
  <c r="M62" i="5" s="1"/>
  <c r="T62" i="5"/>
  <c r="Q62" i="5"/>
  <c r="C62" i="5"/>
  <c r="X61" i="5"/>
  <c r="U61" i="5"/>
  <c r="V61" i="5" s="1"/>
  <c r="T61" i="5"/>
  <c r="Q61" i="5"/>
  <c r="K61" i="5"/>
  <c r="O61" i="5" s="1"/>
  <c r="C61" i="5"/>
  <c r="W60" i="5"/>
  <c r="U60" i="5"/>
  <c r="V60" i="5" s="1"/>
  <c r="X60" i="5" s="1"/>
  <c r="T60" i="5"/>
  <c r="Q60" i="5"/>
  <c r="K60" i="5"/>
  <c r="O60" i="5" s="1"/>
  <c r="C60" i="5"/>
  <c r="U59" i="5"/>
  <c r="Q59" i="5"/>
  <c r="C59" i="5"/>
  <c r="U58" i="5"/>
  <c r="T58" i="5" s="1"/>
  <c r="Q58" i="5"/>
  <c r="C58" i="5"/>
  <c r="U57" i="5"/>
  <c r="V57" i="5" s="1"/>
  <c r="X57" i="5" s="1"/>
  <c r="Q57" i="5"/>
  <c r="K57" i="5"/>
  <c r="O57" i="5" s="1"/>
  <c r="C57" i="5"/>
  <c r="U56" i="5"/>
  <c r="W56" i="5" s="1"/>
  <c r="Q56" i="5"/>
  <c r="M56" i="5"/>
  <c r="C56" i="5"/>
  <c r="U55" i="5"/>
  <c r="V55" i="5" s="1"/>
  <c r="Q55" i="5"/>
  <c r="C55" i="5"/>
  <c r="U54" i="5"/>
  <c r="M54" i="5" s="1"/>
  <c r="T54" i="5"/>
  <c r="Q54" i="5"/>
  <c r="C54" i="5"/>
  <c r="X53" i="5"/>
  <c r="U53" i="5"/>
  <c r="V53" i="5" s="1"/>
  <c r="T53" i="5"/>
  <c r="Q53" i="5"/>
  <c r="K53" i="5"/>
  <c r="O53" i="5" s="1"/>
  <c r="C53" i="5"/>
  <c r="W52" i="5"/>
  <c r="U52" i="5"/>
  <c r="V52" i="5" s="1"/>
  <c r="X52" i="5" s="1"/>
  <c r="T52" i="5"/>
  <c r="Q52" i="5"/>
  <c r="K52" i="5"/>
  <c r="O52" i="5" s="1"/>
  <c r="C52" i="5"/>
  <c r="U51" i="5"/>
  <c r="Q51" i="5"/>
  <c r="C51" i="5"/>
  <c r="U50" i="5"/>
  <c r="T50" i="5" s="1"/>
  <c r="Q50" i="5"/>
  <c r="C50" i="5"/>
  <c r="U49" i="5"/>
  <c r="V49" i="5" s="1"/>
  <c r="X49" i="5" s="1"/>
  <c r="Q49" i="5"/>
  <c r="K49" i="5"/>
  <c r="O49" i="5" s="1"/>
  <c r="C49" i="5"/>
  <c r="U48" i="5"/>
  <c r="W48" i="5" s="1"/>
  <c r="Q48" i="5"/>
  <c r="M48" i="5"/>
  <c r="C48" i="5"/>
  <c r="U47" i="5"/>
  <c r="V47" i="5" s="1"/>
  <c r="Q47" i="5"/>
  <c r="C47" i="5"/>
  <c r="U46" i="5"/>
  <c r="M46" i="5" s="1"/>
  <c r="T46" i="5"/>
  <c r="Q46" i="5"/>
  <c r="C46" i="5"/>
  <c r="X45" i="5"/>
  <c r="U45" i="5"/>
  <c r="V45" i="5" s="1"/>
  <c r="T45" i="5"/>
  <c r="Q45" i="5"/>
  <c r="K45" i="5"/>
  <c r="O45" i="5" s="1"/>
  <c r="C45" i="5"/>
  <c r="W44" i="5"/>
  <c r="U44" i="5"/>
  <c r="V44" i="5" s="1"/>
  <c r="X44" i="5" s="1"/>
  <c r="T44" i="5"/>
  <c r="Q44" i="5"/>
  <c r="K44" i="5"/>
  <c r="O44" i="5" s="1"/>
  <c r="C44" i="5"/>
  <c r="U43" i="5"/>
  <c r="Q43" i="5"/>
  <c r="C43" i="5"/>
  <c r="U42" i="5"/>
  <c r="T42" i="5" s="1"/>
  <c r="Q42" i="5"/>
  <c r="C42" i="5"/>
  <c r="U41" i="5"/>
  <c r="V41" i="5" s="1"/>
  <c r="X41" i="5" s="1"/>
  <c r="Q41" i="5"/>
  <c r="K41" i="5"/>
  <c r="O41" i="5" s="1"/>
  <c r="C41" i="5"/>
  <c r="U40" i="5"/>
  <c r="W40" i="5" s="1"/>
  <c r="Q40" i="5"/>
  <c r="M40" i="5"/>
  <c r="C40" i="5"/>
  <c r="U39" i="5"/>
  <c r="V39" i="5" s="1"/>
  <c r="Q39" i="5"/>
  <c r="C39" i="5"/>
  <c r="U38" i="5"/>
  <c r="M38" i="5" s="1"/>
  <c r="T38" i="5"/>
  <c r="Q38" i="5"/>
  <c r="C38" i="5"/>
  <c r="X37" i="5"/>
  <c r="U37" i="5"/>
  <c r="V37" i="5" s="1"/>
  <c r="T37" i="5"/>
  <c r="Q37" i="5"/>
  <c r="K37" i="5"/>
  <c r="O37" i="5" s="1"/>
  <c r="C37" i="5"/>
  <c r="W36" i="5"/>
  <c r="U36" i="5"/>
  <c r="V36" i="5" s="1"/>
  <c r="X36" i="5" s="1"/>
  <c r="T36" i="5"/>
  <c r="Q36" i="5"/>
  <c r="K36" i="5"/>
  <c r="O36" i="5" s="1"/>
  <c r="C36" i="5"/>
  <c r="U35" i="5"/>
  <c r="Q35" i="5"/>
  <c r="C35" i="5"/>
  <c r="U34" i="5"/>
  <c r="T34" i="5" s="1"/>
  <c r="Q34" i="5"/>
  <c r="C34" i="5"/>
  <c r="U33" i="5"/>
  <c r="V33" i="5" s="1"/>
  <c r="X33" i="5" s="1"/>
  <c r="Q33" i="5"/>
  <c r="K33" i="5"/>
  <c r="O33" i="5" s="1"/>
  <c r="C33" i="5"/>
  <c r="U32" i="5"/>
  <c r="W32" i="5" s="1"/>
  <c r="Q32" i="5"/>
  <c r="M32" i="5"/>
  <c r="C32" i="5"/>
  <c r="U31" i="5"/>
  <c r="V31" i="5" s="1"/>
  <c r="Q31" i="5"/>
  <c r="C31" i="5"/>
  <c r="U30" i="5"/>
  <c r="M30" i="5" s="1"/>
  <c r="T30" i="5"/>
  <c r="Q30" i="5"/>
  <c r="C30" i="5"/>
  <c r="X29" i="5"/>
  <c r="U29" i="5"/>
  <c r="V29" i="5" s="1"/>
  <c r="T29" i="5"/>
  <c r="Q29" i="5"/>
  <c r="K29" i="5"/>
  <c r="O29" i="5" s="1"/>
  <c r="C29" i="5"/>
  <c r="W28" i="5"/>
  <c r="U28" i="5"/>
  <c r="V28" i="5" s="1"/>
  <c r="X28" i="5" s="1"/>
  <c r="T28" i="5"/>
  <c r="Q28" i="5"/>
  <c r="K28" i="5"/>
  <c r="O28" i="5" s="1"/>
  <c r="C28" i="5"/>
  <c r="U27" i="5"/>
  <c r="Q27" i="5"/>
  <c r="C27" i="5"/>
  <c r="U26" i="5"/>
  <c r="T26" i="5" s="1"/>
  <c r="Q26" i="5"/>
  <c r="C26" i="5"/>
  <c r="U25" i="5"/>
  <c r="V25" i="5" s="1"/>
  <c r="X25" i="5" s="1"/>
  <c r="Q25" i="5"/>
  <c r="K25" i="5"/>
  <c r="O25" i="5" s="1"/>
  <c r="C25" i="5"/>
  <c r="U24" i="5"/>
  <c r="W24" i="5" s="1"/>
  <c r="Q24" i="5"/>
  <c r="M24" i="5"/>
  <c r="C24" i="5"/>
  <c r="U23" i="5"/>
  <c r="V23" i="5" s="1"/>
  <c r="Q23" i="5"/>
  <c r="C23" i="5"/>
  <c r="U22" i="5"/>
  <c r="M22" i="5" s="1"/>
  <c r="T22" i="5"/>
  <c r="Q22" i="5"/>
  <c r="C22" i="5"/>
  <c r="X21" i="5"/>
  <c r="U21" i="5"/>
  <c r="V21" i="5" s="1"/>
  <c r="T21" i="5"/>
  <c r="Q21" i="5"/>
  <c r="K21" i="5"/>
  <c r="O21" i="5" s="1"/>
  <c r="C21" i="5"/>
  <c r="W20" i="5"/>
  <c r="U20" i="5"/>
  <c r="V20" i="5" s="1"/>
  <c r="X20" i="5" s="1"/>
  <c r="T20" i="5"/>
  <c r="Q20" i="5"/>
  <c r="K20" i="5"/>
  <c r="O20" i="5" s="1"/>
  <c r="C20" i="5"/>
  <c r="U19" i="5"/>
  <c r="Q19" i="5"/>
  <c r="C19" i="5"/>
  <c r="U18" i="5"/>
  <c r="T18" i="5" s="1"/>
  <c r="Q18" i="5"/>
  <c r="C18" i="5"/>
  <c r="U17" i="5"/>
  <c r="K17" i="5" s="1"/>
  <c r="O17" i="5" s="1"/>
  <c r="Q17" i="5"/>
  <c r="C17" i="5"/>
  <c r="U16" i="5"/>
  <c r="M16" i="5" s="1"/>
  <c r="Q16" i="5"/>
  <c r="C16" i="5"/>
  <c r="U15" i="5"/>
  <c r="V15" i="5" s="1"/>
  <c r="Q15" i="5"/>
  <c r="C15" i="5"/>
  <c r="U14" i="5"/>
  <c r="M14" i="5" s="1"/>
  <c r="T14" i="5"/>
  <c r="Q14" i="5"/>
  <c r="C14" i="5"/>
  <c r="X13" i="5"/>
  <c r="U13" i="5"/>
  <c r="V13" i="5" s="1"/>
  <c r="T13" i="5"/>
  <c r="Q13" i="5"/>
  <c r="K13" i="5"/>
  <c r="O13" i="5" s="1"/>
  <c r="C13" i="5"/>
  <c r="W12" i="5"/>
  <c r="U12" i="5"/>
  <c r="V12" i="5" s="1"/>
  <c r="X12" i="5" s="1"/>
  <c r="T12" i="5"/>
  <c r="Q12" i="5"/>
  <c r="K12" i="5"/>
  <c r="O12" i="5" s="1"/>
  <c r="C12" i="5"/>
  <c r="U11" i="5"/>
  <c r="Q11" i="5"/>
  <c r="C11" i="5"/>
  <c r="U10" i="5"/>
  <c r="T10" i="5"/>
  <c r="Q10" i="5"/>
  <c r="M10" i="5"/>
  <c r="C10" i="5"/>
  <c r="U9" i="5"/>
  <c r="T9" i="5" s="1"/>
  <c r="Q9" i="5"/>
  <c r="M9" i="5"/>
  <c r="C9" i="5"/>
  <c r="U8" i="5"/>
  <c r="M8" i="5" s="1"/>
  <c r="Q8" i="5"/>
  <c r="C8" i="5"/>
  <c r="U7" i="5"/>
  <c r="Q7" i="5"/>
  <c r="C7" i="5"/>
  <c r="U6" i="5"/>
  <c r="T6" i="5"/>
  <c r="Q6" i="5"/>
  <c r="M6" i="5"/>
  <c r="C6" i="5"/>
  <c r="U5" i="5"/>
  <c r="T5" i="5" s="1"/>
  <c r="Q5" i="5"/>
  <c r="M5" i="5"/>
  <c r="C5" i="5"/>
  <c r="U4" i="5"/>
  <c r="M4" i="5" s="1"/>
  <c r="Q4" i="5"/>
  <c r="C4" i="5"/>
  <c r="Q303" i="4"/>
  <c r="K303" i="4" s="1"/>
  <c r="P303" i="4"/>
  <c r="M303" i="4"/>
  <c r="C303" i="4"/>
  <c r="R302" i="4"/>
  <c r="Q302" i="4"/>
  <c r="P302" i="4"/>
  <c r="M302" i="4"/>
  <c r="L302" i="4"/>
  <c r="K302" i="4"/>
  <c r="C302" i="4"/>
  <c r="Q301" i="4"/>
  <c r="P301" i="4" s="1"/>
  <c r="M301" i="4"/>
  <c r="C301" i="4"/>
  <c r="Q300" i="4"/>
  <c r="P300" i="4" s="1"/>
  <c r="M300" i="4"/>
  <c r="C300" i="4"/>
  <c r="Q299" i="4"/>
  <c r="P299" i="4" s="1"/>
  <c r="M299" i="4"/>
  <c r="C299" i="4"/>
  <c r="Q298" i="4"/>
  <c r="R298" i="4" s="1"/>
  <c r="P298" i="4"/>
  <c r="M298" i="4"/>
  <c r="K298" i="4"/>
  <c r="C298" i="4"/>
  <c r="Q297" i="4"/>
  <c r="P297" i="4" s="1"/>
  <c r="M297" i="4"/>
  <c r="K297" i="4"/>
  <c r="C297" i="4"/>
  <c r="Q296" i="4"/>
  <c r="R296" i="4" s="1"/>
  <c r="P296" i="4"/>
  <c r="M296" i="4"/>
  <c r="K296" i="4"/>
  <c r="C296" i="4"/>
  <c r="Q295" i="4"/>
  <c r="R295" i="4" s="1"/>
  <c r="P295" i="4"/>
  <c r="M295" i="4"/>
  <c r="L295" i="4"/>
  <c r="K295" i="4"/>
  <c r="C295" i="4"/>
  <c r="Q294" i="4"/>
  <c r="R294" i="4" s="1"/>
  <c r="M294" i="4"/>
  <c r="C294" i="4"/>
  <c r="Q293" i="4"/>
  <c r="M293" i="4"/>
  <c r="K293" i="4"/>
  <c r="C293" i="4"/>
  <c r="Q292" i="4"/>
  <c r="P292" i="4" s="1"/>
  <c r="M292" i="4"/>
  <c r="K292" i="4"/>
  <c r="C292" i="4"/>
  <c r="Q291" i="4"/>
  <c r="R291" i="4" s="1"/>
  <c r="P291" i="4"/>
  <c r="M291" i="4"/>
  <c r="K291" i="4"/>
  <c r="C291" i="4"/>
  <c r="Q290" i="4"/>
  <c r="R290" i="4" s="1"/>
  <c r="M290" i="4"/>
  <c r="K290" i="4"/>
  <c r="C290" i="4"/>
  <c r="Q289" i="4"/>
  <c r="R289" i="4" s="1"/>
  <c r="P289" i="4"/>
  <c r="M289" i="4"/>
  <c r="K289" i="4"/>
  <c r="C289" i="4"/>
  <c r="Q288" i="4"/>
  <c r="M288" i="4"/>
  <c r="C288" i="4"/>
  <c r="R287" i="4"/>
  <c r="Q287" i="4"/>
  <c r="P287" i="4"/>
  <c r="M287" i="4"/>
  <c r="L287" i="4"/>
  <c r="K287" i="4"/>
  <c r="C287" i="4"/>
  <c r="Q286" i="4"/>
  <c r="R286" i="4" s="1"/>
  <c r="M286" i="4"/>
  <c r="C286" i="4"/>
  <c r="Q285" i="4"/>
  <c r="M285" i="4"/>
  <c r="K285" i="4"/>
  <c r="C285" i="4"/>
  <c r="Q284" i="4"/>
  <c r="P284" i="4" s="1"/>
  <c r="M284" i="4"/>
  <c r="K284" i="4"/>
  <c r="C284" i="4"/>
  <c r="Q283" i="4"/>
  <c r="R283" i="4" s="1"/>
  <c r="P283" i="4"/>
  <c r="M283" i="4"/>
  <c r="K283" i="4"/>
  <c r="C283" i="4"/>
  <c r="Q282" i="4"/>
  <c r="R282" i="4" s="1"/>
  <c r="M282" i="4"/>
  <c r="K282" i="4"/>
  <c r="C282" i="4"/>
  <c r="Q281" i="4"/>
  <c r="R281" i="4" s="1"/>
  <c r="P281" i="4"/>
  <c r="M281" i="4"/>
  <c r="K281" i="4"/>
  <c r="C281" i="4"/>
  <c r="Q280" i="4"/>
  <c r="M280" i="4"/>
  <c r="C280" i="4"/>
  <c r="R279" i="4"/>
  <c r="Q279" i="4"/>
  <c r="P279" i="4"/>
  <c r="M279" i="4"/>
  <c r="L279" i="4"/>
  <c r="K279" i="4"/>
  <c r="C279" i="4"/>
  <c r="Q278" i="4"/>
  <c r="R278" i="4" s="1"/>
  <c r="M278" i="4"/>
  <c r="C278" i="4"/>
  <c r="Q277" i="4"/>
  <c r="K277" i="4" s="1"/>
  <c r="M277" i="4"/>
  <c r="C277" i="4"/>
  <c r="Q276" i="4"/>
  <c r="P276" i="4" s="1"/>
  <c r="M276" i="4"/>
  <c r="K276" i="4"/>
  <c r="C276" i="4"/>
  <c r="Q275" i="4"/>
  <c r="R275" i="4" s="1"/>
  <c r="P275" i="4"/>
  <c r="M275" i="4"/>
  <c r="K275" i="4"/>
  <c r="C275" i="4"/>
  <c r="Q274" i="4"/>
  <c r="R274" i="4" s="1"/>
  <c r="M274" i="4"/>
  <c r="K274" i="4"/>
  <c r="C274" i="4"/>
  <c r="Q273" i="4"/>
  <c r="R273" i="4" s="1"/>
  <c r="P273" i="4"/>
  <c r="M273" i="4"/>
  <c r="K273" i="4"/>
  <c r="C273" i="4"/>
  <c r="Q272" i="4"/>
  <c r="M272" i="4"/>
  <c r="C272" i="4"/>
  <c r="R271" i="4"/>
  <c r="Q271" i="4"/>
  <c r="P271" i="4"/>
  <c r="M271" i="4"/>
  <c r="L271" i="4"/>
  <c r="K271" i="4"/>
  <c r="C271" i="4"/>
  <c r="Q270" i="4"/>
  <c r="R270" i="4" s="1"/>
  <c r="M270" i="4"/>
  <c r="C270" i="4"/>
  <c r="Q269" i="4"/>
  <c r="K269" i="4" s="1"/>
  <c r="M269" i="4"/>
  <c r="C269" i="4"/>
  <c r="Q268" i="4"/>
  <c r="P268" i="4" s="1"/>
  <c r="M268" i="4"/>
  <c r="K268" i="4"/>
  <c r="C268" i="4"/>
  <c r="Q267" i="4"/>
  <c r="R267" i="4" s="1"/>
  <c r="P267" i="4"/>
  <c r="M267" i="4"/>
  <c r="K267" i="4"/>
  <c r="C267" i="4"/>
  <c r="Q266" i="4"/>
  <c r="R266" i="4" s="1"/>
  <c r="M266" i="4"/>
  <c r="C266" i="4"/>
  <c r="R265" i="4"/>
  <c r="Q265" i="4"/>
  <c r="P265" i="4"/>
  <c r="M265" i="4"/>
  <c r="L265" i="4"/>
  <c r="K265" i="4"/>
  <c r="C265" i="4"/>
  <c r="Q264" i="4"/>
  <c r="P264" i="4" s="1"/>
  <c r="M264" i="4"/>
  <c r="C264" i="4"/>
  <c r="Q263" i="4"/>
  <c r="M263" i="4"/>
  <c r="K263" i="4"/>
  <c r="C263" i="4"/>
  <c r="Q262" i="4"/>
  <c r="R262" i="4" s="1"/>
  <c r="M262" i="4"/>
  <c r="K262" i="4"/>
  <c r="C262" i="4"/>
  <c r="Q261" i="4"/>
  <c r="R261" i="4" s="1"/>
  <c r="P261" i="4"/>
  <c r="M261" i="4"/>
  <c r="K261" i="4"/>
  <c r="C261" i="4"/>
  <c r="Q260" i="4"/>
  <c r="P260" i="4" s="1"/>
  <c r="M260" i="4"/>
  <c r="K260" i="4"/>
  <c r="C260" i="4"/>
  <c r="Q259" i="4"/>
  <c r="R259" i="4" s="1"/>
  <c r="P259" i="4"/>
  <c r="M259" i="4"/>
  <c r="K259" i="4"/>
  <c r="C259" i="4"/>
  <c r="Q258" i="4"/>
  <c r="R258" i="4" s="1"/>
  <c r="M258" i="4"/>
  <c r="C258" i="4"/>
  <c r="Q257" i="4"/>
  <c r="M257" i="4"/>
  <c r="K257" i="4"/>
  <c r="C257" i="4"/>
  <c r="Q256" i="4"/>
  <c r="P256" i="4" s="1"/>
  <c r="M256" i="4"/>
  <c r="K256" i="4"/>
  <c r="C256" i="4"/>
  <c r="Q255" i="4"/>
  <c r="R255" i="4" s="1"/>
  <c r="P255" i="4"/>
  <c r="M255" i="4"/>
  <c r="K255" i="4"/>
  <c r="C255" i="4"/>
  <c r="Q254" i="4"/>
  <c r="R254" i="4" s="1"/>
  <c r="M254" i="4"/>
  <c r="K254" i="4"/>
  <c r="C254" i="4"/>
  <c r="Q253" i="4"/>
  <c r="R253" i="4" s="1"/>
  <c r="P253" i="4"/>
  <c r="M253" i="4"/>
  <c r="K253" i="4"/>
  <c r="C253" i="4"/>
  <c r="Q252" i="4"/>
  <c r="M252" i="4"/>
  <c r="C252" i="4"/>
  <c r="R251" i="4"/>
  <c r="Q251" i="4"/>
  <c r="P251" i="4"/>
  <c r="M251" i="4"/>
  <c r="L251" i="4"/>
  <c r="K251" i="4"/>
  <c r="C251" i="4"/>
  <c r="Q250" i="4"/>
  <c r="R250" i="4" s="1"/>
  <c r="M250" i="4"/>
  <c r="C250" i="4"/>
  <c r="Q249" i="4"/>
  <c r="R249" i="4" s="1"/>
  <c r="P249" i="4"/>
  <c r="M249" i="4"/>
  <c r="K249" i="4"/>
  <c r="C249" i="4"/>
  <c r="Q248" i="4"/>
  <c r="P248" i="4" s="1"/>
  <c r="M248" i="4"/>
  <c r="K248" i="4"/>
  <c r="C248" i="4"/>
  <c r="Q247" i="4"/>
  <c r="R247" i="4" s="1"/>
  <c r="P247" i="4"/>
  <c r="M247" i="4"/>
  <c r="K247" i="4"/>
  <c r="C247" i="4"/>
  <c r="Q246" i="4"/>
  <c r="M246" i="4"/>
  <c r="C246" i="4"/>
  <c r="R245" i="4"/>
  <c r="Q245" i="4"/>
  <c r="P245" i="4"/>
  <c r="M245" i="4"/>
  <c r="L245" i="4"/>
  <c r="K245" i="4"/>
  <c r="C245" i="4"/>
  <c r="Q244" i="4"/>
  <c r="P244" i="4" s="1"/>
  <c r="M244" i="4"/>
  <c r="C244" i="4"/>
  <c r="Q243" i="4"/>
  <c r="K243" i="4" s="1"/>
  <c r="M243" i="4"/>
  <c r="C243" i="4"/>
  <c r="Q242" i="4"/>
  <c r="R242" i="4" s="1"/>
  <c r="M242" i="4"/>
  <c r="C242" i="4"/>
  <c r="Q241" i="4"/>
  <c r="R241" i="4" s="1"/>
  <c r="P241" i="4"/>
  <c r="M241" i="4"/>
  <c r="K241" i="4"/>
  <c r="C241" i="4"/>
  <c r="Q240" i="4"/>
  <c r="M240" i="4"/>
  <c r="C240" i="4"/>
  <c r="R239" i="4"/>
  <c r="Q239" i="4"/>
  <c r="P239" i="4"/>
  <c r="M239" i="4"/>
  <c r="L239" i="4"/>
  <c r="K239" i="4"/>
  <c r="C239" i="4"/>
  <c r="Q238" i="4"/>
  <c r="R238" i="4" s="1"/>
  <c r="M238" i="4"/>
  <c r="C238" i="4"/>
  <c r="Q237" i="4"/>
  <c r="M237" i="4"/>
  <c r="K237" i="4"/>
  <c r="C237" i="4"/>
  <c r="Q236" i="4"/>
  <c r="P236" i="4" s="1"/>
  <c r="M236" i="4"/>
  <c r="K236" i="4"/>
  <c r="C236" i="4"/>
  <c r="Q235" i="4"/>
  <c r="R235" i="4" s="1"/>
  <c r="P235" i="4"/>
  <c r="M235" i="4"/>
  <c r="K235" i="4"/>
  <c r="C235" i="4"/>
  <c r="Q234" i="4"/>
  <c r="R234" i="4" s="1"/>
  <c r="M234" i="4"/>
  <c r="K234" i="4"/>
  <c r="C234" i="4"/>
  <c r="Q233" i="4"/>
  <c r="R233" i="4" s="1"/>
  <c r="P233" i="4"/>
  <c r="M233" i="4"/>
  <c r="K233" i="4"/>
  <c r="C233" i="4"/>
  <c r="Q232" i="4"/>
  <c r="M232" i="4"/>
  <c r="C232" i="4"/>
  <c r="R231" i="4"/>
  <c r="Q231" i="4"/>
  <c r="P231" i="4"/>
  <c r="M231" i="4"/>
  <c r="L231" i="4"/>
  <c r="K231" i="4"/>
  <c r="C231" i="4"/>
  <c r="Q230" i="4"/>
  <c r="R230" i="4" s="1"/>
  <c r="M230" i="4"/>
  <c r="C230" i="4"/>
  <c r="Q229" i="4"/>
  <c r="K229" i="4" s="1"/>
  <c r="M229" i="4"/>
  <c r="C229" i="4"/>
  <c r="Q228" i="4"/>
  <c r="P228" i="4" s="1"/>
  <c r="M228" i="4"/>
  <c r="K228" i="4"/>
  <c r="C228" i="4"/>
  <c r="Q227" i="4"/>
  <c r="R227" i="4" s="1"/>
  <c r="P227" i="4"/>
  <c r="M227" i="4"/>
  <c r="K227" i="4"/>
  <c r="C227" i="4"/>
  <c r="Q226" i="4"/>
  <c r="R226" i="4" s="1"/>
  <c r="M226" i="4"/>
  <c r="C226" i="4"/>
  <c r="R225" i="4"/>
  <c r="Q225" i="4"/>
  <c r="P225" i="4"/>
  <c r="M225" i="4"/>
  <c r="L225" i="4"/>
  <c r="K225" i="4"/>
  <c r="C225" i="4"/>
  <c r="Q224" i="4"/>
  <c r="P224" i="4" s="1"/>
  <c r="M224" i="4"/>
  <c r="C224" i="4"/>
  <c r="Q223" i="4"/>
  <c r="M223" i="4"/>
  <c r="K223" i="4"/>
  <c r="C223" i="4"/>
  <c r="Q222" i="4"/>
  <c r="R222" i="4" s="1"/>
  <c r="M222" i="4"/>
  <c r="K222" i="4"/>
  <c r="C222" i="4"/>
  <c r="Q221" i="4"/>
  <c r="R221" i="4" s="1"/>
  <c r="P221" i="4"/>
  <c r="M221" i="4"/>
  <c r="K221" i="4"/>
  <c r="C221" i="4"/>
  <c r="Q220" i="4"/>
  <c r="P220" i="4" s="1"/>
  <c r="M220" i="4"/>
  <c r="K220" i="4"/>
  <c r="C220" i="4"/>
  <c r="Q219" i="4"/>
  <c r="R219" i="4" s="1"/>
  <c r="P219" i="4"/>
  <c r="M219" i="4"/>
  <c r="K219" i="4"/>
  <c r="C219" i="4"/>
  <c r="Q218" i="4"/>
  <c r="M218" i="4"/>
  <c r="C218" i="4"/>
  <c r="R217" i="4"/>
  <c r="Q217" i="4"/>
  <c r="P217" i="4"/>
  <c r="M217" i="4"/>
  <c r="L217" i="4"/>
  <c r="K217" i="4"/>
  <c r="C217" i="4"/>
  <c r="Q216" i="4"/>
  <c r="P216" i="4" s="1"/>
  <c r="M216" i="4"/>
  <c r="C216" i="4"/>
  <c r="Q215" i="4"/>
  <c r="M215" i="4"/>
  <c r="K215" i="4"/>
  <c r="C215" i="4"/>
  <c r="Q214" i="4"/>
  <c r="R214" i="4" s="1"/>
  <c r="M214" i="4"/>
  <c r="C214" i="4"/>
  <c r="Q213" i="4"/>
  <c r="R213" i="4" s="1"/>
  <c r="P213" i="4"/>
  <c r="M213" i="4"/>
  <c r="K213" i="4"/>
  <c r="C213" i="4"/>
  <c r="Q212" i="4"/>
  <c r="M212" i="4"/>
  <c r="C212" i="4"/>
  <c r="R211" i="4"/>
  <c r="Q211" i="4"/>
  <c r="P211" i="4"/>
  <c r="M211" i="4"/>
  <c r="L211" i="4"/>
  <c r="K211" i="4"/>
  <c r="C211" i="4"/>
  <c r="Q210" i="4"/>
  <c r="R210" i="4" s="1"/>
  <c r="M210" i="4"/>
  <c r="C210" i="4"/>
  <c r="Q209" i="4"/>
  <c r="M209" i="4"/>
  <c r="K209" i="4"/>
  <c r="C209" i="4"/>
  <c r="Q208" i="4"/>
  <c r="P208" i="4" s="1"/>
  <c r="M208" i="4"/>
  <c r="K208" i="4"/>
  <c r="C208" i="4"/>
  <c r="Q207" i="4"/>
  <c r="R207" i="4" s="1"/>
  <c r="P207" i="4"/>
  <c r="M207" i="4"/>
  <c r="K207" i="4"/>
  <c r="C207" i="4"/>
  <c r="Q206" i="4"/>
  <c r="R206" i="4" s="1"/>
  <c r="M206" i="4"/>
  <c r="K206" i="4"/>
  <c r="C206" i="4"/>
  <c r="Q205" i="4"/>
  <c r="R205" i="4" s="1"/>
  <c r="P205" i="4"/>
  <c r="M205" i="4"/>
  <c r="K205" i="4"/>
  <c r="C205" i="4"/>
  <c r="Q204" i="4"/>
  <c r="M204" i="4"/>
  <c r="C204" i="4"/>
  <c r="R203" i="4"/>
  <c r="Q203" i="4"/>
  <c r="P203" i="4"/>
  <c r="M203" i="4"/>
  <c r="L203" i="4"/>
  <c r="K203" i="4"/>
  <c r="C203" i="4"/>
  <c r="Q202" i="4"/>
  <c r="R202" i="4" s="1"/>
  <c r="M202" i="4"/>
  <c r="C202" i="4"/>
  <c r="Q201" i="4"/>
  <c r="M201" i="4"/>
  <c r="K201" i="4"/>
  <c r="C201" i="4"/>
  <c r="Q200" i="4"/>
  <c r="P200" i="4" s="1"/>
  <c r="M200" i="4"/>
  <c r="K200" i="4"/>
  <c r="C200" i="4"/>
  <c r="Q199" i="4"/>
  <c r="R199" i="4" s="1"/>
  <c r="P199" i="4"/>
  <c r="M199" i="4"/>
  <c r="K199" i="4"/>
  <c r="C199" i="4"/>
  <c r="Q198" i="4"/>
  <c r="R198" i="4" s="1"/>
  <c r="M198" i="4"/>
  <c r="K198" i="4"/>
  <c r="C198" i="4"/>
  <c r="Q197" i="4"/>
  <c r="R197" i="4" s="1"/>
  <c r="P197" i="4"/>
  <c r="M197" i="4"/>
  <c r="K197" i="4"/>
  <c r="C197" i="4"/>
  <c r="Q196" i="4"/>
  <c r="M196" i="4"/>
  <c r="C196" i="4"/>
  <c r="R195" i="4"/>
  <c r="Q195" i="4"/>
  <c r="P195" i="4"/>
  <c r="M195" i="4"/>
  <c r="L195" i="4"/>
  <c r="K195" i="4"/>
  <c r="C195" i="4"/>
  <c r="Q194" i="4"/>
  <c r="R194" i="4" s="1"/>
  <c r="M194" i="4"/>
  <c r="C194" i="4"/>
  <c r="Q193" i="4"/>
  <c r="R193" i="4" s="1"/>
  <c r="P193" i="4"/>
  <c r="M193" i="4"/>
  <c r="K193" i="4"/>
  <c r="C193" i="4"/>
  <c r="Q192" i="4"/>
  <c r="P192" i="4" s="1"/>
  <c r="M192" i="4"/>
  <c r="K192" i="4"/>
  <c r="C192" i="4"/>
  <c r="Q191" i="4"/>
  <c r="R191" i="4" s="1"/>
  <c r="P191" i="4"/>
  <c r="M191" i="4"/>
  <c r="K191" i="4"/>
  <c r="C191" i="4"/>
  <c r="Q190" i="4"/>
  <c r="M190" i="4"/>
  <c r="C190" i="4"/>
  <c r="R189" i="4"/>
  <c r="Q189" i="4"/>
  <c r="P189" i="4"/>
  <c r="M189" i="4"/>
  <c r="L189" i="4"/>
  <c r="K189" i="4"/>
  <c r="C189" i="4"/>
  <c r="Q188" i="4"/>
  <c r="P188" i="4" s="1"/>
  <c r="M188" i="4"/>
  <c r="C188" i="4"/>
  <c r="Q187" i="4"/>
  <c r="K187" i="4" s="1"/>
  <c r="M187" i="4"/>
  <c r="C187" i="4"/>
  <c r="Q186" i="4"/>
  <c r="R186" i="4" s="1"/>
  <c r="M186" i="4"/>
  <c r="K186" i="4"/>
  <c r="C186" i="4"/>
  <c r="Q185" i="4"/>
  <c r="R185" i="4" s="1"/>
  <c r="P185" i="4"/>
  <c r="M185" i="4"/>
  <c r="K185" i="4"/>
  <c r="C185" i="4"/>
  <c r="Q184" i="4"/>
  <c r="P184" i="4" s="1"/>
  <c r="M184" i="4"/>
  <c r="K184" i="4"/>
  <c r="C184" i="4"/>
  <c r="Q183" i="4"/>
  <c r="R183" i="4" s="1"/>
  <c r="P183" i="4"/>
  <c r="M183" i="4"/>
  <c r="K183" i="4"/>
  <c r="C183" i="4"/>
  <c r="Q182" i="4"/>
  <c r="M182" i="4"/>
  <c r="C182" i="4"/>
  <c r="R181" i="4"/>
  <c r="Q181" i="4"/>
  <c r="P181" i="4"/>
  <c r="M181" i="4"/>
  <c r="L181" i="4"/>
  <c r="K181" i="4"/>
  <c r="C181" i="4"/>
  <c r="Q180" i="4"/>
  <c r="P180" i="4" s="1"/>
  <c r="M180" i="4"/>
  <c r="C180" i="4"/>
  <c r="Q179" i="4"/>
  <c r="M179" i="4"/>
  <c r="K179" i="4"/>
  <c r="C179" i="4"/>
  <c r="Q178" i="4"/>
  <c r="R178" i="4" s="1"/>
  <c r="M178" i="4"/>
  <c r="C178" i="4"/>
  <c r="Q177" i="4"/>
  <c r="R177" i="4" s="1"/>
  <c r="P177" i="4"/>
  <c r="M177" i="4"/>
  <c r="K177" i="4"/>
  <c r="C177" i="4"/>
  <c r="Q176" i="4"/>
  <c r="M176" i="4"/>
  <c r="C176" i="4"/>
  <c r="R175" i="4"/>
  <c r="Q175" i="4"/>
  <c r="P175" i="4"/>
  <c r="M175" i="4"/>
  <c r="L175" i="4"/>
  <c r="K175" i="4"/>
  <c r="C175" i="4"/>
  <c r="Q174" i="4"/>
  <c r="M174" i="4"/>
  <c r="C174" i="4"/>
  <c r="Q173" i="4"/>
  <c r="P173" i="4" s="1"/>
  <c r="M173" i="4"/>
  <c r="K173" i="4"/>
  <c r="C173" i="4"/>
  <c r="Q172" i="4"/>
  <c r="P172" i="4" s="1"/>
  <c r="M172" i="4"/>
  <c r="K172" i="4"/>
  <c r="C172" i="4"/>
  <c r="Q171" i="4"/>
  <c r="P171" i="4" s="1"/>
  <c r="M171" i="4"/>
  <c r="K171" i="4"/>
  <c r="C171" i="4"/>
  <c r="Q170" i="4"/>
  <c r="R170" i="4" s="1"/>
  <c r="M170" i="4"/>
  <c r="C170" i="4"/>
  <c r="R169" i="4"/>
  <c r="Q169" i="4"/>
  <c r="P169" i="4"/>
  <c r="M169" i="4"/>
  <c r="L169" i="4"/>
  <c r="K169" i="4"/>
  <c r="C169" i="4"/>
  <c r="Q168" i="4"/>
  <c r="M168" i="4"/>
  <c r="C168" i="4"/>
  <c r="Q167" i="4"/>
  <c r="P167" i="4" s="1"/>
  <c r="M167" i="4"/>
  <c r="C167" i="4"/>
  <c r="Q166" i="4"/>
  <c r="R166" i="4" s="1"/>
  <c r="M166" i="4"/>
  <c r="C166" i="4"/>
  <c r="Q165" i="4"/>
  <c r="R165" i="4" s="1"/>
  <c r="P165" i="4"/>
  <c r="M165" i="4"/>
  <c r="K165" i="4"/>
  <c r="C165" i="4"/>
  <c r="Q164" i="4"/>
  <c r="M164" i="4"/>
  <c r="C164" i="4"/>
  <c r="R163" i="4"/>
  <c r="Q163" i="4"/>
  <c r="P163" i="4"/>
  <c r="M163" i="4"/>
  <c r="L163" i="4"/>
  <c r="K163" i="4"/>
  <c r="C163" i="4"/>
  <c r="Q162" i="4"/>
  <c r="M162" i="4"/>
  <c r="C162" i="4"/>
  <c r="Q161" i="4"/>
  <c r="P161" i="4" s="1"/>
  <c r="M161" i="4"/>
  <c r="C161" i="4"/>
  <c r="Q160" i="4"/>
  <c r="P160" i="4" s="1"/>
  <c r="M160" i="4"/>
  <c r="K160" i="4"/>
  <c r="C160" i="4"/>
  <c r="Q159" i="4"/>
  <c r="P159" i="4" s="1"/>
  <c r="M159" i="4"/>
  <c r="C159" i="4"/>
  <c r="Q158" i="4"/>
  <c r="R158" i="4" s="1"/>
  <c r="M158" i="4"/>
  <c r="K158" i="4"/>
  <c r="C158" i="4"/>
  <c r="R157" i="4"/>
  <c r="Q157" i="4"/>
  <c r="P157" i="4"/>
  <c r="M157" i="4"/>
  <c r="L157" i="4"/>
  <c r="K157" i="4"/>
  <c r="C157" i="4"/>
  <c r="Q156" i="4"/>
  <c r="M156" i="4"/>
  <c r="C156" i="4"/>
  <c r="R155" i="4"/>
  <c r="Q155" i="4"/>
  <c r="P155" i="4" s="1"/>
  <c r="M155" i="4"/>
  <c r="L155" i="4"/>
  <c r="K155" i="4"/>
  <c r="C155" i="4"/>
  <c r="Q154" i="4"/>
  <c r="R154" i="4" s="1"/>
  <c r="M154" i="4"/>
  <c r="C154" i="4"/>
  <c r="Q153" i="4"/>
  <c r="P153" i="4" s="1"/>
  <c r="M153" i="4"/>
  <c r="C153" i="4"/>
  <c r="Q152" i="4"/>
  <c r="P152" i="4" s="1"/>
  <c r="M152" i="4"/>
  <c r="K152" i="4"/>
  <c r="C152" i="4"/>
  <c r="R151" i="4"/>
  <c r="Q151" i="4"/>
  <c r="P151" i="4"/>
  <c r="M151" i="4"/>
  <c r="L151" i="4"/>
  <c r="K151" i="4"/>
  <c r="C151" i="4"/>
  <c r="Q150" i="4"/>
  <c r="M150" i="4"/>
  <c r="C150" i="4"/>
  <c r="R149" i="4"/>
  <c r="Q149" i="4"/>
  <c r="P149" i="4" s="1"/>
  <c r="M149" i="4"/>
  <c r="L149" i="4"/>
  <c r="K149" i="4"/>
  <c r="C149" i="4"/>
  <c r="Q148" i="4"/>
  <c r="M148" i="4"/>
  <c r="C148" i="4"/>
  <c r="R147" i="4"/>
  <c r="Q147" i="4"/>
  <c r="P147" i="4" s="1"/>
  <c r="M147" i="4"/>
  <c r="L147" i="4"/>
  <c r="K147" i="4"/>
  <c r="C147" i="4"/>
  <c r="Q146" i="4"/>
  <c r="R146" i="4" s="1"/>
  <c r="M146" i="4"/>
  <c r="K146" i="4"/>
  <c r="C146" i="4"/>
  <c r="Q145" i="4"/>
  <c r="P145" i="4"/>
  <c r="M145" i="4"/>
  <c r="K145" i="4"/>
  <c r="C145" i="4"/>
  <c r="Q144" i="4"/>
  <c r="P144" i="4" s="1"/>
  <c r="M144" i="4"/>
  <c r="K144" i="4"/>
  <c r="C144" i="4"/>
  <c r="R143" i="4"/>
  <c r="Q143" i="4"/>
  <c r="P143" i="4"/>
  <c r="M143" i="4"/>
  <c r="L143" i="4"/>
  <c r="K143" i="4"/>
  <c r="C143" i="4"/>
  <c r="Q142" i="4"/>
  <c r="M142" i="4"/>
  <c r="C142" i="4"/>
  <c r="R141" i="4"/>
  <c r="Q141" i="4"/>
  <c r="P141" i="4" s="1"/>
  <c r="M141" i="4"/>
  <c r="L141" i="4"/>
  <c r="K141" i="4"/>
  <c r="C141" i="4"/>
  <c r="Q140" i="4"/>
  <c r="M140" i="4"/>
  <c r="C140" i="4"/>
  <c r="Q139" i="4"/>
  <c r="P139" i="4" s="1"/>
  <c r="M139" i="4"/>
  <c r="C139" i="4"/>
  <c r="Q138" i="4"/>
  <c r="R138" i="4" s="1"/>
  <c r="M138" i="4"/>
  <c r="C138" i="4"/>
  <c r="R137" i="4"/>
  <c r="Q137" i="4"/>
  <c r="P137" i="4"/>
  <c r="M137" i="4"/>
  <c r="L137" i="4"/>
  <c r="K137" i="4"/>
  <c r="C137" i="4"/>
  <c r="Q136" i="4"/>
  <c r="M136" i="4"/>
  <c r="C136" i="4"/>
  <c r="R135" i="4"/>
  <c r="Q135" i="4"/>
  <c r="P135" i="4" s="1"/>
  <c r="M135" i="4"/>
  <c r="L135" i="4"/>
  <c r="K135" i="4"/>
  <c r="C135" i="4"/>
  <c r="Q134" i="4"/>
  <c r="M134" i="4"/>
  <c r="C134" i="4"/>
  <c r="Q133" i="4"/>
  <c r="P133" i="4" s="1"/>
  <c r="M133" i="4"/>
  <c r="C133" i="4"/>
  <c r="Q132" i="4"/>
  <c r="P132" i="4" s="1"/>
  <c r="M132" i="4"/>
  <c r="K132" i="4"/>
  <c r="C132" i="4"/>
  <c r="Q131" i="4"/>
  <c r="P131" i="4" s="1"/>
  <c r="M131" i="4"/>
  <c r="C131" i="4"/>
  <c r="Q130" i="4"/>
  <c r="R130" i="4" s="1"/>
  <c r="M130" i="4"/>
  <c r="K130" i="4"/>
  <c r="C130" i="4"/>
  <c r="R129" i="4"/>
  <c r="Q129" i="4"/>
  <c r="P129" i="4"/>
  <c r="M129" i="4"/>
  <c r="L129" i="4"/>
  <c r="K129" i="4"/>
  <c r="C129" i="4"/>
  <c r="Q128" i="4"/>
  <c r="M128" i="4"/>
  <c r="C128" i="4"/>
  <c r="R127" i="4"/>
  <c r="Q127" i="4"/>
  <c r="P127" i="4" s="1"/>
  <c r="M127" i="4"/>
  <c r="L127" i="4"/>
  <c r="K127" i="4"/>
  <c r="C127" i="4"/>
  <c r="Q126" i="4"/>
  <c r="M126" i="4"/>
  <c r="C126" i="4"/>
  <c r="R125" i="4"/>
  <c r="Q125" i="4"/>
  <c r="P125" i="4" s="1"/>
  <c r="M125" i="4"/>
  <c r="L125" i="4"/>
  <c r="K125" i="4"/>
  <c r="C125" i="4"/>
  <c r="Q124" i="4"/>
  <c r="P124" i="4" s="1"/>
  <c r="M124" i="4"/>
  <c r="K124" i="4"/>
  <c r="C124" i="4"/>
  <c r="Q123" i="4"/>
  <c r="P123" i="4"/>
  <c r="M123" i="4"/>
  <c r="K123" i="4"/>
  <c r="C123" i="4"/>
  <c r="Q122" i="4"/>
  <c r="R122" i="4" s="1"/>
  <c r="M122" i="4"/>
  <c r="C122" i="4"/>
  <c r="R121" i="4"/>
  <c r="Q121" i="4"/>
  <c r="P121" i="4" s="1"/>
  <c r="M121" i="4"/>
  <c r="L121" i="4"/>
  <c r="K121" i="4"/>
  <c r="C121" i="4"/>
  <c r="Q120" i="4"/>
  <c r="M120" i="4"/>
  <c r="C120" i="4"/>
  <c r="Q119" i="4"/>
  <c r="P119" i="4" s="1"/>
  <c r="M119" i="4"/>
  <c r="C119" i="4"/>
  <c r="Q118" i="4"/>
  <c r="R118" i="4" s="1"/>
  <c r="M118" i="4"/>
  <c r="K118" i="4"/>
  <c r="C118" i="4"/>
  <c r="Q117" i="4"/>
  <c r="P117" i="4" s="1"/>
  <c r="M117" i="4"/>
  <c r="K117" i="4"/>
  <c r="C117" i="4"/>
  <c r="Q116" i="4"/>
  <c r="P116" i="4" s="1"/>
  <c r="M116" i="4"/>
  <c r="K116" i="4"/>
  <c r="C116" i="4"/>
  <c r="R115" i="4"/>
  <c r="Q115" i="4"/>
  <c r="P115" i="4"/>
  <c r="M115" i="4"/>
  <c r="L115" i="4"/>
  <c r="K115" i="4"/>
  <c r="C115" i="4"/>
  <c r="Q114" i="4"/>
  <c r="R114" i="4" s="1"/>
  <c r="M114" i="4"/>
  <c r="C114" i="4"/>
  <c r="R113" i="4"/>
  <c r="Q113" i="4"/>
  <c r="P113" i="4" s="1"/>
  <c r="M113" i="4"/>
  <c r="L113" i="4"/>
  <c r="K113" i="4"/>
  <c r="C113" i="4"/>
  <c r="Q112" i="4"/>
  <c r="P112" i="4" s="1"/>
  <c r="M112" i="4"/>
  <c r="K112" i="4"/>
  <c r="C112" i="4"/>
  <c r="Q111" i="4"/>
  <c r="P111" i="4"/>
  <c r="M111" i="4"/>
  <c r="K111" i="4"/>
  <c r="C111" i="4"/>
  <c r="Q110" i="4"/>
  <c r="R110" i="4" s="1"/>
  <c r="M110" i="4"/>
  <c r="K110" i="4"/>
  <c r="C110" i="4"/>
  <c r="R109" i="4"/>
  <c r="Q109" i="4"/>
  <c r="P109" i="4"/>
  <c r="M109" i="4"/>
  <c r="L109" i="4"/>
  <c r="K109" i="4"/>
  <c r="C109" i="4"/>
  <c r="Q108" i="4"/>
  <c r="M108" i="4"/>
  <c r="C108" i="4"/>
  <c r="R107" i="4"/>
  <c r="Q107" i="4"/>
  <c r="P107" i="4" s="1"/>
  <c r="M107" i="4"/>
  <c r="L107" i="4"/>
  <c r="K107" i="4"/>
  <c r="C107" i="4"/>
  <c r="Q106" i="4"/>
  <c r="M106" i="4"/>
  <c r="C106" i="4"/>
  <c r="Q105" i="4"/>
  <c r="P105" i="4" s="1"/>
  <c r="M105" i="4"/>
  <c r="C105" i="4"/>
  <c r="Q104" i="4"/>
  <c r="P104" i="4" s="1"/>
  <c r="M104" i="4"/>
  <c r="K104" i="4"/>
  <c r="C104" i="4"/>
  <c r="Q103" i="4"/>
  <c r="P103" i="4" s="1"/>
  <c r="M103" i="4"/>
  <c r="C103" i="4"/>
  <c r="Q102" i="4"/>
  <c r="R102" i="4" s="1"/>
  <c r="M102" i="4"/>
  <c r="K102" i="4"/>
  <c r="C102" i="4"/>
  <c r="R101" i="4"/>
  <c r="Q101" i="4"/>
  <c r="P101" i="4"/>
  <c r="M101" i="4"/>
  <c r="L101" i="4"/>
  <c r="K101" i="4"/>
  <c r="C101" i="4"/>
  <c r="Q100" i="4"/>
  <c r="M100" i="4"/>
  <c r="C100" i="4"/>
  <c r="R99" i="4"/>
  <c r="Q99" i="4"/>
  <c r="P99" i="4" s="1"/>
  <c r="M99" i="4"/>
  <c r="L99" i="4"/>
  <c r="K99" i="4"/>
  <c r="C99" i="4"/>
  <c r="Q98" i="4"/>
  <c r="R98" i="4" s="1"/>
  <c r="M98" i="4"/>
  <c r="C98" i="4"/>
  <c r="Q97" i="4"/>
  <c r="P97" i="4" s="1"/>
  <c r="M97" i="4"/>
  <c r="C97" i="4"/>
  <c r="Q96" i="4"/>
  <c r="P96" i="4" s="1"/>
  <c r="M96" i="4"/>
  <c r="K96" i="4"/>
  <c r="C96" i="4"/>
  <c r="R95" i="4"/>
  <c r="Q95" i="4"/>
  <c r="P95" i="4"/>
  <c r="M95" i="4"/>
  <c r="L95" i="4"/>
  <c r="K95" i="4"/>
  <c r="C95" i="4"/>
  <c r="Q94" i="4"/>
  <c r="M94" i="4"/>
  <c r="C94" i="4"/>
  <c r="R93" i="4"/>
  <c r="Q93" i="4"/>
  <c r="P93" i="4" s="1"/>
  <c r="M93" i="4"/>
  <c r="L93" i="4"/>
  <c r="K93" i="4"/>
  <c r="C93" i="4"/>
  <c r="Q92" i="4"/>
  <c r="M92" i="4"/>
  <c r="C92" i="4"/>
  <c r="R91" i="4"/>
  <c r="Q91" i="4"/>
  <c r="P91" i="4" s="1"/>
  <c r="M91" i="4"/>
  <c r="L91" i="4"/>
  <c r="K91" i="4"/>
  <c r="C91" i="4"/>
  <c r="Q90" i="4"/>
  <c r="R90" i="4" s="1"/>
  <c r="M90" i="4"/>
  <c r="K90" i="4"/>
  <c r="C90" i="4"/>
  <c r="Q89" i="4"/>
  <c r="P89" i="4"/>
  <c r="M89" i="4"/>
  <c r="K89" i="4"/>
  <c r="C89" i="4"/>
  <c r="Q88" i="4"/>
  <c r="P88" i="4" s="1"/>
  <c r="M88" i="4"/>
  <c r="K88" i="4"/>
  <c r="C88" i="4"/>
  <c r="R87" i="4"/>
  <c r="Q87" i="4"/>
  <c r="P87" i="4"/>
  <c r="M87" i="4"/>
  <c r="L87" i="4"/>
  <c r="K87" i="4"/>
  <c r="C87" i="4"/>
  <c r="Q86" i="4"/>
  <c r="M86" i="4"/>
  <c r="C86" i="4"/>
  <c r="R85" i="4"/>
  <c r="Q85" i="4"/>
  <c r="P85" i="4" s="1"/>
  <c r="M85" i="4"/>
  <c r="L85" i="4"/>
  <c r="K85" i="4"/>
  <c r="C85" i="4"/>
  <c r="Q84" i="4"/>
  <c r="M84" i="4"/>
  <c r="C84" i="4"/>
  <c r="Q83" i="4"/>
  <c r="P83" i="4" s="1"/>
  <c r="M83" i="4"/>
  <c r="C83" i="4"/>
  <c r="Q82" i="4"/>
  <c r="R82" i="4" s="1"/>
  <c r="M82" i="4"/>
  <c r="C82" i="4"/>
  <c r="R81" i="4"/>
  <c r="Q81" i="4"/>
  <c r="P81" i="4"/>
  <c r="M81" i="4"/>
  <c r="L81" i="4"/>
  <c r="K81" i="4"/>
  <c r="C81" i="4"/>
  <c r="Q80" i="4"/>
  <c r="P80" i="4" s="1"/>
  <c r="M80" i="4"/>
  <c r="C80" i="4"/>
  <c r="R79" i="4"/>
  <c r="Q79" i="4"/>
  <c r="P79" i="4" s="1"/>
  <c r="M79" i="4"/>
  <c r="L79" i="4"/>
  <c r="K79" i="4"/>
  <c r="C79" i="4"/>
  <c r="Q78" i="4"/>
  <c r="R78" i="4" s="1"/>
  <c r="M78" i="4"/>
  <c r="K78" i="4"/>
  <c r="C78" i="4"/>
  <c r="Q77" i="4"/>
  <c r="K77" i="4" s="1"/>
  <c r="P77" i="4"/>
  <c r="M77" i="4"/>
  <c r="C77" i="4"/>
  <c r="Q76" i="4"/>
  <c r="P76" i="4" s="1"/>
  <c r="M76" i="4"/>
  <c r="C76" i="4"/>
  <c r="R75" i="4"/>
  <c r="Q75" i="4"/>
  <c r="P75" i="4" s="1"/>
  <c r="M75" i="4"/>
  <c r="L75" i="4"/>
  <c r="K75" i="4"/>
  <c r="C75" i="4"/>
  <c r="Q74" i="4"/>
  <c r="M74" i="4"/>
  <c r="C74" i="4"/>
  <c r="R73" i="4"/>
  <c r="Q73" i="4"/>
  <c r="P73" i="4" s="1"/>
  <c r="M73" i="4"/>
  <c r="L73" i="4"/>
  <c r="K73" i="4"/>
  <c r="C73" i="4"/>
  <c r="Q72" i="4"/>
  <c r="P72" i="4" s="1"/>
  <c r="M72" i="4"/>
  <c r="C72" i="4"/>
  <c r="R71" i="4"/>
  <c r="Q71" i="4"/>
  <c r="P71" i="4"/>
  <c r="M71" i="4"/>
  <c r="L71" i="4"/>
  <c r="K71" i="4"/>
  <c r="C71" i="4"/>
  <c r="Q70" i="4"/>
  <c r="M70" i="4"/>
  <c r="C70" i="4"/>
  <c r="R69" i="4"/>
  <c r="Q69" i="4"/>
  <c r="P69" i="4" s="1"/>
  <c r="M69" i="4"/>
  <c r="L69" i="4"/>
  <c r="K69" i="4"/>
  <c r="C69" i="4"/>
  <c r="Q68" i="4"/>
  <c r="P68" i="4" s="1"/>
  <c r="M68" i="4"/>
  <c r="C68" i="4"/>
  <c r="Q67" i="4"/>
  <c r="P67" i="4" s="1"/>
  <c r="M67" i="4"/>
  <c r="C67" i="4"/>
  <c r="Q66" i="4"/>
  <c r="R66" i="4" s="1"/>
  <c r="M66" i="4"/>
  <c r="C66" i="4"/>
  <c r="R65" i="4"/>
  <c r="Q65" i="4"/>
  <c r="P65" i="4" s="1"/>
  <c r="M65" i="4"/>
  <c r="L65" i="4"/>
  <c r="K65" i="4"/>
  <c r="C65" i="4"/>
  <c r="Q64" i="4"/>
  <c r="P64" i="4" s="1"/>
  <c r="M64" i="4"/>
  <c r="C64" i="4"/>
  <c r="Q63" i="4"/>
  <c r="P63" i="4" s="1"/>
  <c r="M63" i="4"/>
  <c r="K63" i="4"/>
  <c r="C63" i="4"/>
  <c r="Q62" i="4"/>
  <c r="R62" i="4" s="1"/>
  <c r="M62" i="4"/>
  <c r="K62" i="4"/>
  <c r="C62" i="4"/>
  <c r="R61" i="4"/>
  <c r="Q61" i="4"/>
  <c r="P61" i="4"/>
  <c r="M61" i="4"/>
  <c r="L61" i="4"/>
  <c r="K61" i="4"/>
  <c r="C61" i="4"/>
  <c r="Q60" i="4"/>
  <c r="P60" i="4" s="1"/>
  <c r="M60" i="4"/>
  <c r="C60" i="4"/>
  <c r="R59" i="4"/>
  <c r="Q59" i="4"/>
  <c r="P59" i="4" s="1"/>
  <c r="M59" i="4"/>
  <c r="L59" i="4"/>
  <c r="K59" i="4"/>
  <c r="C59" i="4"/>
  <c r="Q58" i="4"/>
  <c r="R58" i="4" s="1"/>
  <c r="M58" i="4"/>
  <c r="K58" i="4"/>
  <c r="C58" i="4"/>
  <c r="Q57" i="4"/>
  <c r="P57" i="4"/>
  <c r="M57" i="4"/>
  <c r="K57" i="4"/>
  <c r="C57" i="4"/>
  <c r="Q56" i="4"/>
  <c r="P56" i="4" s="1"/>
  <c r="M56" i="4"/>
  <c r="C56" i="4"/>
  <c r="R55" i="4"/>
  <c r="Q55" i="4"/>
  <c r="P55" i="4" s="1"/>
  <c r="M55" i="4"/>
  <c r="L55" i="4"/>
  <c r="K55" i="4"/>
  <c r="C55" i="4"/>
  <c r="Q54" i="4"/>
  <c r="M54" i="4"/>
  <c r="C54" i="4"/>
  <c r="Q53" i="4"/>
  <c r="P53" i="4" s="1"/>
  <c r="M53" i="4"/>
  <c r="C53" i="4"/>
  <c r="Q52" i="4"/>
  <c r="P52" i="4" s="1"/>
  <c r="M52" i="4"/>
  <c r="C52" i="4"/>
  <c r="R51" i="4"/>
  <c r="Q51" i="4"/>
  <c r="P51" i="4"/>
  <c r="M51" i="4"/>
  <c r="L51" i="4"/>
  <c r="K51" i="4"/>
  <c r="C51" i="4"/>
  <c r="Q50" i="4"/>
  <c r="R50" i="4" s="1"/>
  <c r="M50" i="4"/>
  <c r="C50" i="4"/>
  <c r="Q49" i="4"/>
  <c r="P49" i="4" s="1"/>
  <c r="M49" i="4"/>
  <c r="C49" i="4"/>
  <c r="Q48" i="4"/>
  <c r="P48" i="4" s="1"/>
  <c r="M48" i="4"/>
  <c r="C48" i="4"/>
  <c r="R47" i="4"/>
  <c r="Q47" i="4"/>
  <c r="P47" i="4"/>
  <c r="M47" i="4"/>
  <c r="L47" i="4"/>
  <c r="K47" i="4"/>
  <c r="C47" i="4"/>
  <c r="Q46" i="4"/>
  <c r="M46" i="4"/>
  <c r="C46" i="4"/>
  <c r="R45" i="4"/>
  <c r="Q45" i="4"/>
  <c r="P45" i="4" s="1"/>
  <c r="M45" i="4"/>
  <c r="L45" i="4"/>
  <c r="K45" i="4"/>
  <c r="C45" i="4"/>
  <c r="Q44" i="4"/>
  <c r="P44" i="4" s="1"/>
  <c r="M44" i="4"/>
  <c r="C44" i="4"/>
  <c r="Q43" i="4"/>
  <c r="P43" i="4"/>
  <c r="M43" i="4"/>
  <c r="K43" i="4"/>
  <c r="C43" i="4"/>
  <c r="Q42" i="4"/>
  <c r="R42" i="4" s="1"/>
  <c r="M42" i="4"/>
  <c r="K42" i="4"/>
  <c r="C42" i="4"/>
  <c r="R41" i="4"/>
  <c r="Q41" i="4"/>
  <c r="P41" i="4"/>
  <c r="M41" i="4"/>
  <c r="L41" i="4"/>
  <c r="K41" i="4"/>
  <c r="C41" i="4"/>
  <c r="Q40" i="4"/>
  <c r="P40" i="4" s="1"/>
  <c r="M40" i="4"/>
  <c r="C40" i="4"/>
  <c r="Q39" i="4"/>
  <c r="P39" i="4" s="1"/>
  <c r="M39" i="4"/>
  <c r="L39" i="4"/>
  <c r="C39" i="4"/>
  <c r="Q38" i="4"/>
  <c r="R38" i="4" s="1"/>
  <c r="M38" i="4"/>
  <c r="K38" i="4"/>
  <c r="C38" i="4"/>
  <c r="Q37" i="4"/>
  <c r="K37" i="4" s="1"/>
  <c r="P37" i="4"/>
  <c r="M37" i="4"/>
  <c r="C37" i="4"/>
  <c r="Q36" i="4"/>
  <c r="P36" i="4" s="1"/>
  <c r="M36" i="4"/>
  <c r="C36" i="4"/>
  <c r="Q35" i="4"/>
  <c r="P35" i="4" s="1"/>
  <c r="M35" i="4"/>
  <c r="C35" i="4"/>
  <c r="Q34" i="4"/>
  <c r="R34" i="4" s="1"/>
  <c r="M34" i="4"/>
  <c r="C34" i="4"/>
  <c r="Q33" i="4"/>
  <c r="P33" i="4" s="1"/>
  <c r="M33" i="4"/>
  <c r="C33" i="4"/>
  <c r="Q32" i="4"/>
  <c r="P32" i="4" s="1"/>
  <c r="M32" i="4"/>
  <c r="C32" i="4"/>
  <c r="R31" i="4"/>
  <c r="Q31" i="4"/>
  <c r="P31" i="4" s="1"/>
  <c r="M31" i="4"/>
  <c r="L31" i="4"/>
  <c r="K31" i="4"/>
  <c r="C31" i="4"/>
  <c r="Q30" i="4"/>
  <c r="R30" i="4" s="1"/>
  <c r="M30" i="4"/>
  <c r="K30" i="4"/>
  <c r="C30" i="4"/>
  <c r="Q29" i="4"/>
  <c r="R29" i="4" s="1"/>
  <c r="P29" i="4"/>
  <c r="M29" i="4"/>
  <c r="C29" i="4"/>
  <c r="Q28" i="4"/>
  <c r="P28" i="4" s="1"/>
  <c r="M28" i="4"/>
  <c r="C28" i="4"/>
  <c r="R27" i="4"/>
  <c r="Q27" i="4"/>
  <c r="P27" i="4"/>
  <c r="M27" i="4"/>
  <c r="L27" i="4"/>
  <c r="K27" i="4"/>
  <c r="C27" i="4"/>
  <c r="Q26" i="4"/>
  <c r="M26" i="4"/>
  <c r="C26" i="4"/>
  <c r="Q25" i="4"/>
  <c r="P25" i="4" s="1"/>
  <c r="M25" i="4"/>
  <c r="C25" i="4"/>
  <c r="Q24" i="4"/>
  <c r="P24" i="4" s="1"/>
  <c r="M24" i="4"/>
  <c r="C24" i="4"/>
  <c r="Q23" i="4"/>
  <c r="P23" i="4"/>
  <c r="M23" i="4"/>
  <c r="C23" i="4"/>
  <c r="Q22" i="4"/>
  <c r="R22" i="4" s="1"/>
  <c r="M22" i="4"/>
  <c r="C22" i="4"/>
  <c r="Q21" i="4"/>
  <c r="P21" i="4" s="1"/>
  <c r="M21" i="4"/>
  <c r="C21" i="4"/>
  <c r="Q20" i="4"/>
  <c r="P20" i="4" s="1"/>
  <c r="M20" i="4"/>
  <c r="C20" i="4"/>
  <c r="Q19" i="4"/>
  <c r="P19" i="4" s="1"/>
  <c r="M19" i="4"/>
  <c r="C19" i="4"/>
  <c r="Q18" i="4"/>
  <c r="R18" i="4" s="1"/>
  <c r="M18" i="4"/>
  <c r="K18" i="4"/>
  <c r="C18" i="4"/>
  <c r="R17" i="4"/>
  <c r="Q17" i="4"/>
  <c r="P17" i="4"/>
  <c r="M17" i="4"/>
  <c r="L17" i="4"/>
  <c r="K17" i="4"/>
  <c r="C17" i="4"/>
  <c r="Q16" i="4"/>
  <c r="P16" i="4" s="1"/>
  <c r="M16" i="4"/>
  <c r="C16" i="4"/>
  <c r="Q15" i="4"/>
  <c r="P15" i="4" s="1"/>
  <c r="M15" i="4"/>
  <c r="C15" i="4"/>
  <c r="Q14" i="4"/>
  <c r="R14" i="4" s="1"/>
  <c r="M14" i="4"/>
  <c r="K14" i="4"/>
  <c r="C14" i="4"/>
  <c r="Q13" i="4"/>
  <c r="P13" i="4"/>
  <c r="M13" i="4"/>
  <c r="K13" i="4"/>
  <c r="C13" i="4"/>
  <c r="Q12" i="4"/>
  <c r="P12" i="4" s="1"/>
  <c r="M12" i="4"/>
  <c r="C12" i="4"/>
  <c r="Q11" i="4"/>
  <c r="P11" i="4" s="1"/>
  <c r="M11" i="4"/>
  <c r="C11" i="4"/>
  <c r="Q10" i="4"/>
  <c r="R10" i="4" s="1"/>
  <c r="M10" i="4"/>
  <c r="C10" i="4"/>
  <c r="Q9" i="4"/>
  <c r="K9" i="4" s="1"/>
  <c r="P9" i="4"/>
  <c r="M9" i="4"/>
  <c r="C9" i="4"/>
  <c r="Q8" i="4"/>
  <c r="P8" i="4" s="1"/>
  <c r="M8" i="4"/>
  <c r="C8" i="4"/>
  <c r="Q7" i="4"/>
  <c r="P7" i="4" s="1"/>
  <c r="M7" i="4"/>
  <c r="C7" i="4"/>
  <c r="Q6" i="4"/>
  <c r="R6" i="4" s="1"/>
  <c r="M6" i="4"/>
  <c r="K6" i="4"/>
  <c r="C6" i="4"/>
  <c r="R5" i="4"/>
  <c r="Q5" i="4"/>
  <c r="P5" i="4"/>
  <c r="M5" i="4"/>
  <c r="L5" i="4"/>
  <c r="K5" i="4"/>
  <c r="C5" i="4"/>
  <c r="Q4" i="4"/>
  <c r="P4" i="4" s="1"/>
  <c r="M4" i="4"/>
  <c r="C4" i="4"/>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A2" i="3"/>
  <c r="K15" i="4" l="1"/>
  <c r="K7" i="4"/>
  <c r="L15" i="4"/>
  <c r="R15" i="4"/>
  <c r="K21" i="4"/>
  <c r="R23" i="4"/>
  <c r="L23" i="4"/>
  <c r="R26" i="4"/>
  <c r="K26" i="4"/>
  <c r="K29" i="4"/>
  <c r="L7" i="4"/>
  <c r="K11" i="4"/>
  <c r="R11" i="4"/>
  <c r="R13" i="4"/>
  <c r="L13" i="4"/>
  <c r="L21" i="4"/>
  <c r="K23" i="4"/>
  <c r="K25" i="4"/>
  <c r="R25" i="4"/>
  <c r="L29" i="4"/>
  <c r="L35" i="4"/>
  <c r="R43" i="4"/>
  <c r="L43" i="4"/>
  <c r="R46" i="4"/>
  <c r="K46" i="4"/>
  <c r="K49" i="4"/>
  <c r="R49" i="4"/>
  <c r="L53" i="4"/>
  <c r="R57" i="4"/>
  <c r="L57" i="4"/>
  <c r="K83" i="4"/>
  <c r="R83" i="4"/>
  <c r="R86" i="4"/>
  <c r="K86" i="4"/>
  <c r="R89" i="4"/>
  <c r="L89" i="4"/>
  <c r="K105" i="4"/>
  <c r="R105" i="4"/>
  <c r="P108" i="4"/>
  <c r="K108" i="4"/>
  <c r="R111" i="4"/>
  <c r="L111" i="4"/>
  <c r="L119" i="4"/>
  <c r="R123" i="4"/>
  <c r="L123" i="4"/>
  <c r="K133" i="4"/>
  <c r="R133" i="4"/>
  <c r="P136" i="4"/>
  <c r="K136" i="4"/>
  <c r="K139" i="4"/>
  <c r="R139" i="4"/>
  <c r="R142" i="4"/>
  <c r="K142" i="4"/>
  <c r="R145" i="4"/>
  <c r="L145" i="4"/>
  <c r="K161" i="4"/>
  <c r="R161" i="4"/>
  <c r="L167" i="4"/>
  <c r="L173" i="4"/>
  <c r="P176" i="4"/>
  <c r="K176" i="4"/>
  <c r="R179" i="4"/>
  <c r="L179" i="4"/>
  <c r="P179" i="4"/>
  <c r="R190" i="4"/>
  <c r="K190" i="4"/>
  <c r="R209" i="4"/>
  <c r="L209" i="4"/>
  <c r="P209" i="4"/>
  <c r="R223" i="4"/>
  <c r="L223" i="4"/>
  <c r="P223" i="4"/>
  <c r="R257" i="4"/>
  <c r="L257" i="4"/>
  <c r="P257" i="4"/>
  <c r="P272" i="4"/>
  <c r="K272" i="4"/>
  <c r="R293" i="4"/>
  <c r="L293" i="4"/>
  <c r="P293" i="4"/>
  <c r="R9" i="4"/>
  <c r="L9" i="4"/>
  <c r="R21" i="4"/>
  <c r="L11" i="4"/>
  <c r="L25" i="4"/>
  <c r="K39" i="4"/>
  <c r="R39" i="4"/>
  <c r="L49" i="4"/>
  <c r="R63" i="4"/>
  <c r="L63" i="4"/>
  <c r="R74" i="4"/>
  <c r="K74" i="4"/>
  <c r="L83" i="4"/>
  <c r="P92" i="4"/>
  <c r="K92" i="4"/>
  <c r="L105" i="4"/>
  <c r="R117" i="4"/>
  <c r="L117" i="4"/>
  <c r="R126" i="4"/>
  <c r="K126" i="4"/>
  <c r="L133" i="4"/>
  <c r="L139" i="4"/>
  <c r="P148" i="4"/>
  <c r="K148" i="4"/>
  <c r="L161" i="4"/>
  <c r="P164" i="4"/>
  <c r="K164" i="4"/>
  <c r="R171" i="4"/>
  <c r="L171" i="4"/>
  <c r="R182" i="4"/>
  <c r="K182" i="4"/>
  <c r="R201" i="4"/>
  <c r="L201" i="4"/>
  <c r="P201" i="4"/>
  <c r="P212" i="4"/>
  <c r="K212" i="4"/>
  <c r="R215" i="4"/>
  <c r="L215" i="4"/>
  <c r="P215" i="4"/>
  <c r="R237" i="4"/>
  <c r="L237" i="4"/>
  <c r="P237" i="4"/>
  <c r="R263" i="4"/>
  <c r="L263" i="4"/>
  <c r="P263" i="4"/>
  <c r="R285" i="4"/>
  <c r="L285" i="4"/>
  <c r="P285" i="4"/>
  <c r="R33" i="4"/>
  <c r="L33" i="4"/>
  <c r="R54" i="4"/>
  <c r="K54" i="4"/>
  <c r="R67" i="4"/>
  <c r="L67" i="4"/>
  <c r="R70" i="4"/>
  <c r="K70" i="4"/>
  <c r="R94" i="4"/>
  <c r="K94" i="4"/>
  <c r="R97" i="4"/>
  <c r="L97" i="4"/>
  <c r="P100" i="4"/>
  <c r="K100" i="4"/>
  <c r="R103" i="4"/>
  <c r="L103" i="4"/>
  <c r="P120" i="4"/>
  <c r="K120" i="4"/>
  <c r="P128" i="4"/>
  <c r="K128" i="4"/>
  <c r="R131" i="4"/>
  <c r="L131" i="4"/>
  <c r="R150" i="4"/>
  <c r="K150" i="4"/>
  <c r="R153" i="4"/>
  <c r="L153" i="4"/>
  <c r="P156" i="4"/>
  <c r="K156" i="4"/>
  <c r="R159" i="4"/>
  <c r="L159" i="4"/>
  <c r="P168" i="4"/>
  <c r="K168" i="4"/>
  <c r="R174" i="4"/>
  <c r="K174" i="4"/>
  <c r="P204" i="4"/>
  <c r="K204" i="4"/>
  <c r="R218" i="4"/>
  <c r="K218" i="4"/>
  <c r="R229" i="4"/>
  <c r="L229" i="4"/>
  <c r="P229" i="4"/>
  <c r="P240" i="4"/>
  <c r="K240" i="4"/>
  <c r="R243" i="4"/>
  <c r="L243" i="4"/>
  <c r="P243" i="4"/>
  <c r="P252" i="4"/>
  <c r="K252" i="4"/>
  <c r="R277" i="4"/>
  <c r="L277" i="4"/>
  <c r="P277" i="4"/>
  <c r="P288" i="4"/>
  <c r="K288" i="4"/>
  <c r="W16" i="5"/>
  <c r="V16" i="5"/>
  <c r="X16" i="5" s="1"/>
  <c r="T16" i="5"/>
  <c r="K16" i="5"/>
  <c r="O16" i="5" s="1"/>
  <c r="V17" i="5"/>
  <c r="X17" i="5" s="1"/>
  <c r="W17" i="5"/>
  <c r="M17" i="5"/>
  <c r="T17" i="5"/>
  <c r="R19" i="4"/>
  <c r="L19" i="4"/>
  <c r="R7" i="4"/>
  <c r="K19" i="4"/>
  <c r="K33" i="4"/>
  <c r="K35" i="4"/>
  <c r="R35" i="4"/>
  <c r="R37" i="4"/>
  <c r="L37" i="4"/>
  <c r="K53" i="4"/>
  <c r="R53" i="4"/>
  <c r="K67" i="4"/>
  <c r="R77" i="4"/>
  <c r="L77" i="4"/>
  <c r="P84" i="4"/>
  <c r="K84" i="4"/>
  <c r="K97" i="4"/>
  <c r="K103" i="4"/>
  <c r="R106" i="4"/>
  <c r="K106" i="4"/>
  <c r="K119" i="4"/>
  <c r="R119" i="4"/>
  <c r="K131" i="4"/>
  <c r="R134" i="4"/>
  <c r="K134" i="4"/>
  <c r="P140" i="4"/>
  <c r="K140" i="4"/>
  <c r="K153" i="4"/>
  <c r="K159" i="4"/>
  <c r="R162" i="4"/>
  <c r="K162" i="4"/>
  <c r="K167" i="4"/>
  <c r="R167" i="4"/>
  <c r="R173" i="4"/>
  <c r="R187" i="4"/>
  <c r="L187" i="4"/>
  <c r="P187" i="4"/>
  <c r="P196" i="4"/>
  <c r="K196" i="4"/>
  <c r="P232" i="4"/>
  <c r="K232" i="4"/>
  <c r="R246" i="4"/>
  <c r="K246" i="4"/>
  <c r="R269" i="4"/>
  <c r="L269" i="4"/>
  <c r="P269" i="4"/>
  <c r="P280" i="4"/>
  <c r="K280" i="4"/>
  <c r="W4" i="5"/>
  <c r="V4" i="5"/>
  <c r="X4" i="5" s="1"/>
  <c r="P4" i="5"/>
  <c r="T4" i="5"/>
  <c r="K4" i="5"/>
  <c r="O4" i="5" s="1"/>
  <c r="W7" i="5"/>
  <c r="K7" i="5"/>
  <c r="P7" i="5" s="1"/>
  <c r="W8" i="5"/>
  <c r="V8" i="5"/>
  <c r="X8" i="5" s="1"/>
  <c r="P8" i="5"/>
  <c r="T8" i="5"/>
  <c r="K8" i="5"/>
  <c r="O8" i="5" s="1"/>
  <c r="K11" i="5"/>
  <c r="P11" i="5" s="1"/>
  <c r="L165" i="4"/>
  <c r="L177" i="4"/>
  <c r="K180" i="4"/>
  <c r="L183" i="4"/>
  <c r="K188" i="4"/>
  <c r="L191" i="4"/>
  <c r="L197" i="4"/>
  <c r="K202" i="4"/>
  <c r="L205" i="4"/>
  <c r="K210" i="4"/>
  <c r="L213" i="4"/>
  <c r="K216" i="4"/>
  <c r="L219" i="4"/>
  <c r="K224" i="4"/>
  <c r="K230" i="4"/>
  <c r="L233" i="4"/>
  <c r="K238" i="4"/>
  <c r="L241" i="4"/>
  <c r="K244" i="4"/>
  <c r="L247" i="4"/>
  <c r="L253" i="4"/>
  <c r="L259" i="4"/>
  <c r="K264" i="4"/>
  <c r="K270" i="4"/>
  <c r="L273" i="4"/>
  <c r="K278" i="4"/>
  <c r="L281" i="4"/>
  <c r="K286" i="4"/>
  <c r="L289" i="4"/>
  <c r="K294" i="4"/>
  <c r="R297" i="4"/>
  <c r="K300" i="4"/>
  <c r="L301" i="4"/>
  <c r="M12" i="5"/>
  <c r="M13" i="5"/>
  <c r="W13" i="5"/>
  <c r="M18" i="5"/>
  <c r="M20" i="5"/>
  <c r="M21" i="5"/>
  <c r="W21" i="5"/>
  <c r="K24" i="5"/>
  <c r="O24" i="5" s="1"/>
  <c r="T24" i="5"/>
  <c r="T25" i="5"/>
  <c r="M26" i="5"/>
  <c r="M28" i="5"/>
  <c r="M29" i="5"/>
  <c r="W29" i="5"/>
  <c r="K32" i="5"/>
  <c r="O32" i="5" s="1"/>
  <c r="T32" i="5"/>
  <c r="T33" i="5"/>
  <c r="M34" i="5"/>
  <c r="M36" i="5"/>
  <c r="M37" i="5"/>
  <c r="W37" i="5"/>
  <c r="K40" i="5"/>
  <c r="O40" i="5" s="1"/>
  <c r="T40" i="5"/>
  <c r="T41" i="5"/>
  <c r="M42" i="5"/>
  <c r="M44" i="5"/>
  <c r="M45" i="5"/>
  <c r="W45" i="5"/>
  <c r="K48" i="5"/>
  <c r="O48" i="5" s="1"/>
  <c r="T48" i="5"/>
  <c r="T49" i="5"/>
  <c r="M50" i="5"/>
  <c r="M52" i="5"/>
  <c r="M53" i="5"/>
  <c r="W53" i="5"/>
  <c r="K56" i="5"/>
  <c r="O56" i="5" s="1"/>
  <c r="T56" i="5"/>
  <c r="T57" i="5"/>
  <c r="M58" i="5"/>
  <c r="M60" i="5"/>
  <c r="M61" i="5"/>
  <c r="W61" i="5"/>
  <c r="K64" i="5"/>
  <c r="O64" i="5" s="1"/>
  <c r="T64" i="5"/>
  <c r="T65" i="5"/>
  <c r="M66" i="5"/>
  <c r="M68" i="5"/>
  <c r="M69" i="5"/>
  <c r="W69" i="5"/>
  <c r="K72" i="5"/>
  <c r="O72" i="5" s="1"/>
  <c r="T72" i="5"/>
  <c r="T73" i="5"/>
  <c r="M74" i="5"/>
  <c r="K80" i="5"/>
  <c r="O80" i="5" s="1"/>
  <c r="T80" i="5"/>
  <c r="T81" i="5"/>
  <c r="M82" i="5"/>
  <c r="K88" i="5"/>
  <c r="O88" i="5" s="1"/>
  <c r="T88" i="5"/>
  <c r="T89" i="5"/>
  <c r="M90" i="5"/>
  <c r="K96" i="5"/>
  <c r="O96" i="5" s="1"/>
  <c r="T96" i="5"/>
  <c r="T97" i="5"/>
  <c r="M98" i="5"/>
  <c r="K104" i="5"/>
  <c r="O104" i="5" s="1"/>
  <c r="T104" i="5"/>
  <c r="T105" i="5"/>
  <c r="M106" i="5"/>
  <c r="K112" i="5"/>
  <c r="O112" i="5" s="1"/>
  <c r="T112" i="5"/>
  <c r="T113" i="5"/>
  <c r="M114" i="5"/>
  <c r="K120" i="5"/>
  <c r="O120" i="5" s="1"/>
  <c r="T120" i="5"/>
  <c r="T121" i="5"/>
  <c r="M122" i="5"/>
  <c r="W128" i="5"/>
  <c r="T132" i="5"/>
  <c r="T133" i="5"/>
  <c r="P136" i="5"/>
  <c r="W140" i="5"/>
  <c r="X141" i="5"/>
  <c r="T142" i="5"/>
  <c r="K152" i="5"/>
  <c r="O152" i="5" s="1"/>
  <c r="T152" i="5"/>
  <c r="T153" i="5"/>
  <c r="M154" i="5"/>
  <c r="W160" i="5"/>
  <c r="T164" i="5"/>
  <c r="T165" i="5"/>
  <c r="W168" i="5"/>
  <c r="X169" i="5"/>
  <c r="T172" i="5"/>
  <c r="T173" i="5"/>
  <c r="T180" i="5"/>
  <c r="T181" i="5"/>
  <c r="X187" i="5"/>
  <c r="T192" i="5"/>
  <c r="T193" i="5"/>
  <c r="W200" i="5"/>
  <c r="X201" i="5"/>
  <c r="T204" i="5"/>
  <c r="T205" i="5"/>
  <c r="T212" i="5"/>
  <c r="T213" i="5"/>
  <c r="W220" i="5"/>
  <c r="W228" i="5"/>
  <c r="W236" i="5"/>
  <c r="W244" i="5"/>
  <c r="W252" i="5"/>
  <c r="W260" i="5"/>
  <c r="W265" i="5"/>
  <c r="T268" i="5"/>
  <c r="W272" i="5"/>
  <c r="M277" i="5"/>
  <c r="K279" i="5"/>
  <c r="T284" i="5"/>
  <c r="W288" i="5"/>
  <c r="M293" i="5"/>
  <c r="K295" i="5"/>
  <c r="T300" i="5"/>
  <c r="W304" i="5"/>
  <c r="M309" i="5"/>
  <c r="K311" i="5"/>
  <c r="T316" i="5"/>
  <c r="W320" i="5"/>
  <c r="M325" i="5"/>
  <c r="K327" i="5"/>
  <c r="T332" i="5"/>
  <c r="W336" i="5"/>
  <c r="M341" i="5"/>
  <c r="K343" i="5"/>
  <c r="T348" i="5"/>
  <c r="W352" i="5"/>
  <c r="M357" i="5"/>
  <c r="K359" i="5"/>
  <c r="P362" i="5"/>
  <c r="W362" i="5"/>
  <c r="P363" i="5"/>
  <c r="W367" i="5"/>
  <c r="T369" i="5"/>
  <c r="K371" i="5"/>
  <c r="O371" i="5" s="1"/>
  <c r="T371" i="5"/>
  <c r="K376" i="5"/>
  <c r="P378" i="5"/>
  <c r="W378" i="5"/>
  <c r="P379" i="5"/>
  <c r="P382" i="5"/>
  <c r="W382" i="5"/>
  <c r="P383" i="5"/>
  <c r="P386" i="5"/>
  <c r="W386" i="5"/>
  <c r="P387" i="5"/>
  <c r="P390" i="5"/>
  <c r="W390" i="5"/>
  <c r="P391" i="5"/>
  <c r="X393" i="5"/>
  <c r="P394" i="5"/>
  <c r="W394" i="5"/>
  <c r="P395" i="5"/>
  <c r="W399" i="5"/>
  <c r="T401" i="5"/>
  <c r="K403" i="5"/>
  <c r="O403" i="5" s="1"/>
  <c r="T403" i="5"/>
  <c r="T7" i="6"/>
  <c r="J15" i="6"/>
  <c r="U15" i="6"/>
  <c r="Q21" i="6"/>
  <c r="P32" i="6"/>
  <c r="P36" i="6"/>
  <c r="T37" i="6"/>
  <c r="U39" i="6"/>
  <c r="P40" i="6"/>
  <c r="T41" i="6"/>
  <c r="U43" i="6"/>
  <c r="J47" i="6"/>
  <c r="T47" i="6"/>
  <c r="J48" i="6"/>
  <c r="O48" i="6" s="1"/>
  <c r="T51" i="6"/>
  <c r="J51" i="6"/>
  <c r="P51" i="6" s="1"/>
  <c r="O51" i="6"/>
  <c r="Q65" i="6"/>
  <c r="T65" i="6"/>
  <c r="T67" i="6"/>
  <c r="J67" i="6"/>
  <c r="P67" i="6" s="1"/>
  <c r="O67" i="6"/>
  <c r="T72" i="6"/>
  <c r="U72" i="6"/>
  <c r="J72" i="6"/>
  <c r="O72" i="6" s="1"/>
  <c r="Q87" i="6"/>
  <c r="T87" i="6"/>
  <c r="J87" i="6"/>
  <c r="Q93" i="6"/>
  <c r="U103" i="6"/>
  <c r="O111" i="6"/>
  <c r="P116" i="6"/>
  <c r="U116" i="6"/>
  <c r="J116" i="6"/>
  <c r="O116" i="6"/>
  <c r="Q129" i="6"/>
  <c r="T129" i="6"/>
  <c r="T131" i="6"/>
  <c r="J131" i="6"/>
  <c r="P131" i="6" s="1"/>
  <c r="O131" i="6"/>
  <c r="U138" i="6"/>
  <c r="Q138" i="6"/>
  <c r="U146" i="6"/>
  <c r="Q146" i="6"/>
  <c r="U150" i="6"/>
  <c r="Q150" i="6"/>
  <c r="P159" i="6"/>
  <c r="T175" i="6"/>
  <c r="J175" i="6"/>
  <c r="P175" i="6" s="1"/>
  <c r="U175" i="6"/>
  <c r="T179" i="6"/>
  <c r="J179" i="6"/>
  <c r="P179" i="6" s="1"/>
  <c r="U179" i="6"/>
  <c r="T183" i="6"/>
  <c r="J183" i="6"/>
  <c r="P183" i="6" s="1"/>
  <c r="U183" i="6"/>
  <c r="T207" i="6"/>
  <c r="J207" i="6"/>
  <c r="O207" i="6" s="1"/>
  <c r="U207" i="6"/>
  <c r="U52" i="6"/>
  <c r="J52" i="6"/>
  <c r="P52" i="6" s="1"/>
  <c r="O52" i="6"/>
  <c r="O63" i="6"/>
  <c r="U68" i="6"/>
  <c r="J68" i="6"/>
  <c r="P68" i="6" s="1"/>
  <c r="Q81" i="6"/>
  <c r="T81" i="6"/>
  <c r="T83" i="6"/>
  <c r="J83" i="6"/>
  <c r="O83" i="6" s="1"/>
  <c r="P88" i="6"/>
  <c r="T88" i="6"/>
  <c r="U88" i="6"/>
  <c r="J88" i="6"/>
  <c r="Q103" i="6"/>
  <c r="T103" i="6"/>
  <c r="J103" i="6"/>
  <c r="O127" i="6"/>
  <c r="P132" i="6"/>
  <c r="U132" i="6"/>
  <c r="J132" i="6"/>
  <c r="O132" i="6" s="1"/>
  <c r="T143" i="6"/>
  <c r="J143" i="6"/>
  <c r="O143" i="6" s="1"/>
  <c r="U143" i="6"/>
  <c r="T147" i="6"/>
  <c r="J147" i="6"/>
  <c r="O147" i="6" s="1"/>
  <c r="U147" i="6"/>
  <c r="T151" i="6"/>
  <c r="J151" i="6"/>
  <c r="O151" i="6" s="1"/>
  <c r="U151" i="6"/>
  <c r="T172" i="6"/>
  <c r="U172" i="6"/>
  <c r="U176" i="6"/>
  <c r="J176" i="6"/>
  <c r="O176" i="6" s="1"/>
  <c r="P180" i="6"/>
  <c r="U180" i="6"/>
  <c r="J180" i="6"/>
  <c r="O180" i="6" s="1"/>
  <c r="P184" i="6"/>
  <c r="U184" i="6"/>
  <c r="J184" i="6"/>
  <c r="O184" i="6" s="1"/>
  <c r="P24" i="5"/>
  <c r="V24" i="5"/>
  <c r="X24" i="5" s="1"/>
  <c r="M25" i="5"/>
  <c r="W25" i="5"/>
  <c r="P32" i="5"/>
  <c r="V32" i="5"/>
  <c r="X32" i="5" s="1"/>
  <c r="M33" i="5"/>
  <c r="W33" i="5"/>
  <c r="P40" i="5"/>
  <c r="V40" i="5"/>
  <c r="X40" i="5" s="1"/>
  <c r="M41" i="5"/>
  <c r="W41" i="5"/>
  <c r="P48" i="5"/>
  <c r="V48" i="5"/>
  <c r="X48" i="5" s="1"/>
  <c r="M49" i="5"/>
  <c r="W49" i="5"/>
  <c r="P56" i="5"/>
  <c r="V56" i="5"/>
  <c r="X56" i="5" s="1"/>
  <c r="M57" i="5"/>
  <c r="W57" i="5"/>
  <c r="P64" i="5"/>
  <c r="V64" i="5"/>
  <c r="X64" i="5" s="1"/>
  <c r="M65" i="5"/>
  <c r="W65" i="5"/>
  <c r="P72" i="5"/>
  <c r="V72" i="5"/>
  <c r="X72" i="5" s="1"/>
  <c r="M73" i="5"/>
  <c r="W73" i="5"/>
  <c r="P80" i="5"/>
  <c r="V80" i="5"/>
  <c r="X80" i="5" s="1"/>
  <c r="M81" i="5"/>
  <c r="W81" i="5"/>
  <c r="P88" i="5"/>
  <c r="V88" i="5"/>
  <c r="X88" i="5" s="1"/>
  <c r="M89" i="5"/>
  <c r="W89" i="5"/>
  <c r="P96" i="5"/>
  <c r="V96" i="5"/>
  <c r="X96" i="5" s="1"/>
  <c r="M97" i="5"/>
  <c r="W97" i="5"/>
  <c r="P104" i="5"/>
  <c r="V104" i="5"/>
  <c r="X104" i="5" s="1"/>
  <c r="M105" i="5"/>
  <c r="W105" i="5"/>
  <c r="P112" i="5"/>
  <c r="V112" i="5"/>
  <c r="X112" i="5" s="1"/>
  <c r="M113" i="5"/>
  <c r="W113" i="5"/>
  <c r="P120" i="5"/>
  <c r="V120" i="5"/>
  <c r="X120" i="5" s="1"/>
  <c r="M121" i="5"/>
  <c r="W121" i="5"/>
  <c r="M132" i="5"/>
  <c r="V132" i="5"/>
  <c r="X132" i="5" s="1"/>
  <c r="M133" i="5"/>
  <c r="W133" i="5"/>
  <c r="P152" i="5"/>
  <c r="V152" i="5"/>
  <c r="X152" i="5" s="1"/>
  <c r="M153" i="5"/>
  <c r="W153" i="5"/>
  <c r="M164" i="5"/>
  <c r="V164" i="5"/>
  <c r="X164" i="5" s="1"/>
  <c r="M165" i="5"/>
  <c r="W165" i="5"/>
  <c r="M172" i="5"/>
  <c r="V172" i="5"/>
  <c r="X172" i="5" s="1"/>
  <c r="M173" i="5"/>
  <c r="W173" i="5"/>
  <c r="M180" i="5"/>
  <c r="V180" i="5"/>
  <c r="X180" i="5" s="1"/>
  <c r="M181" i="5"/>
  <c r="W181" i="5"/>
  <c r="M192" i="5"/>
  <c r="V192" i="5"/>
  <c r="X192" i="5" s="1"/>
  <c r="M193" i="5"/>
  <c r="W193" i="5"/>
  <c r="M204" i="5"/>
  <c r="V204" i="5"/>
  <c r="X204" i="5" s="1"/>
  <c r="M205" i="5"/>
  <c r="W205" i="5"/>
  <c r="M212" i="5"/>
  <c r="V212" i="5"/>
  <c r="X212" i="5" s="1"/>
  <c r="M213" i="5"/>
  <c r="W213" i="5"/>
  <c r="V223" i="5"/>
  <c r="X223" i="5" s="1"/>
  <c r="V231" i="5"/>
  <c r="X231" i="5" s="1"/>
  <c r="V239" i="5"/>
  <c r="X239" i="5" s="1"/>
  <c r="V247" i="5"/>
  <c r="X247" i="5" s="1"/>
  <c r="V255" i="5"/>
  <c r="X255" i="5" s="1"/>
  <c r="V263" i="5"/>
  <c r="X263" i="5" s="1"/>
  <c r="M268" i="5"/>
  <c r="V268" i="5"/>
  <c r="X268" i="5" s="1"/>
  <c r="W273" i="5"/>
  <c r="M284" i="5"/>
  <c r="V284" i="5"/>
  <c r="X284" i="5" s="1"/>
  <c r="W289" i="5"/>
  <c r="M300" i="5"/>
  <c r="V300" i="5"/>
  <c r="X300" i="5" s="1"/>
  <c r="W305" i="5"/>
  <c r="M316" i="5"/>
  <c r="V316" i="5"/>
  <c r="X316" i="5" s="1"/>
  <c r="W321" i="5"/>
  <c r="M332" i="5"/>
  <c r="V332" i="5"/>
  <c r="X332" i="5" s="1"/>
  <c r="W337" i="5"/>
  <c r="M348" i="5"/>
  <c r="V348" i="5"/>
  <c r="X348" i="5" s="1"/>
  <c r="W353" i="5"/>
  <c r="O366" i="5"/>
  <c r="V366" i="5"/>
  <c r="M369" i="5"/>
  <c r="P371" i="5"/>
  <c r="V371" i="5"/>
  <c r="X371" i="5" s="1"/>
  <c r="O398" i="5"/>
  <c r="V398" i="5"/>
  <c r="M401" i="5"/>
  <c r="P403" i="5"/>
  <c r="V403" i="5"/>
  <c r="X403" i="5" s="1"/>
  <c r="O11" i="6"/>
  <c r="Q12" i="6"/>
  <c r="Q15" i="6"/>
  <c r="T16" i="6"/>
  <c r="J19" i="6"/>
  <c r="P19" i="6" s="1"/>
  <c r="T19" i="6"/>
  <c r="Q24" i="6"/>
  <c r="J27" i="6"/>
  <c r="P27" i="6" s="1"/>
  <c r="T27" i="6"/>
  <c r="J29" i="6"/>
  <c r="J31" i="6"/>
  <c r="P31" i="6" s="1"/>
  <c r="T31" i="6"/>
  <c r="J33" i="6"/>
  <c r="J35" i="6"/>
  <c r="P35" i="6" s="1"/>
  <c r="T35" i="6"/>
  <c r="Q39" i="6"/>
  <c r="Q43" i="6"/>
  <c r="T44" i="6"/>
  <c r="P48" i="6"/>
  <c r="Q52" i="6"/>
  <c r="Q55" i="6"/>
  <c r="T55" i="6"/>
  <c r="J55" i="6"/>
  <c r="P55" i="6" s="1"/>
  <c r="Q68" i="6"/>
  <c r="J77" i="6"/>
  <c r="O79" i="6"/>
  <c r="P83" i="6"/>
  <c r="U84" i="6"/>
  <c r="J84" i="6"/>
  <c r="P84" i="6" s="1"/>
  <c r="O88" i="6"/>
  <c r="Q97" i="6"/>
  <c r="T97" i="6"/>
  <c r="T99" i="6"/>
  <c r="J99" i="6"/>
  <c r="O99" i="6"/>
  <c r="O103" i="6"/>
  <c r="T104" i="6"/>
  <c r="U104" i="6"/>
  <c r="J104" i="6"/>
  <c r="P104" i="6" s="1"/>
  <c r="O107" i="6"/>
  <c r="Q119" i="6"/>
  <c r="T119" i="6"/>
  <c r="J119" i="6"/>
  <c r="P119" i="6" s="1"/>
  <c r="Q132" i="6"/>
  <c r="T140" i="6"/>
  <c r="U140" i="6"/>
  <c r="P143" i="6"/>
  <c r="U144" i="6"/>
  <c r="J144" i="6"/>
  <c r="O144" i="6" s="1"/>
  <c r="P147" i="6"/>
  <c r="U148" i="6"/>
  <c r="J148" i="6"/>
  <c r="O148" i="6" s="1"/>
  <c r="P151" i="6"/>
  <c r="U152" i="6"/>
  <c r="J152" i="6"/>
  <c r="O152" i="6" s="1"/>
  <c r="J172" i="6"/>
  <c r="O172" i="6" s="1"/>
  <c r="Q176" i="6"/>
  <c r="Q180" i="6"/>
  <c r="Q184" i="6"/>
  <c r="U187" i="6"/>
  <c r="O187" i="6"/>
  <c r="P187" i="6"/>
  <c r="U202" i="6"/>
  <c r="Q202" i="6"/>
  <c r="T204" i="6"/>
  <c r="J204" i="6"/>
  <c r="O204" i="6" s="1"/>
  <c r="U204" i="6"/>
  <c r="T215" i="6"/>
  <c r="J215" i="6"/>
  <c r="O215" i="6" s="1"/>
  <c r="P215" i="6"/>
  <c r="U215" i="6"/>
  <c r="L185" i="4"/>
  <c r="L193" i="4"/>
  <c r="L199" i="4"/>
  <c r="L207" i="4"/>
  <c r="L221" i="4"/>
  <c r="L227" i="4"/>
  <c r="L235" i="4"/>
  <c r="L249" i="4"/>
  <c r="L255" i="4"/>
  <c r="L261" i="4"/>
  <c r="L267" i="4"/>
  <c r="L275" i="4"/>
  <c r="L283" i="4"/>
  <c r="L291" i="4"/>
  <c r="L296" i="4"/>
  <c r="L298" i="4"/>
  <c r="T125" i="5"/>
  <c r="P128" i="5"/>
  <c r="M129" i="5"/>
  <c r="W129" i="5"/>
  <c r="X133" i="5"/>
  <c r="M140" i="5"/>
  <c r="M141" i="5"/>
  <c r="W141" i="5"/>
  <c r="K144" i="5"/>
  <c r="T145" i="5"/>
  <c r="M146" i="5"/>
  <c r="T157" i="5"/>
  <c r="P160" i="5"/>
  <c r="M161" i="5"/>
  <c r="W161" i="5"/>
  <c r="X165" i="5"/>
  <c r="M168" i="5"/>
  <c r="M169" i="5"/>
  <c r="W169" i="5"/>
  <c r="V171" i="5"/>
  <c r="X171" i="5" s="1"/>
  <c r="X181" i="5"/>
  <c r="T185" i="5"/>
  <c r="M200" i="5"/>
  <c r="M201" i="5"/>
  <c r="W201" i="5"/>
  <c r="V203" i="5"/>
  <c r="X203" i="5" s="1"/>
  <c r="V211" i="5"/>
  <c r="X211" i="5" s="1"/>
  <c r="X213" i="5"/>
  <c r="T217" i="5"/>
  <c r="X219" i="5"/>
  <c r="M220" i="5"/>
  <c r="M221" i="5"/>
  <c r="W221" i="5"/>
  <c r="T225" i="5"/>
  <c r="X227" i="5"/>
  <c r="M228" i="5"/>
  <c r="M229" i="5"/>
  <c r="W229" i="5"/>
  <c r="T233" i="5"/>
  <c r="X235" i="5"/>
  <c r="M236" i="5"/>
  <c r="M237" i="5"/>
  <c r="W237" i="5"/>
  <c r="T241" i="5"/>
  <c r="X243" i="5"/>
  <c r="M244" i="5"/>
  <c r="M245" i="5"/>
  <c r="W245" i="5"/>
  <c r="T249" i="5"/>
  <c r="X251" i="5"/>
  <c r="M252" i="5"/>
  <c r="M253" i="5"/>
  <c r="W253" i="5"/>
  <c r="T257" i="5"/>
  <c r="X259" i="5"/>
  <c r="M260" i="5"/>
  <c r="M261" i="5"/>
  <c r="W261" i="5"/>
  <c r="T264" i="5"/>
  <c r="M272" i="5"/>
  <c r="M273" i="5"/>
  <c r="K275" i="5"/>
  <c r="W277" i="5"/>
  <c r="T280" i="5"/>
  <c r="M288" i="5"/>
  <c r="M289" i="5"/>
  <c r="K291" i="5"/>
  <c r="W293" i="5"/>
  <c r="T296" i="5"/>
  <c r="M304" i="5"/>
  <c r="M305" i="5"/>
  <c r="K307" i="5"/>
  <c r="W309" i="5"/>
  <c r="T312" i="5"/>
  <c r="M320" i="5"/>
  <c r="M321" i="5"/>
  <c r="K323" i="5"/>
  <c r="W325" i="5"/>
  <c r="T328" i="5"/>
  <c r="M336" i="5"/>
  <c r="M337" i="5"/>
  <c r="K339" i="5"/>
  <c r="W341" i="5"/>
  <c r="T344" i="5"/>
  <c r="M352" i="5"/>
  <c r="M353" i="5"/>
  <c r="K355" i="5"/>
  <c r="W357" i="5"/>
  <c r="T360" i="5"/>
  <c r="O362" i="5"/>
  <c r="K364" i="5"/>
  <c r="M365" i="5"/>
  <c r="P366" i="5"/>
  <c r="P367" i="5"/>
  <c r="K375" i="5"/>
  <c r="O378" i="5"/>
  <c r="O382" i="5"/>
  <c r="O386" i="5"/>
  <c r="O390" i="5"/>
  <c r="M393" i="5"/>
  <c r="O394" i="5"/>
  <c r="M397" i="5"/>
  <c r="P398" i="5"/>
  <c r="P399" i="5"/>
  <c r="U8" i="6"/>
  <c r="J16" i="6"/>
  <c r="O16" i="6" s="1"/>
  <c r="O19" i="6"/>
  <c r="J21" i="6"/>
  <c r="P21" i="6" s="1"/>
  <c r="U23" i="6"/>
  <c r="T24" i="6"/>
  <c r="T25" i="6"/>
  <c r="O27" i="6"/>
  <c r="J28" i="6"/>
  <c r="O28" i="6" s="1"/>
  <c r="O31" i="6"/>
  <c r="O35" i="6"/>
  <c r="J39" i="6"/>
  <c r="P39" i="6" s="1"/>
  <c r="J43" i="6"/>
  <c r="P43" i="6" s="1"/>
  <c r="J44" i="6"/>
  <c r="O44" i="6" s="1"/>
  <c r="U44" i="6"/>
  <c r="T48" i="6"/>
  <c r="T52" i="6"/>
  <c r="O55" i="6"/>
  <c r="T56" i="6"/>
  <c r="U56" i="6"/>
  <c r="J56" i="6"/>
  <c r="P56" i="6" s="1"/>
  <c r="O59" i="6"/>
  <c r="T68" i="6"/>
  <c r="Q71" i="6"/>
  <c r="T71" i="6"/>
  <c r="J71" i="6"/>
  <c r="Q77" i="6"/>
  <c r="J81" i="6"/>
  <c r="Q83" i="6"/>
  <c r="Q84" i="6"/>
  <c r="U87" i="6"/>
  <c r="Q88" i="6"/>
  <c r="J93" i="6"/>
  <c r="O95" i="6"/>
  <c r="P99" i="6"/>
  <c r="U100" i="6"/>
  <c r="J100" i="6"/>
  <c r="P100" i="6" s="1"/>
  <c r="P103" i="6"/>
  <c r="O104" i="6"/>
  <c r="Q113" i="6"/>
  <c r="T113" i="6"/>
  <c r="T115" i="6"/>
  <c r="J115" i="6"/>
  <c r="P115" i="6" s="1"/>
  <c r="O119" i="6"/>
  <c r="T120" i="6"/>
  <c r="U120" i="6"/>
  <c r="J120" i="6"/>
  <c r="O120" i="6" s="1"/>
  <c r="O123" i="6"/>
  <c r="T132" i="6"/>
  <c r="P135" i="6"/>
  <c r="J140" i="6"/>
  <c r="O140" i="6" s="1"/>
  <c r="Q143" i="6"/>
  <c r="Q144" i="6"/>
  <c r="Q147" i="6"/>
  <c r="Q148" i="6"/>
  <c r="Q151" i="6"/>
  <c r="Q152" i="6"/>
  <c r="U155" i="6"/>
  <c r="O155" i="6"/>
  <c r="P155" i="6"/>
  <c r="P163" i="6"/>
  <c r="U170" i="6"/>
  <c r="Q170" i="6"/>
  <c r="Q172" i="6"/>
  <c r="T176" i="6"/>
  <c r="U178" i="6"/>
  <c r="Q178" i="6"/>
  <c r="T180" i="6"/>
  <c r="U182" i="6"/>
  <c r="Q182" i="6"/>
  <c r="T184" i="6"/>
  <c r="Q187" i="6"/>
  <c r="P191" i="6"/>
  <c r="T211" i="6"/>
  <c r="J211" i="6"/>
  <c r="P211" i="6" s="1"/>
  <c r="U211" i="6"/>
  <c r="O211" i="6"/>
  <c r="U51" i="6"/>
  <c r="P64" i="6"/>
  <c r="U67" i="6"/>
  <c r="P80" i="6"/>
  <c r="U83" i="6"/>
  <c r="P96" i="6"/>
  <c r="U99" i="6"/>
  <c r="P112" i="6"/>
  <c r="U115" i="6"/>
  <c r="P128" i="6"/>
  <c r="U131" i="6"/>
  <c r="J208" i="6"/>
  <c r="O208" i="6" s="1"/>
  <c r="P219" i="6"/>
  <c r="Q234" i="6"/>
  <c r="U236" i="6"/>
  <c r="U239" i="6"/>
  <c r="J240" i="6"/>
  <c r="O240" i="6" s="1"/>
  <c r="U243" i="6"/>
  <c r="U247" i="6"/>
  <c r="P251" i="6"/>
  <c r="Q266" i="6"/>
  <c r="U268" i="6"/>
  <c r="U271" i="6"/>
  <c r="J272" i="6"/>
  <c r="O272" i="6" s="1"/>
  <c r="U275" i="6"/>
  <c r="U279" i="6"/>
  <c r="P283" i="6"/>
  <c r="Q298" i="6"/>
  <c r="U300" i="6"/>
  <c r="U303" i="6"/>
  <c r="J4" i="7"/>
  <c r="J12" i="7"/>
  <c r="N12" i="7" s="1"/>
  <c r="J20" i="7"/>
  <c r="N20" i="7" s="1"/>
  <c r="J28" i="7"/>
  <c r="N28" i="7" s="1"/>
  <c r="J36" i="7"/>
  <c r="N36" i="7" s="1"/>
  <c r="J44" i="7"/>
  <c r="N44" i="7" s="1"/>
  <c r="J52" i="7"/>
  <c r="N52" i="7" s="1"/>
  <c r="J60" i="7"/>
  <c r="N60" i="7" s="1"/>
  <c r="J69" i="7"/>
  <c r="S69" i="7"/>
  <c r="S73" i="7"/>
  <c r="O77" i="7"/>
  <c r="J85" i="7"/>
  <c r="S85" i="7"/>
  <c r="S89" i="7"/>
  <c r="O93" i="7"/>
  <c r="J101" i="7"/>
  <c r="S101" i="7"/>
  <c r="S105" i="7"/>
  <c r="O109" i="7"/>
  <c r="J117" i="7"/>
  <c r="S117" i="7"/>
  <c r="S121" i="7"/>
  <c r="O125" i="7"/>
  <c r="J133" i="7"/>
  <c r="S133" i="7"/>
  <c r="S137" i="7"/>
  <c r="O141" i="7"/>
  <c r="O157" i="7"/>
  <c r="O173" i="7"/>
  <c r="L177" i="7"/>
  <c r="U185" i="7"/>
  <c r="L185" i="7"/>
  <c r="S193" i="7"/>
  <c r="V193" i="7"/>
  <c r="L199" i="7"/>
  <c r="U202" i="7"/>
  <c r="L202" i="7"/>
  <c r="U219" i="7"/>
  <c r="V219" i="7" s="1"/>
  <c r="O219" i="7"/>
  <c r="S221" i="7"/>
  <c r="J221" i="7"/>
  <c r="S225" i="7"/>
  <c r="L231" i="7"/>
  <c r="U234" i="7"/>
  <c r="L234" i="7"/>
  <c r="U251" i="7"/>
  <c r="V251" i="7" s="1"/>
  <c r="O251" i="7"/>
  <c r="S253" i="7"/>
  <c r="J253" i="7"/>
  <c r="S257" i="7"/>
  <c r="U266" i="7"/>
  <c r="L266" i="7"/>
  <c r="N277" i="7"/>
  <c r="O277" i="7"/>
  <c r="L295" i="7"/>
  <c r="U299" i="7"/>
  <c r="V299" i="7" s="1"/>
  <c r="O299" i="7"/>
  <c r="S301" i="7"/>
  <c r="J301" i="7"/>
  <c r="V301" i="7"/>
  <c r="M8" i="8"/>
  <c r="R34" i="8"/>
  <c r="T34" i="8"/>
  <c r="N34" i="8"/>
  <c r="R38" i="8"/>
  <c r="T38" i="8"/>
  <c r="N38" i="8"/>
  <c r="R66" i="8"/>
  <c r="T66" i="8"/>
  <c r="N66" i="8"/>
  <c r="R70" i="8"/>
  <c r="T70" i="8"/>
  <c r="N70" i="8"/>
  <c r="T87" i="8"/>
  <c r="R87" i="8"/>
  <c r="M87" i="8"/>
  <c r="R97" i="8"/>
  <c r="N97" i="8"/>
  <c r="T97" i="8"/>
  <c r="M97" i="8"/>
  <c r="R141" i="8"/>
  <c r="N141" i="8"/>
  <c r="T141" i="8"/>
  <c r="M141" i="8"/>
  <c r="R185" i="8"/>
  <c r="N185" i="8"/>
  <c r="T185" i="8"/>
  <c r="M185" i="8"/>
  <c r="T194" i="8"/>
  <c r="N194" i="8"/>
  <c r="R194" i="8"/>
  <c r="M194" i="8"/>
  <c r="T210" i="8"/>
  <c r="N210" i="8"/>
  <c r="R210" i="8"/>
  <c r="M210" i="8"/>
  <c r="T226" i="8"/>
  <c r="N226" i="8"/>
  <c r="R226" i="8"/>
  <c r="M226" i="8"/>
  <c r="T242" i="8"/>
  <c r="N242" i="8"/>
  <c r="R242" i="8"/>
  <c r="M242" i="8"/>
  <c r="R282" i="8"/>
  <c r="T282" i="8"/>
  <c r="N282" i="8"/>
  <c r="M282" i="8"/>
  <c r="P212" i="6"/>
  <c r="P216" i="6"/>
  <c r="P244" i="6"/>
  <c r="P248" i="6"/>
  <c r="P276" i="6"/>
  <c r="P280" i="6"/>
  <c r="J67" i="7"/>
  <c r="N67" i="7" s="1"/>
  <c r="S67" i="7"/>
  <c r="S78" i="7"/>
  <c r="S82" i="7"/>
  <c r="J83" i="7"/>
  <c r="N83" i="7" s="1"/>
  <c r="S83" i="7"/>
  <c r="S94" i="7"/>
  <c r="S98" i="7"/>
  <c r="J99" i="7"/>
  <c r="N99" i="7" s="1"/>
  <c r="S99" i="7"/>
  <c r="S110" i="7"/>
  <c r="S114" i="7"/>
  <c r="J115" i="7"/>
  <c r="N115" i="7" s="1"/>
  <c r="S115" i="7"/>
  <c r="S126" i="7"/>
  <c r="S130" i="7"/>
  <c r="J131" i="7"/>
  <c r="N131" i="7" s="1"/>
  <c r="S131" i="7"/>
  <c r="S142" i="7"/>
  <c r="S146" i="7"/>
  <c r="J147" i="7"/>
  <c r="N147" i="7" s="1"/>
  <c r="S147" i="7"/>
  <c r="L150" i="7"/>
  <c r="U150" i="7"/>
  <c r="L154" i="7"/>
  <c r="U154" i="7"/>
  <c r="U155" i="7"/>
  <c r="V155" i="7" s="1"/>
  <c r="S158" i="7"/>
  <c r="S162" i="7"/>
  <c r="J163" i="7"/>
  <c r="N163" i="7" s="1"/>
  <c r="S163" i="7"/>
  <c r="L166" i="7"/>
  <c r="U166" i="7"/>
  <c r="L170" i="7"/>
  <c r="U170" i="7"/>
  <c r="U171" i="7"/>
  <c r="V171" i="7" s="1"/>
  <c r="S174" i="7"/>
  <c r="J185" i="7"/>
  <c r="N185" i="7" s="1"/>
  <c r="V185" i="7"/>
  <c r="S186" i="7"/>
  <c r="J187" i="7"/>
  <c r="N187" i="7" s="1"/>
  <c r="S187" i="7"/>
  <c r="J193" i="7"/>
  <c r="N193" i="7" s="1"/>
  <c r="U193" i="7"/>
  <c r="U198" i="7"/>
  <c r="L198" i="7"/>
  <c r="J215" i="7"/>
  <c r="N215" i="7" s="1"/>
  <c r="U215" i="7"/>
  <c r="V215" i="7" s="1"/>
  <c r="L219" i="7"/>
  <c r="L221" i="7"/>
  <c r="U221" i="7"/>
  <c r="V221" i="7" s="1"/>
  <c r="J225" i="7"/>
  <c r="N225" i="7" s="1"/>
  <c r="U225" i="7"/>
  <c r="V225" i="7" s="1"/>
  <c r="U230" i="7"/>
  <c r="L230" i="7"/>
  <c r="J247" i="7"/>
  <c r="N247" i="7" s="1"/>
  <c r="U247" i="7"/>
  <c r="V247" i="7" s="1"/>
  <c r="L251" i="7"/>
  <c r="L253" i="7"/>
  <c r="U253" i="7"/>
  <c r="V253" i="7" s="1"/>
  <c r="J257" i="7"/>
  <c r="N257" i="7" s="1"/>
  <c r="U257" i="7"/>
  <c r="V257" i="7" s="1"/>
  <c r="N261" i="7"/>
  <c r="O261" i="7"/>
  <c r="U283" i="7"/>
  <c r="V283" i="7" s="1"/>
  <c r="O283" i="7"/>
  <c r="S285" i="7"/>
  <c r="J285" i="7"/>
  <c r="N285" i="7" s="1"/>
  <c r="V285" i="7"/>
  <c r="U294" i="7"/>
  <c r="L294" i="7"/>
  <c r="R16" i="8"/>
  <c r="R17" i="8"/>
  <c r="N17" i="8"/>
  <c r="R29" i="8"/>
  <c r="N29" i="8"/>
  <c r="T29" i="8"/>
  <c r="M29" i="8"/>
  <c r="R49" i="8"/>
  <c r="N49" i="8"/>
  <c r="R61" i="8"/>
  <c r="N61" i="8"/>
  <c r="T61" i="8"/>
  <c r="M61" i="8"/>
  <c r="R77" i="8"/>
  <c r="N77" i="8"/>
  <c r="T77" i="8"/>
  <c r="M77" i="8"/>
  <c r="R102" i="8"/>
  <c r="T102" i="8"/>
  <c r="N102" i="8"/>
  <c r="T107" i="8"/>
  <c r="R107" i="8"/>
  <c r="M107" i="8"/>
  <c r="R122" i="8"/>
  <c r="T122" i="8"/>
  <c r="N122" i="8"/>
  <c r="R129" i="8"/>
  <c r="N129" i="8"/>
  <c r="T129" i="8"/>
  <c r="M129" i="8"/>
  <c r="R177" i="8"/>
  <c r="N177" i="8"/>
  <c r="T177" i="8"/>
  <c r="M177" i="8"/>
  <c r="R197" i="8"/>
  <c r="N197" i="8"/>
  <c r="M197" i="8"/>
  <c r="T197" i="8"/>
  <c r="R213" i="8"/>
  <c r="N213" i="8"/>
  <c r="M213" i="8"/>
  <c r="T213" i="8"/>
  <c r="R229" i="8"/>
  <c r="N229" i="8"/>
  <c r="M229" i="8"/>
  <c r="T229" i="8"/>
  <c r="T248" i="8"/>
  <c r="M248" i="8"/>
  <c r="R274" i="8"/>
  <c r="T274" i="8"/>
  <c r="N274" i="8"/>
  <c r="M274" i="8"/>
  <c r="P236" i="6"/>
  <c r="P268" i="6"/>
  <c r="P300" i="6"/>
  <c r="U203" i="7"/>
  <c r="V203" i="7" s="1"/>
  <c r="O203" i="7"/>
  <c r="S205" i="7"/>
  <c r="J205" i="7"/>
  <c r="N205" i="7" s="1"/>
  <c r="S209" i="7"/>
  <c r="U218" i="7"/>
  <c r="L218" i="7"/>
  <c r="U235" i="7"/>
  <c r="V235" i="7" s="1"/>
  <c r="O235" i="7"/>
  <c r="S237" i="7"/>
  <c r="J237" i="7"/>
  <c r="N237" i="7" s="1"/>
  <c r="S241" i="7"/>
  <c r="U250" i="7"/>
  <c r="L250" i="7"/>
  <c r="U267" i="7"/>
  <c r="V267" i="7" s="1"/>
  <c r="O267" i="7"/>
  <c r="S269" i="7"/>
  <c r="J269" i="7"/>
  <c r="N269" i="7" s="1"/>
  <c r="U278" i="7"/>
  <c r="L278" i="7"/>
  <c r="S289" i="7"/>
  <c r="U298" i="7"/>
  <c r="L298" i="7"/>
  <c r="T6" i="8"/>
  <c r="N6" i="8"/>
  <c r="T10" i="8"/>
  <c r="N10" i="8"/>
  <c r="T15" i="8"/>
  <c r="R15" i="8"/>
  <c r="T19" i="8"/>
  <c r="R19" i="8"/>
  <c r="M19" i="8"/>
  <c r="T23" i="8"/>
  <c r="R23" i="8"/>
  <c r="M23" i="8"/>
  <c r="R48" i="8"/>
  <c r="M48" i="8"/>
  <c r="T51" i="8"/>
  <c r="R51" i="8"/>
  <c r="M51" i="8"/>
  <c r="T55" i="8"/>
  <c r="R55" i="8"/>
  <c r="M55" i="8"/>
  <c r="T119" i="8"/>
  <c r="R119" i="8"/>
  <c r="M119" i="8"/>
  <c r="R134" i="8"/>
  <c r="T134" i="8"/>
  <c r="N134" i="8"/>
  <c r="T139" i="8"/>
  <c r="R139" i="8"/>
  <c r="M139" i="8"/>
  <c r="R154" i="8"/>
  <c r="T154" i="8"/>
  <c r="N154" i="8"/>
  <c r="R169" i="8"/>
  <c r="N169" i="8"/>
  <c r="T169" i="8"/>
  <c r="M169" i="8"/>
  <c r="T196" i="8"/>
  <c r="M196" i="8"/>
  <c r="T212" i="8"/>
  <c r="M212" i="8"/>
  <c r="T228" i="8"/>
  <c r="M228" i="8"/>
  <c r="T244" i="8"/>
  <c r="M244" i="8"/>
  <c r="T247" i="8"/>
  <c r="R247" i="8"/>
  <c r="M247" i="8"/>
  <c r="R266" i="8"/>
  <c r="T266" i="8"/>
  <c r="N266" i="8"/>
  <c r="M266" i="8"/>
  <c r="P60" i="6"/>
  <c r="U63" i="6"/>
  <c r="P76" i="6"/>
  <c r="U79" i="6"/>
  <c r="O80" i="6"/>
  <c r="P92" i="6"/>
  <c r="U95" i="6"/>
  <c r="O96" i="6"/>
  <c r="P108" i="6"/>
  <c r="U111" i="6"/>
  <c r="O112" i="6"/>
  <c r="P124" i="6"/>
  <c r="U127" i="6"/>
  <c r="O128" i="6"/>
  <c r="U134" i="6"/>
  <c r="P136" i="6"/>
  <c r="J156" i="6"/>
  <c r="O156" i="6" s="1"/>
  <c r="U162" i="6"/>
  <c r="P164" i="6"/>
  <c r="U166" i="6"/>
  <c r="P168" i="6"/>
  <c r="J188" i="6"/>
  <c r="O188" i="6" s="1"/>
  <c r="U194" i="6"/>
  <c r="P196" i="6"/>
  <c r="U198" i="6"/>
  <c r="P200" i="6"/>
  <c r="Q210" i="6"/>
  <c r="U212" i="6"/>
  <c r="Q214" i="6"/>
  <c r="U216" i="6"/>
  <c r="O219" i="6"/>
  <c r="J220" i="6"/>
  <c r="O220" i="6" s="1"/>
  <c r="U226" i="6"/>
  <c r="P228" i="6"/>
  <c r="U230" i="6"/>
  <c r="P232" i="6"/>
  <c r="T236" i="6"/>
  <c r="J239" i="6"/>
  <c r="O239" i="6" s="1"/>
  <c r="Q242" i="6"/>
  <c r="J243" i="6"/>
  <c r="P243" i="6" s="1"/>
  <c r="U244" i="6"/>
  <c r="Q246" i="6"/>
  <c r="J247" i="6"/>
  <c r="P247" i="6" s="1"/>
  <c r="U248" i="6"/>
  <c r="O251" i="6"/>
  <c r="J252" i="6"/>
  <c r="O252" i="6" s="1"/>
  <c r="U258" i="6"/>
  <c r="P260" i="6"/>
  <c r="U262" i="6"/>
  <c r="P264" i="6"/>
  <c r="T268" i="6"/>
  <c r="J271" i="6"/>
  <c r="P271" i="6" s="1"/>
  <c r="Q274" i="6"/>
  <c r="J275" i="6"/>
  <c r="O275" i="6" s="1"/>
  <c r="U276" i="6"/>
  <c r="Q278" i="6"/>
  <c r="J279" i="6"/>
  <c r="O279" i="6" s="1"/>
  <c r="U280" i="6"/>
  <c r="O283" i="6"/>
  <c r="J284" i="6"/>
  <c r="O284" i="6" s="1"/>
  <c r="U290" i="6"/>
  <c r="P292" i="6"/>
  <c r="U294" i="6"/>
  <c r="P296" i="6"/>
  <c r="T300" i="6"/>
  <c r="J303" i="6"/>
  <c r="O303" i="6" s="1"/>
  <c r="J6" i="7"/>
  <c r="N6" i="7" s="1"/>
  <c r="J14" i="7"/>
  <c r="N14" i="7" s="1"/>
  <c r="J22" i="7"/>
  <c r="N22" i="7" s="1"/>
  <c r="J30" i="7"/>
  <c r="N30" i="7" s="1"/>
  <c r="J38" i="7"/>
  <c r="N38" i="7" s="1"/>
  <c r="J46" i="7"/>
  <c r="N46" i="7" s="1"/>
  <c r="J54" i="7"/>
  <c r="N54" i="7" s="1"/>
  <c r="J62" i="7"/>
  <c r="N62" i="7" s="1"/>
  <c r="O67" i="7"/>
  <c r="J75" i="7"/>
  <c r="L78" i="7"/>
  <c r="L82" i="7"/>
  <c r="O83" i="7"/>
  <c r="J91" i="7"/>
  <c r="L94" i="7"/>
  <c r="L98" i="7"/>
  <c r="O99" i="7"/>
  <c r="J107" i="7"/>
  <c r="L110" i="7"/>
  <c r="L114" i="7"/>
  <c r="O115" i="7"/>
  <c r="J123" i="7"/>
  <c r="L126" i="7"/>
  <c r="L130" i="7"/>
  <c r="O131" i="7"/>
  <c r="J139" i="7"/>
  <c r="L142" i="7"/>
  <c r="L146" i="7"/>
  <c r="O147" i="7"/>
  <c r="J155" i="7"/>
  <c r="N155" i="7" s="1"/>
  <c r="L158" i="7"/>
  <c r="L162" i="7"/>
  <c r="O163" i="7"/>
  <c r="J171" i="7"/>
  <c r="N171" i="7" s="1"/>
  <c r="L174" i="7"/>
  <c r="J177" i="7"/>
  <c r="N177" i="7" s="1"/>
  <c r="U177" i="7"/>
  <c r="V177" i="7" s="1"/>
  <c r="U181" i="7"/>
  <c r="V181" i="7" s="1"/>
  <c r="O181" i="7"/>
  <c r="S185" i="7"/>
  <c r="L186" i="7"/>
  <c r="O187" i="7"/>
  <c r="S189" i="7"/>
  <c r="J189" i="7"/>
  <c r="J199" i="7"/>
  <c r="N199" i="7" s="1"/>
  <c r="U199" i="7"/>
  <c r="V199" i="7" s="1"/>
  <c r="S202" i="7"/>
  <c r="L203" i="7"/>
  <c r="L205" i="7"/>
  <c r="U205" i="7"/>
  <c r="V205" i="7" s="1"/>
  <c r="J209" i="7"/>
  <c r="N209" i="7" s="1"/>
  <c r="U209" i="7"/>
  <c r="V209" i="7" s="1"/>
  <c r="U214" i="7"/>
  <c r="L214" i="7"/>
  <c r="S219" i="7"/>
  <c r="J231" i="7"/>
  <c r="N231" i="7" s="1"/>
  <c r="U231" i="7"/>
  <c r="V231" i="7" s="1"/>
  <c r="S234" i="7"/>
  <c r="L235" i="7"/>
  <c r="L237" i="7"/>
  <c r="U237" i="7"/>
  <c r="V237" i="7" s="1"/>
  <c r="J241" i="7"/>
  <c r="N241" i="7" s="1"/>
  <c r="U241" i="7"/>
  <c r="V241" i="7" s="1"/>
  <c r="U246" i="7"/>
  <c r="L246" i="7"/>
  <c r="S251" i="7"/>
  <c r="U262" i="7"/>
  <c r="L262" i="7"/>
  <c r="S266" i="7"/>
  <c r="L267" i="7"/>
  <c r="L269" i="7"/>
  <c r="U269" i="7"/>
  <c r="V269" i="7" s="1"/>
  <c r="S273" i="7"/>
  <c r="V273" i="7"/>
  <c r="U282" i="7"/>
  <c r="L282" i="7"/>
  <c r="O285" i="7"/>
  <c r="J289" i="7"/>
  <c r="N289" i="7" s="1"/>
  <c r="U289" i="7"/>
  <c r="V289" i="7" s="1"/>
  <c r="N293" i="7"/>
  <c r="O293" i="7"/>
  <c r="J295" i="7"/>
  <c r="N295" i="7" s="1"/>
  <c r="U295" i="7"/>
  <c r="V295" i="7" s="1"/>
  <c r="S299" i="7"/>
  <c r="M6" i="8"/>
  <c r="M10" i="8"/>
  <c r="T27" i="8"/>
  <c r="R27" i="8"/>
  <c r="M27" i="8"/>
  <c r="R42" i="8"/>
  <c r="T42" i="8"/>
  <c r="N42" i="8"/>
  <c r="T59" i="8"/>
  <c r="R59" i="8"/>
  <c r="M59" i="8"/>
  <c r="T75" i="8"/>
  <c r="R75" i="8"/>
  <c r="M75" i="8"/>
  <c r="R90" i="8"/>
  <c r="T90" i="8"/>
  <c r="N90" i="8"/>
  <c r="M102" i="8"/>
  <c r="R109" i="8"/>
  <c r="N109" i="8"/>
  <c r="T109" i="8"/>
  <c r="M109" i="8"/>
  <c r="M122" i="8"/>
  <c r="T151" i="8"/>
  <c r="R151" i="8"/>
  <c r="M151" i="8"/>
  <c r="R161" i="8"/>
  <c r="N161" i="8"/>
  <c r="T161" i="8"/>
  <c r="M161" i="8"/>
  <c r="R190" i="8"/>
  <c r="N190" i="8"/>
  <c r="T190" i="8"/>
  <c r="M190" i="8"/>
  <c r="T195" i="8"/>
  <c r="R195" i="8"/>
  <c r="M195" i="8"/>
  <c r="R206" i="8"/>
  <c r="N206" i="8"/>
  <c r="T206" i="8"/>
  <c r="M206" i="8"/>
  <c r="T211" i="8"/>
  <c r="R211" i="8"/>
  <c r="M211" i="8"/>
  <c r="R222" i="8"/>
  <c r="N222" i="8"/>
  <c r="T222" i="8"/>
  <c r="M222" i="8"/>
  <c r="T227" i="8"/>
  <c r="R227" i="8"/>
  <c r="M227" i="8"/>
  <c r="R238" i="8"/>
  <c r="N238" i="8"/>
  <c r="T238" i="8"/>
  <c r="M238" i="8"/>
  <c r="T243" i="8"/>
  <c r="R243" i="8"/>
  <c r="M243" i="8"/>
  <c r="J259" i="7"/>
  <c r="J275" i="7"/>
  <c r="J291" i="7"/>
  <c r="R7" i="8"/>
  <c r="R11" i="8"/>
  <c r="M21" i="8"/>
  <c r="R35" i="8"/>
  <c r="R39" i="8"/>
  <c r="R43" i="8"/>
  <c r="M53" i="8"/>
  <c r="R67" i="8"/>
  <c r="R71" i="8"/>
  <c r="N73" i="8"/>
  <c r="N85" i="8"/>
  <c r="N105" i="8"/>
  <c r="N117" i="8"/>
  <c r="R123" i="8"/>
  <c r="N137" i="8"/>
  <c r="N149" i="8"/>
  <c r="M168" i="8"/>
  <c r="M176" i="8"/>
  <c r="M184" i="8"/>
  <c r="T191" i="8"/>
  <c r="M191" i="8"/>
  <c r="M200" i="8"/>
  <c r="T207" i="8"/>
  <c r="M207" i="8"/>
  <c r="M216" i="8"/>
  <c r="T223" i="8"/>
  <c r="M223" i="8"/>
  <c r="M232" i="8"/>
  <c r="T239" i="8"/>
  <c r="M239" i="8"/>
  <c r="T246" i="8"/>
  <c r="N246" i="8"/>
  <c r="R246" i="8"/>
  <c r="T251" i="8"/>
  <c r="M251" i="8"/>
  <c r="R251" i="8"/>
  <c r="T255" i="8"/>
  <c r="R255" i="8"/>
  <c r="M255" i="8"/>
  <c r="L191" i="7"/>
  <c r="O197" i="7"/>
  <c r="L201" i="7"/>
  <c r="L207" i="7"/>
  <c r="O213" i="7"/>
  <c r="L217" i="7"/>
  <c r="L223" i="7"/>
  <c r="O229" i="7"/>
  <c r="L233" i="7"/>
  <c r="L239" i="7"/>
  <c r="O245" i="7"/>
  <c r="L249" i="7"/>
  <c r="L255" i="7"/>
  <c r="R47" i="8"/>
  <c r="M79" i="8"/>
  <c r="N82" i="8"/>
  <c r="R83" i="8"/>
  <c r="M89" i="8"/>
  <c r="T89" i="8"/>
  <c r="N94" i="8"/>
  <c r="R95" i="8"/>
  <c r="M99" i="8"/>
  <c r="M101" i="8"/>
  <c r="T101" i="8"/>
  <c r="M111" i="8"/>
  <c r="N114" i="8"/>
  <c r="R115" i="8"/>
  <c r="M121" i="8"/>
  <c r="T121" i="8"/>
  <c r="N126" i="8"/>
  <c r="R127" i="8"/>
  <c r="M131" i="8"/>
  <c r="M133" i="8"/>
  <c r="T133" i="8"/>
  <c r="M143" i="8"/>
  <c r="N146" i="8"/>
  <c r="R147" i="8"/>
  <c r="M153" i="8"/>
  <c r="T153" i="8"/>
  <c r="N158" i="8"/>
  <c r="R159" i="8"/>
  <c r="M163" i="8"/>
  <c r="N166" i="8"/>
  <c r="R167" i="8"/>
  <c r="M171" i="8"/>
  <c r="N174" i="8"/>
  <c r="R175" i="8"/>
  <c r="M179" i="8"/>
  <c r="N182" i="8"/>
  <c r="R183" i="8"/>
  <c r="M187" i="8"/>
  <c r="T202" i="8"/>
  <c r="N202" i="8"/>
  <c r="T203" i="8"/>
  <c r="R203" i="8"/>
  <c r="R205" i="8"/>
  <c r="N205" i="8"/>
  <c r="T218" i="8"/>
  <c r="N218" i="8"/>
  <c r="T219" i="8"/>
  <c r="R219" i="8"/>
  <c r="R221" i="8"/>
  <c r="N221" i="8"/>
  <c r="T234" i="8"/>
  <c r="N234" i="8"/>
  <c r="T235" i="8"/>
  <c r="R235" i="8"/>
  <c r="R237" i="8"/>
  <c r="N237" i="8"/>
  <c r="R250" i="8"/>
  <c r="T250" i="8"/>
  <c r="N250" i="8"/>
  <c r="T254" i="8"/>
  <c r="N254" i="8"/>
  <c r="R254" i="8"/>
  <c r="T259" i="8"/>
  <c r="M259" i="8"/>
  <c r="R259" i="8"/>
  <c r="T263" i="8"/>
  <c r="R263" i="8"/>
  <c r="M263" i="8"/>
  <c r="T272" i="8"/>
  <c r="M272" i="8"/>
  <c r="T280" i="8"/>
  <c r="M280" i="8"/>
  <c r="T69" i="9"/>
  <c r="T199" i="8"/>
  <c r="M199" i="8"/>
  <c r="T215" i="8"/>
  <c r="M215" i="8"/>
  <c r="T231" i="8"/>
  <c r="M231" i="8"/>
  <c r="R258" i="8"/>
  <c r="T258" i="8"/>
  <c r="N258" i="8"/>
  <c r="T262" i="8"/>
  <c r="N262" i="8"/>
  <c r="R262" i="8"/>
  <c r="T271" i="8"/>
  <c r="R271" i="8"/>
  <c r="M271" i="8"/>
  <c r="T279" i="8"/>
  <c r="R279" i="8"/>
  <c r="M279" i="8"/>
  <c r="T287" i="8"/>
  <c r="R287" i="8"/>
  <c r="M287" i="8"/>
  <c r="N245" i="8"/>
  <c r="N253" i="8"/>
  <c r="N261" i="8"/>
  <c r="R267" i="8"/>
  <c r="N269" i="8"/>
  <c r="R270" i="8"/>
  <c r="R275" i="8"/>
  <c r="N277" i="8"/>
  <c r="R278" i="8"/>
  <c r="R283" i="8"/>
  <c r="N285" i="8"/>
  <c r="R286" i="8"/>
  <c r="N290" i="8"/>
  <c r="R291" i="8"/>
  <c r="N293" i="8"/>
  <c r="R294" i="8"/>
  <c r="M295" i="8"/>
  <c r="N298" i="8"/>
  <c r="R299" i="8"/>
  <c r="N301" i="8"/>
  <c r="R302" i="8"/>
  <c r="M303" i="8"/>
  <c r="I6" i="9"/>
  <c r="L6" i="9" s="1"/>
  <c r="I14" i="9"/>
  <c r="L14" i="9" s="1"/>
  <c r="I22" i="9"/>
  <c r="L22" i="9" s="1"/>
  <c r="I30" i="9"/>
  <c r="L30" i="9" s="1"/>
  <c r="I38" i="9"/>
  <c r="L38" i="9" s="1"/>
  <c r="I46" i="9"/>
  <c r="L46" i="9" s="1"/>
  <c r="I54" i="9"/>
  <c r="L54" i="9" s="1"/>
  <c r="I62" i="9"/>
  <c r="L62" i="9" s="1"/>
  <c r="J65" i="9"/>
  <c r="I69" i="9"/>
  <c r="L69" i="9" s="1"/>
  <c r="Q69" i="9"/>
  <c r="J71" i="9"/>
  <c r="I73" i="9"/>
  <c r="L73" i="9" s="1"/>
  <c r="Q73" i="9"/>
  <c r="J74" i="9"/>
  <c r="M75" i="9"/>
  <c r="I77" i="9"/>
  <c r="L77" i="9" s="1"/>
  <c r="Q77" i="9"/>
  <c r="J78" i="9"/>
  <c r="M79" i="9"/>
  <c r="I81" i="9"/>
  <c r="L81" i="9" s="1"/>
  <c r="Q81" i="9"/>
  <c r="J82" i="9"/>
  <c r="M83" i="9"/>
  <c r="I85" i="9"/>
  <c r="L85" i="9" s="1"/>
  <c r="Q85" i="9"/>
  <c r="J86" i="9"/>
  <c r="M87" i="9"/>
  <c r="I89" i="9"/>
  <c r="L89" i="9" s="1"/>
  <c r="Q89" i="9"/>
  <c r="M91" i="9"/>
  <c r="I93" i="9"/>
  <c r="L93" i="9" s="1"/>
  <c r="Q93" i="9"/>
  <c r="M95" i="9"/>
  <c r="I97" i="9"/>
  <c r="L97" i="9" s="1"/>
  <c r="Q97" i="9"/>
  <c r="M99" i="9"/>
  <c r="I101" i="9"/>
  <c r="L101" i="9" s="1"/>
  <c r="Q101" i="9"/>
  <c r="M103" i="9"/>
  <c r="I105" i="9"/>
  <c r="L105" i="9" s="1"/>
  <c r="Q105" i="9"/>
  <c r="M107" i="9"/>
  <c r="I109" i="9"/>
  <c r="L109" i="9" s="1"/>
  <c r="Q109" i="9"/>
  <c r="M111" i="9"/>
  <c r="I113" i="9"/>
  <c r="L113" i="9" s="1"/>
  <c r="Q113" i="9"/>
  <c r="M115" i="9"/>
  <c r="T116" i="9"/>
  <c r="Q116" i="9"/>
  <c r="T122" i="9"/>
  <c r="S122" i="9"/>
  <c r="J122" i="9"/>
  <c r="Q125" i="9"/>
  <c r="I125" i="9"/>
  <c r="S131" i="9"/>
  <c r="T131" i="9" s="1"/>
  <c r="M131" i="9"/>
  <c r="T132" i="9"/>
  <c r="Q132" i="9"/>
  <c r="T138" i="9"/>
  <c r="S138" i="9"/>
  <c r="J138" i="9"/>
  <c r="Q141" i="9"/>
  <c r="I141" i="9"/>
  <c r="T148" i="9"/>
  <c r="Q148" i="9"/>
  <c r="Q156" i="9"/>
  <c r="T156" i="9"/>
  <c r="J162" i="9"/>
  <c r="S165" i="9"/>
  <c r="J165" i="9"/>
  <c r="S172" i="9"/>
  <c r="J172" i="9"/>
  <c r="Q172" i="9"/>
  <c r="I172" i="9"/>
  <c r="L172" i="9" s="1"/>
  <c r="S199" i="9"/>
  <c r="T199" i="9" s="1"/>
  <c r="Q199" i="9"/>
  <c r="I199" i="9"/>
  <c r="L199" i="9" s="1"/>
  <c r="J199" i="9"/>
  <c r="J212" i="9"/>
  <c r="Q212" i="9"/>
  <c r="M288" i="8"/>
  <c r="T80" i="9"/>
  <c r="T96" i="9"/>
  <c r="T112" i="9"/>
  <c r="S119" i="9"/>
  <c r="T119" i="9" s="1"/>
  <c r="M119" i="9"/>
  <c r="Q120" i="9"/>
  <c r="T126" i="9"/>
  <c r="S126" i="9"/>
  <c r="J126" i="9"/>
  <c r="Q129" i="9"/>
  <c r="I129" i="9"/>
  <c r="L129" i="9" s="1"/>
  <c r="S135" i="9"/>
  <c r="T135" i="9" s="1"/>
  <c r="M135" i="9"/>
  <c r="Q136" i="9"/>
  <c r="Q145" i="9"/>
  <c r="I145" i="9"/>
  <c r="L145" i="9" s="1"/>
  <c r="T152" i="9"/>
  <c r="Q152" i="9"/>
  <c r="S161" i="9"/>
  <c r="J161" i="9"/>
  <c r="T172" i="9"/>
  <c r="Q181" i="9"/>
  <c r="I181" i="9"/>
  <c r="L181" i="9" s="1"/>
  <c r="S181" i="9"/>
  <c r="M181" i="9"/>
  <c r="J181" i="9"/>
  <c r="T181" i="9"/>
  <c r="M267" i="8"/>
  <c r="N270" i="8"/>
  <c r="M275" i="8"/>
  <c r="N278" i="8"/>
  <c r="M283" i="8"/>
  <c r="N286" i="8"/>
  <c r="M291" i="8"/>
  <c r="N294" i="8"/>
  <c r="M299" i="8"/>
  <c r="N302" i="8"/>
  <c r="M69" i="9"/>
  <c r="S69" i="9"/>
  <c r="J72" i="9"/>
  <c r="S72" i="9"/>
  <c r="T72" i="9" s="1"/>
  <c r="M73" i="9"/>
  <c r="J76" i="9"/>
  <c r="S76" i="9"/>
  <c r="T76" i="9" s="1"/>
  <c r="M77" i="9"/>
  <c r="J80" i="9"/>
  <c r="S80" i="9"/>
  <c r="M81" i="9"/>
  <c r="J84" i="9"/>
  <c r="S84" i="9"/>
  <c r="T84" i="9" s="1"/>
  <c r="M85" i="9"/>
  <c r="J88" i="9"/>
  <c r="S88" i="9"/>
  <c r="T88" i="9" s="1"/>
  <c r="M89" i="9"/>
  <c r="J92" i="9"/>
  <c r="S92" i="9"/>
  <c r="T92" i="9" s="1"/>
  <c r="M93" i="9"/>
  <c r="J96" i="9"/>
  <c r="S96" i="9"/>
  <c r="J100" i="9"/>
  <c r="S100" i="9"/>
  <c r="T100" i="9" s="1"/>
  <c r="M101" i="9"/>
  <c r="J104" i="9"/>
  <c r="S104" i="9"/>
  <c r="T104" i="9" s="1"/>
  <c r="M105" i="9"/>
  <c r="J108" i="9"/>
  <c r="S108" i="9"/>
  <c r="T108" i="9" s="1"/>
  <c r="M109" i="9"/>
  <c r="J112" i="9"/>
  <c r="S112" i="9"/>
  <c r="Q117" i="9"/>
  <c r="I117" i="9"/>
  <c r="L117" i="9" s="1"/>
  <c r="J119" i="9"/>
  <c r="S120" i="9"/>
  <c r="T120" i="9" s="1"/>
  <c r="S123" i="9"/>
  <c r="T123" i="9" s="1"/>
  <c r="M123" i="9"/>
  <c r="Q124" i="9"/>
  <c r="J129" i="9"/>
  <c r="S129" i="9"/>
  <c r="T129" i="9" s="1"/>
  <c r="T130" i="9"/>
  <c r="S130" i="9"/>
  <c r="J130" i="9"/>
  <c r="Q133" i="9"/>
  <c r="I133" i="9"/>
  <c r="L133" i="9" s="1"/>
  <c r="J135" i="9"/>
  <c r="S136" i="9"/>
  <c r="T136" i="9" s="1"/>
  <c r="T140" i="9"/>
  <c r="Q140" i="9"/>
  <c r="J145" i="9"/>
  <c r="S145" i="9"/>
  <c r="T145" i="9" s="1"/>
  <c r="Q149" i="9"/>
  <c r="I149" i="9"/>
  <c r="L149" i="9" s="1"/>
  <c r="S152" i="9"/>
  <c r="S166" i="9"/>
  <c r="T166" i="9" s="1"/>
  <c r="M166" i="9"/>
  <c r="Q170" i="9"/>
  <c r="S170" i="9"/>
  <c r="T170" i="9" s="1"/>
  <c r="J170" i="9"/>
  <c r="I170" i="9"/>
  <c r="L170" i="9" s="1"/>
  <c r="M292" i="8"/>
  <c r="M293" i="8"/>
  <c r="T293" i="8"/>
  <c r="M300" i="8"/>
  <c r="M301" i="8"/>
  <c r="T301" i="8"/>
  <c r="I8" i="9"/>
  <c r="L8" i="9" s="1"/>
  <c r="I16" i="9"/>
  <c r="L16" i="9" s="1"/>
  <c r="I24" i="9"/>
  <c r="L24" i="9" s="1"/>
  <c r="I32" i="9"/>
  <c r="L32" i="9" s="1"/>
  <c r="I40" i="9"/>
  <c r="L40" i="9" s="1"/>
  <c r="I48" i="9"/>
  <c r="L48" i="9" s="1"/>
  <c r="I56" i="9"/>
  <c r="L56" i="9" s="1"/>
  <c r="I64" i="9"/>
  <c r="L64" i="9" s="1"/>
  <c r="J66" i="9"/>
  <c r="M67" i="9"/>
  <c r="T114" i="9"/>
  <c r="J117" i="9"/>
  <c r="S117" i="9"/>
  <c r="T117" i="9" s="1"/>
  <c r="T118" i="9"/>
  <c r="S118" i="9"/>
  <c r="J118" i="9"/>
  <c r="J120" i="9"/>
  <c r="Q121" i="9"/>
  <c r="I121" i="9"/>
  <c r="Q122" i="9"/>
  <c r="J123" i="9"/>
  <c r="S124" i="9"/>
  <c r="T124" i="9" s="1"/>
  <c r="S127" i="9"/>
  <c r="T127" i="9" s="1"/>
  <c r="M127" i="9"/>
  <c r="T128" i="9"/>
  <c r="Q128" i="9"/>
  <c r="Q131" i="9"/>
  <c r="J133" i="9"/>
  <c r="S133" i="9"/>
  <c r="T133" i="9" s="1"/>
  <c r="S134" i="9"/>
  <c r="T134" i="9" s="1"/>
  <c r="J134" i="9"/>
  <c r="J136" i="9"/>
  <c r="Q137" i="9"/>
  <c r="I137" i="9"/>
  <c r="Q138" i="9"/>
  <c r="S140" i="9"/>
  <c r="T144" i="9"/>
  <c r="Q144" i="9"/>
  <c r="M145" i="9"/>
  <c r="J149" i="9"/>
  <c r="S149" i="9"/>
  <c r="T149" i="9" s="1"/>
  <c r="J152" i="9"/>
  <c r="Q153" i="9"/>
  <c r="I153" i="9"/>
  <c r="I162" i="9"/>
  <c r="L162" i="9" s="1"/>
  <c r="S162" i="9"/>
  <c r="T162" i="9" s="1"/>
  <c r="Q165" i="9"/>
  <c r="J166" i="9"/>
  <c r="S175" i="9"/>
  <c r="T175" i="9" s="1"/>
  <c r="M175" i="9"/>
  <c r="Q175" i="9"/>
  <c r="I175" i="9"/>
  <c r="L175" i="9" s="1"/>
  <c r="J175" i="9"/>
  <c r="S195" i="9"/>
  <c r="J195" i="9"/>
  <c r="Q195" i="9"/>
  <c r="I195" i="9"/>
  <c r="T195" i="9"/>
  <c r="L217" i="9"/>
  <c r="M217" i="9"/>
  <c r="Q228" i="9"/>
  <c r="J228" i="9"/>
  <c r="J238" i="9"/>
  <c r="Q238" i="9"/>
  <c r="T146" i="9"/>
  <c r="S168" i="9"/>
  <c r="Q168" i="9"/>
  <c r="M179" i="9"/>
  <c r="J184" i="9"/>
  <c r="J192" i="9"/>
  <c r="Q192" i="9"/>
  <c r="Q193" i="9"/>
  <c r="S193" i="9"/>
  <c r="T193" i="9" s="1"/>
  <c r="J193" i="9"/>
  <c r="M197" i="9"/>
  <c r="J202" i="9"/>
  <c r="S211" i="9"/>
  <c r="T211" i="9" s="1"/>
  <c r="J211" i="9"/>
  <c r="Q211" i="9"/>
  <c r="I211" i="9"/>
  <c r="M139" i="9"/>
  <c r="J142" i="9"/>
  <c r="S142" i="9"/>
  <c r="T142" i="9" s="1"/>
  <c r="M143" i="9"/>
  <c r="J146" i="9"/>
  <c r="S146" i="9"/>
  <c r="M147" i="9"/>
  <c r="J150" i="9"/>
  <c r="S150" i="9"/>
  <c r="T150" i="9" s="1"/>
  <c r="M151" i="9"/>
  <c r="J154" i="9"/>
  <c r="S154" i="9"/>
  <c r="T154" i="9" s="1"/>
  <c r="M160" i="9"/>
  <c r="J164" i="9"/>
  <c r="I168" i="9"/>
  <c r="L168" i="9" s="1"/>
  <c r="T168" i="9"/>
  <c r="Q176" i="9"/>
  <c r="J176" i="9"/>
  <c r="S177" i="9"/>
  <c r="T177" i="9" s="1"/>
  <c r="J177" i="9"/>
  <c r="Q177" i="9"/>
  <c r="Q187" i="9"/>
  <c r="S187" i="9"/>
  <c r="T187" i="9" s="1"/>
  <c r="J187" i="9"/>
  <c r="Q191" i="9"/>
  <c r="I191" i="9"/>
  <c r="L191" i="9" s="1"/>
  <c r="S191" i="9"/>
  <c r="T191" i="9" s="1"/>
  <c r="M191" i="9"/>
  <c r="Q226" i="9"/>
  <c r="J226" i="9"/>
  <c r="L231" i="9"/>
  <c r="M231" i="9"/>
  <c r="S185" i="9"/>
  <c r="T185" i="9" s="1"/>
  <c r="J185" i="9"/>
  <c r="Q185" i="9"/>
  <c r="Q203" i="9"/>
  <c r="S203" i="9"/>
  <c r="T203" i="9" s="1"/>
  <c r="J203" i="9"/>
  <c r="S207" i="9"/>
  <c r="T207" i="9" s="1"/>
  <c r="M207" i="9"/>
  <c r="Q207" i="9"/>
  <c r="J207" i="9"/>
  <c r="S209" i="9"/>
  <c r="M209" i="9"/>
  <c r="T209" i="9"/>
  <c r="J209" i="9"/>
  <c r="Q209" i="9"/>
  <c r="Q215" i="9"/>
  <c r="I215" i="9"/>
  <c r="L215" i="9" s="1"/>
  <c r="S215" i="9"/>
  <c r="T215" i="9" s="1"/>
  <c r="J215" i="9"/>
  <c r="M225" i="9"/>
  <c r="S306" i="9"/>
  <c r="L306" i="9"/>
  <c r="S310" i="9"/>
  <c r="S314" i="9"/>
  <c r="T314" i="9" s="1"/>
  <c r="S318" i="9"/>
  <c r="S322" i="9"/>
  <c r="L322" i="9"/>
  <c r="S326" i="9"/>
  <c r="S330" i="9"/>
  <c r="T330" i="9" s="1"/>
  <c r="S334" i="9"/>
  <c r="S338" i="9"/>
  <c r="L338" i="9"/>
  <c r="S342" i="9"/>
  <c r="S346" i="9"/>
  <c r="T346" i="9" s="1"/>
  <c r="S350" i="9"/>
  <c r="S354" i="9"/>
  <c r="L354" i="9"/>
  <c r="S358" i="9"/>
  <c r="S362" i="9"/>
  <c r="T362" i="9" s="1"/>
  <c r="S366" i="9"/>
  <c r="S370" i="9"/>
  <c r="L370" i="9"/>
  <c r="S374" i="9"/>
  <c r="S378" i="9"/>
  <c r="T378" i="9" s="1"/>
  <c r="S382" i="9"/>
  <c r="S386" i="9"/>
  <c r="L386" i="9"/>
  <c r="S390" i="9"/>
  <c r="S394" i="9"/>
  <c r="T394" i="9" s="1"/>
  <c r="S398" i="9"/>
  <c r="S402" i="9"/>
  <c r="L402" i="9"/>
  <c r="L5" i="10"/>
  <c r="R5" i="10"/>
  <c r="R9" i="10"/>
  <c r="G9" i="10"/>
  <c r="R12" i="10"/>
  <c r="M12" i="10"/>
  <c r="H12" i="10"/>
  <c r="C12" i="10"/>
  <c r="I12" i="10"/>
  <c r="P12" i="10"/>
  <c r="K14" i="10"/>
  <c r="E14" i="10"/>
  <c r="J14" i="10"/>
  <c r="Q22" i="10"/>
  <c r="J22" i="10"/>
  <c r="C22" i="10"/>
  <c r="K22" i="10"/>
  <c r="G29" i="10"/>
  <c r="R29" i="10"/>
  <c r="Q31" i="10"/>
  <c r="N31" i="10"/>
  <c r="D31" i="10"/>
  <c r="P31" i="10"/>
  <c r="E31" i="10"/>
  <c r="R40" i="10"/>
  <c r="M40" i="10"/>
  <c r="H40" i="10"/>
  <c r="C40" i="10"/>
  <c r="L40" i="10"/>
  <c r="E40" i="10"/>
  <c r="O40" i="10"/>
  <c r="G40" i="10"/>
  <c r="P40" i="10"/>
  <c r="D47" i="10"/>
  <c r="R64" i="10"/>
  <c r="O64" i="10"/>
  <c r="I64" i="10"/>
  <c r="D64" i="10"/>
  <c r="L64" i="10"/>
  <c r="E64" i="10"/>
  <c r="Q64" i="10"/>
  <c r="K64" i="10"/>
  <c r="C64" i="10"/>
  <c r="M64" i="10"/>
  <c r="G64" i="10"/>
  <c r="I76" i="10"/>
  <c r="R110" i="10"/>
  <c r="C110" i="10"/>
  <c r="J110" i="10"/>
  <c r="F110" i="10"/>
  <c r="N110" i="10"/>
  <c r="R118" i="10"/>
  <c r="C118" i="10"/>
  <c r="J118" i="10"/>
  <c r="F118" i="10"/>
  <c r="N118" i="10"/>
  <c r="J210" i="9"/>
  <c r="Q214" i="9"/>
  <c r="J214" i="9"/>
  <c r="Q229" i="9"/>
  <c r="I229" i="9"/>
  <c r="Q230" i="9"/>
  <c r="S233" i="9"/>
  <c r="T233" i="9" s="1"/>
  <c r="M233" i="9"/>
  <c r="M235" i="9"/>
  <c r="Q236" i="9"/>
  <c r="J242" i="9"/>
  <c r="J244" i="9"/>
  <c r="Q245" i="9"/>
  <c r="I245" i="9"/>
  <c r="Q246" i="9"/>
  <c r="S249" i="9"/>
  <c r="T249" i="9" s="1"/>
  <c r="M249" i="9"/>
  <c r="M251" i="9"/>
  <c r="Q252" i="9"/>
  <c r="J258" i="9"/>
  <c r="J260" i="9"/>
  <c r="Q261" i="9"/>
  <c r="I261" i="9"/>
  <c r="Q262" i="9"/>
  <c r="S265" i="9"/>
  <c r="T265" i="9" s="1"/>
  <c r="M265" i="9"/>
  <c r="M267" i="9"/>
  <c r="Q268" i="9"/>
  <c r="J305" i="9"/>
  <c r="I306" i="9"/>
  <c r="T306" i="9"/>
  <c r="J309" i="9"/>
  <c r="I310" i="9"/>
  <c r="L310" i="9" s="1"/>
  <c r="T310" i="9"/>
  <c r="J313" i="9"/>
  <c r="I314" i="9"/>
  <c r="M314" i="9" s="1"/>
  <c r="J317" i="9"/>
  <c r="I318" i="9"/>
  <c r="L318" i="9" s="1"/>
  <c r="T318" i="9"/>
  <c r="J321" i="9"/>
  <c r="I322" i="9"/>
  <c r="T322" i="9"/>
  <c r="J325" i="9"/>
  <c r="I326" i="9"/>
  <c r="L326" i="9" s="1"/>
  <c r="T326" i="9"/>
  <c r="J329" i="9"/>
  <c r="I330" i="9"/>
  <c r="M330" i="9" s="1"/>
  <c r="J333" i="9"/>
  <c r="I334" i="9"/>
  <c r="L334" i="9" s="1"/>
  <c r="T334" i="9"/>
  <c r="J337" i="9"/>
  <c r="I338" i="9"/>
  <c r="T338" i="9"/>
  <c r="J341" i="9"/>
  <c r="I342" i="9"/>
  <c r="L342" i="9" s="1"/>
  <c r="T342" i="9"/>
  <c r="J345" i="9"/>
  <c r="I346" i="9"/>
  <c r="M346" i="9" s="1"/>
  <c r="J349" i="9"/>
  <c r="I350" i="9"/>
  <c r="L350" i="9" s="1"/>
  <c r="T350" i="9"/>
  <c r="J353" i="9"/>
  <c r="I354" i="9"/>
  <c r="T354" i="9"/>
  <c r="J357" i="9"/>
  <c r="I358" i="9"/>
  <c r="L358" i="9" s="1"/>
  <c r="T358" i="9"/>
  <c r="J361" i="9"/>
  <c r="I362" i="9"/>
  <c r="M362" i="9" s="1"/>
  <c r="J365" i="9"/>
  <c r="I366" i="9"/>
  <c r="L366" i="9" s="1"/>
  <c r="T366" i="9"/>
  <c r="J369" i="9"/>
  <c r="I370" i="9"/>
  <c r="T370" i="9"/>
  <c r="J373" i="9"/>
  <c r="I374" i="9"/>
  <c r="L374" i="9" s="1"/>
  <c r="T374" i="9"/>
  <c r="J377" i="9"/>
  <c r="I378" i="9"/>
  <c r="M378" i="9" s="1"/>
  <c r="J381" i="9"/>
  <c r="I382" i="9"/>
  <c r="L382" i="9" s="1"/>
  <c r="T382" i="9"/>
  <c r="J385" i="9"/>
  <c r="I386" i="9"/>
  <c r="T386" i="9"/>
  <c r="J389" i="9"/>
  <c r="I390" i="9"/>
  <c r="L390" i="9" s="1"/>
  <c r="T390" i="9"/>
  <c r="J393" i="9"/>
  <c r="I394" i="9"/>
  <c r="M394" i="9" s="1"/>
  <c r="J397" i="9"/>
  <c r="I398" i="9"/>
  <c r="L398" i="9" s="1"/>
  <c r="T398" i="9"/>
  <c r="J401" i="9"/>
  <c r="I402" i="9"/>
  <c r="T402" i="9"/>
  <c r="G4" i="10"/>
  <c r="N6" i="10"/>
  <c r="F6" i="10"/>
  <c r="J6" i="10"/>
  <c r="Q7" i="10"/>
  <c r="N7" i="10"/>
  <c r="D7" i="10"/>
  <c r="P7" i="10"/>
  <c r="G8" i="10"/>
  <c r="L9" i="10"/>
  <c r="I10" i="10"/>
  <c r="D12" i="10"/>
  <c r="K12" i="10"/>
  <c r="Q12" i="10"/>
  <c r="C14" i="10"/>
  <c r="N14" i="10"/>
  <c r="G16" i="10"/>
  <c r="F18" i="10"/>
  <c r="O18" i="10"/>
  <c r="E22" i="10"/>
  <c r="N22" i="10"/>
  <c r="E23" i="10"/>
  <c r="L25" i="10"/>
  <c r="D28" i="10"/>
  <c r="L28" i="10"/>
  <c r="L29" i="10"/>
  <c r="I31" i="10"/>
  <c r="G32" i="10"/>
  <c r="Q32" i="10"/>
  <c r="I34" i="10"/>
  <c r="G36" i="10"/>
  <c r="Q36" i="10"/>
  <c r="K38" i="10"/>
  <c r="J38" i="10"/>
  <c r="C38" i="10"/>
  <c r="N38" i="10"/>
  <c r="E38" i="10"/>
  <c r="Q38" i="10"/>
  <c r="D40" i="10"/>
  <c r="Q40" i="10"/>
  <c r="J42" i="10"/>
  <c r="R42" i="10"/>
  <c r="L47" i="10"/>
  <c r="H64" i="10"/>
  <c r="R102" i="10"/>
  <c r="C102" i="10"/>
  <c r="J102" i="10"/>
  <c r="F102" i="10"/>
  <c r="N102" i="10"/>
  <c r="R111" i="10"/>
  <c r="J111" i="10"/>
  <c r="I111" i="10"/>
  <c r="R119" i="10"/>
  <c r="J119" i="10"/>
  <c r="I119" i="10"/>
  <c r="J126" i="10"/>
  <c r="C126" i="10"/>
  <c r="N126" i="10"/>
  <c r="F126" i="10"/>
  <c r="R126" i="10"/>
  <c r="J138" i="10"/>
  <c r="F138" i="10"/>
  <c r="N138" i="10"/>
  <c r="C138" i="10"/>
  <c r="R138" i="10"/>
  <c r="M247" i="9"/>
  <c r="M263" i="9"/>
  <c r="M276" i="9"/>
  <c r="M280" i="9"/>
  <c r="J283" i="9"/>
  <c r="Q285" i="9"/>
  <c r="J285" i="9"/>
  <c r="S288" i="9"/>
  <c r="T288" i="9" s="1"/>
  <c r="J291" i="9"/>
  <c r="Q293" i="9"/>
  <c r="J293" i="9"/>
  <c r="S296" i="9"/>
  <c r="T296" i="9" s="1"/>
  <c r="J299" i="9"/>
  <c r="Q301" i="9"/>
  <c r="J301" i="9"/>
  <c r="S304" i="9"/>
  <c r="L304" i="9"/>
  <c r="M306" i="9"/>
  <c r="S308" i="9"/>
  <c r="M310" i="9"/>
  <c r="S312" i="9"/>
  <c r="S316" i="9"/>
  <c r="T316" i="9" s="1"/>
  <c r="S320" i="9"/>
  <c r="L320" i="9"/>
  <c r="M322" i="9"/>
  <c r="S324" i="9"/>
  <c r="M326" i="9"/>
  <c r="S328" i="9"/>
  <c r="S332" i="9"/>
  <c r="T332" i="9" s="1"/>
  <c r="S336" i="9"/>
  <c r="L336" i="9"/>
  <c r="M338" i="9"/>
  <c r="S340" i="9"/>
  <c r="M342" i="9"/>
  <c r="S344" i="9"/>
  <c r="S348" i="9"/>
  <c r="T348" i="9" s="1"/>
  <c r="S352" i="9"/>
  <c r="L352" i="9"/>
  <c r="M354" i="9"/>
  <c r="S356" i="9"/>
  <c r="M358" i="9"/>
  <c r="S360" i="9"/>
  <c r="S364" i="9"/>
  <c r="T364" i="9" s="1"/>
  <c r="S368" i="9"/>
  <c r="L368" i="9"/>
  <c r="M370" i="9"/>
  <c r="S372" i="9"/>
  <c r="M374" i="9"/>
  <c r="S376" i="9"/>
  <c r="S380" i="9"/>
  <c r="T380" i="9" s="1"/>
  <c r="S384" i="9"/>
  <c r="L384" i="9"/>
  <c r="M386" i="9"/>
  <c r="S388" i="9"/>
  <c r="M390" i="9"/>
  <c r="S392" i="9"/>
  <c r="S396" i="9"/>
  <c r="T396" i="9" s="1"/>
  <c r="S400" i="9"/>
  <c r="L400" i="9"/>
  <c r="M402" i="9"/>
  <c r="R4" i="10"/>
  <c r="O4" i="10"/>
  <c r="I4" i="10"/>
  <c r="D4" i="10"/>
  <c r="H4" i="10"/>
  <c r="P4" i="10"/>
  <c r="R8" i="10"/>
  <c r="O8" i="10"/>
  <c r="I8" i="10"/>
  <c r="D8" i="10"/>
  <c r="H8" i="10"/>
  <c r="P8" i="10"/>
  <c r="K10" i="10"/>
  <c r="E10" i="10"/>
  <c r="J10" i="10"/>
  <c r="E12" i="10"/>
  <c r="L12" i="10"/>
  <c r="F14" i="10"/>
  <c r="O14" i="10"/>
  <c r="R16" i="10"/>
  <c r="M16" i="10"/>
  <c r="H16" i="10"/>
  <c r="C16" i="10"/>
  <c r="I16" i="10"/>
  <c r="P16" i="10"/>
  <c r="Q19" i="10"/>
  <c r="I19" i="10"/>
  <c r="N19" i="10"/>
  <c r="F22" i="10"/>
  <c r="O22" i="10"/>
  <c r="Q27" i="10"/>
  <c r="P27" i="10"/>
  <c r="E27" i="10"/>
  <c r="N27" i="10"/>
  <c r="G28" i="10"/>
  <c r="J31" i="10"/>
  <c r="R33" i="10"/>
  <c r="G33" i="10"/>
  <c r="L33" i="10"/>
  <c r="I40" i="10"/>
  <c r="O59" i="10"/>
  <c r="M59" i="10"/>
  <c r="E59" i="10"/>
  <c r="Q59" i="10"/>
  <c r="H59" i="10"/>
  <c r="P59" i="10"/>
  <c r="D59" i="10"/>
  <c r="I59" i="10"/>
  <c r="P64" i="10"/>
  <c r="O73" i="10"/>
  <c r="K73" i="10"/>
  <c r="C73" i="10"/>
  <c r="R103" i="10"/>
  <c r="J103" i="10"/>
  <c r="I103" i="10"/>
  <c r="R106" i="10"/>
  <c r="C106" i="10"/>
  <c r="J106" i="10"/>
  <c r="F106" i="10"/>
  <c r="N106" i="10"/>
  <c r="R114" i="10"/>
  <c r="C114" i="10"/>
  <c r="J114" i="10"/>
  <c r="F114" i="10"/>
  <c r="N114" i="10"/>
  <c r="I139" i="10"/>
  <c r="J139" i="10"/>
  <c r="R139" i="10"/>
  <c r="S219" i="9"/>
  <c r="T219" i="9" s="1"/>
  <c r="J219" i="9"/>
  <c r="Q237" i="9"/>
  <c r="I237" i="9"/>
  <c r="L237" i="9" s="1"/>
  <c r="S241" i="9"/>
  <c r="T241" i="9" s="1"/>
  <c r="M241" i="9"/>
  <c r="Q253" i="9"/>
  <c r="I253" i="9"/>
  <c r="L253" i="9" s="1"/>
  <c r="Q254" i="9"/>
  <c r="S257" i="9"/>
  <c r="T257" i="9" s="1"/>
  <c r="M257" i="9"/>
  <c r="Q269" i="9"/>
  <c r="I269" i="9"/>
  <c r="L269" i="9" s="1"/>
  <c r="Q270" i="9"/>
  <c r="T273" i="9"/>
  <c r="T281" i="9"/>
  <c r="L284" i="9"/>
  <c r="J287" i="9"/>
  <c r="I288" i="9"/>
  <c r="M288" i="9" s="1"/>
  <c r="M290" i="9"/>
  <c r="L292" i="9"/>
  <c r="J295" i="9"/>
  <c r="I296" i="9"/>
  <c r="M296" i="9" s="1"/>
  <c r="M298" i="9"/>
  <c r="L300" i="9"/>
  <c r="I304" i="9"/>
  <c r="M304" i="9" s="1"/>
  <c r="T304" i="9"/>
  <c r="I308" i="9"/>
  <c r="M308" i="9" s="1"/>
  <c r="T308" i="9"/>
  <c r="I312" i="9"/>
  <c r="M312" i="9" s="1"/>
  <c r="T312" i="9"/>
  <c r="I316" i="9"/>
  <c r="M316" i="9" s="1"/>
  <c r="I320" i="9"/>
  <c r="M320" i="9" s="1"/>
  <c r="T320" i="9"/>
  <c r="I324" i="9"/>
  <c r="M324" i="9" s="1"/>
  <c r="T324" i="9"/>
  <c r="I328" i="9"/>
  <c r="M328" i="9" s="1"/>
  <c r="T328" i="9"/>
  <c r="I332" i="9"/>
  <c r="M332" i="9" s="1"/>
  <c r="I336" i="9"/>
  <c r="M336" i="9" s="1"/>
  <c r="T336" i="9"/>
  <c r="I340" i="9"/>
  <c r="M340" i="9" s="1"/>
  <c r="T340" i="9"/>
  <c r="I344" i="9"/>
  <c r="M344" i="9" s="1"/>
  <c r="T344" i="9"/>
  <c r="I348" i="9"/>
  <c r="M348" i="9" s="1"/>
  <c r="I352" i="9"/>
  <c r="M352" i="9" s="1"/>
  <c r="T352" i="9"/>
  <c r="I356" i="9"/>
  <c r="M356" i="9" s="1"/>
  <c r="T356" i="9"/>
  <c r="I360" i="9"/>
  <c r="M360" i="9" s="1"/>
  <c r="T360" i="9"/>
  <c r="I364" i="9"/>
  <c r="M364" i="9" s="1"/>
  <c r="I368" i="9"/>
  <c r="M368" i="9" s="1"/>
  <c r="T368" i="9"/>
  <c r="I372" i="9"/>
  <c r="M372" i="9" s="1"/>
  <c r="T372" i="9"/>
  <c r="I376" i="9"/>
  <c r="M376" i="9" s="1"/>
  <c r="T376" i="9"/>
  <c r="I380" i="9"/>
  <c r="M380" i="9" s="1"/>
  <c r="I384" i="9"/>
  <c r="M384" i="9" s="1"/>
  <c r="T384" i="9"/>
  <c r="I388" i="9"/>
  <c r="M388" i="9" s="1"/>
  <c r="T388" i="9"/>
  <c r="I392" i="9"/>
  <c r="M392" i="9" s="1"/>
  <c r="T392" i="9"/>
  <c r="I396" i="9"/>
  <c r="M396" i="9" s="1"/>
  <c r="I400" i="9"/>
  <c r="M400" i="9" s="1"/>
  <c r="T400" i="9"/>
  <c r="C4" i="10"/>
  <c r="K4" i="10"/>
  <c r="Q4" i="10"/>
  <c r="C8" i="10"/>
  <c r="K8" i="10"/>
  <c r="Q8" i="10"/>
  <c r="C10" i="10"/>
  <c r="N10" i="10"/>
  <c r="G12" i="10"/>
  <c r="O12" i="10"/>
  <c r="I14" i="10"/>
  <c r="Q14" i="10"/>
  <c r="D16" i="10"/>
  <c r="K16" i="10"/>
  <c r="Q16" i="10"/>
  <c r="Q18" i="10"/>
  <c r="J18" i="10"/>
  <c r="C18" i="10"/>
  <c r="K18" i="10"/>
  <c r="D19" i="10"/>
  <c r="P19" i="10"/>
  <c r="I22" i="10"/>
  <c r="Q23" i="10"/>
  <c r="I23" i="10"/>
  <c r="N23" i="10"/>
  <c r="R28" i="10"/>
  <c r="P28" i="10"/>
  <c r="K28" i="10"/>
  <c r="E28" i="10"/>
  <c r="Q28" i="10"/>
  <c r="H28" i="10"/>
  <c r="O28" i="10"/>
  <c r="R32" i="10"/>
  <c r="O32" i="10"/>
  <c r="I32" i="10"/>
  <c r="D32" i="10"/>
  <c r="P32" i="10"/>
  <c r="K32" i="10"/>
  <c r="E32" i="10"/>
  <c r="L32" i="10"/>
  <c r="K34" i="10"/>
  <c r="E34" i="10"/>
  <c r="N34" i="10"/>
  <c r="F34" i="10"/>
  <c r="O34" i="10"/>
  <c r="R36" i="10"/>
  <c r="M36" i="10"/>
  <c r="H36" i="10"/>
  <c r="C36" i="10"/>
  <c r="O36" i="10"/>
  <c r="I36" i="10"/>
  <c r="D36" i="10"/>
  <c r="L36" i="10"/>
  <c r="K40" i="10"/>
  <c r="O47" i="10"/>
  <c r="P47" i="10"/>
  <c r="H47" i="10"/>
  <c r="Q47" i="10"/>
  <c r="E47" i="10"/>
  <c r="I47" i="10"/>
  <c r="R52" i="10"/>
  <c r="P52" i="10"/>
  <c r="K52" i="10"/>
  <c r="E52" i="10"/>
  <c r="L52" i="10"/>
  <c r="D52" i="10"/>
  <c r="Q52" i="10"/>
  <c r="I52" i="10"/>
  <c r="C52" i="10"/>
  <c r="M52" i="10"/>
  <c r="G52" i="10"/>
  <c r="L59" i="10"/>
  <c r="R76" i="10"/>
  <c r="M76" i="10"/>
  <c r="H76" i="10"/>
  <c r="C76" i="10"/>
  <c r="L76" i="10"/>
  <c r="E76" i="10"/>
  <c r="Q76" i="10"/>
  <c r="K76" i="10"/>
  <c r="D76" i="10"/>
  <c r="O76" i="10"/>
  <c r="G76" i="10"/>
  <c r="R107" i="10"/>
  <c r="J107" i="10"/>
  <c r="I107" i="10"/>
  <c r="R115" i="10"/>
  <c r="J115" i="10"/>
  <c r="I115" i="10"/>
  <c r="I30" i="10"/>
  <c r="O30" i="10"/>
  <c r="O43" i="10"/>
  <c r="M43" i="10"/>
  <c r="E43" i="10"/>
  <c r="L43" i="10"/>
  <c r="R48" i="10"/>
  <c r="O48" i="10"/>
  <c r="I48" i="10"/>
  <c r="D48" i="10"/>
  <c r="H48" i="10"/>
  <c r="P48" i="10"/>
  <c r="R60" i="10"/>
  <c r="M60" i="10"/>
  <c r="H60" i="10"/>
  <c r="C60" i="10"/>
  <c r="I60" i="10"/>
  <c r="P60" i="10"/>
  <c r="E63" i="10"/>
  <c r="D68" i="10"/>
  <c r="O69" i="10"/>
  <c r="K69" i="10"/>
  <c r="O71" i="10"/>
  <c r="L71" i="10"/>
  <c r="D71" i="10"/>
  <c r="M71" i="10"/>
  <c r="H75" i="10"/>
  <c r="E80" i="10"/>
  <c r="P81" i="10"/>
  <c r="J81" i="10"/>
  <c r="C81" i="10"/>
  <c r="K81" i="10"/>
  <c r="D85" i="10"/>
  <c r="L87" i="10"/>
  <c r="H87" i="10"/>
  <c r="R88" i="10"/>
  <c r="M88" i="10"/>
  <c r="H88" i="10"/>
  <c r="C88" i="10"/>
  <c r="I88" i="10"/>
  <c r="P88" i="10"/>
  <c r="E92" i="10"/>
  <c r="Q94" i="10"/>
  <c r="I94" i="10"/>
  <c r="G98" i="10"/>
  <c r="R100" i="10"/>
  <c r="P100" i="10"/>
  <c r="K100" i="10"/>
  <c r="E100" i="10"/>
  <c r="H100" i="10"/>
  <c r="O100" i="10"/>
  <c r="G101" i="10"/>
  <c r="R104" i="10"/>
  <c r="P104" i="10"/>
  <c r="K104" i="10"/>
  <c r="E104" i="10"/>
  <c r="H104" i="10"/>
  <c r="O104" i="10"/>
  <c r="R108" i="10"/>
  <c r="P108" i="10"/>
  <c r="K108" i="10"/>
  <c r="E108" i="10"/>
  <c r="H108" i="10"/>
  <c r="O108" i="10"/>
  <c r="R112" i="10"/>
  <c r="P112" i="10"/>
  <c r="K112" i="10"/>
  <c r="E112" i="10"/>
  <c r="H112" i="10"/>
  <c r="O112" i="10"/>
  <c r="R116" i="10"/>
  <c r="P116" i="10"/>
  <c r="K116" i="10"/>
  <c r="E116" i="10"/>
  <c r="H116" i="10"/>
  <c r="O116" i="10"/>
  <c r="R120" i="10"/>
  <c r="P120" i="10"/>
  <c r="K120" i="10"/>
  <c r="E120" i="10"/>
  <c r="H120" i="10"/>
  <c r="O120" i="10"/>
  <c r="J122" i="10"/>
  <c r="F122" i="10"/>
  <c r="I123" i="10"/>
  <c r="J123" i="10"/>
  <c r="R128" i="10"/>
  <c r="M128" i="10"/>
  <c r="H128" i="10"/>
  <c r="C128" i="10"/>
  <c r="Q128" i="10"/>
  <c r="K128" i="10"/>
  <c r="D128" i="10"/>
  <c r="L128" i="10"/>
  <c r="R131" i="10"/>
  <c r="J134" i="10"/>
  <c r="N134" i="10"/>
  <c r="I135" i="10"/>
  <c r="R135" i="10"/>
  <c r="E136" i="10"/>
  <c r="R144" i="10"/>
  <c r="M144" i="10"/>
  <c r="H144" i="10"/>
  <c r="C144" i="10"/>
  <c r="Q144" i="10"/>
  <c r="K144" i="10"/>
  <c r="D144" i="10"/>
  <c r="L144" i="10"/>
  <c r="J150" i="10"/>
  <c r="N150" i="10"/>
  <c r="I151" i="10"/>
  <c r="R151" i="10"/>
  <c r="F146" i="11"/>
  <c r="D146" i="11"/>
  <c r="H146" i="11"/>
  <c r="C146" i="11"/>
  <c r="O121" i="12" s="1"/>
  <c r="F62" i="12"/>
  <c r="E62" i="12"/>
  <c r="I62" i="12"/>
  <c r="D62" i="12"/>
  <c r="H62" i="12"/>
  <c r="G62" i="12"/>
  <c r="B62" i="12"/>
  <c r="O49" i="10"/>
  <c r="C49" i="10"/>
  <c r="O63" i="10"/>
  <c r="P63" i="10"/>
  <c r="H63" i="10"/>
  <c r="L63" i="10"/>
  <c r="R68" i="10"/>
  <c r="P68" i="10"/>
  <c r="K68" i="10"/>
  <c r="E68" i="10"/>
  <c r="H68" i="10"/>
  <c r="O68" i="10"/>
  <c r="O75" i="10"/>
  <c r="M75" i="10"/>
  <c r="E75" i="10"/>
  <c r="L75" i="10"/>
  <c r="R80" i="10"/>
  <c r="O80" i="10"/>
  <c r="I80" i="10"/>
  <c r="D80" i="10"/>
  <c r="H80" i="10"/>
  <c r="P80" i="10"/>
  <c r="F81" i="10"/>
  <c r="O81" i="10"/>
  <c r="N85" i="10"/>
  <c r="F85" i="10"/>
  <c r="J85" i="10"/>
  <c r="I86" i="10"/>
  <c r="C86" i="10"/>
  <c r="Q87" i="10"/>
  <c r="E88" i="10"/>
  <c r="L88" i="10"/>
  <c r="Q90" i="10"/>
  <c r="I90" i="10"/>
  <c r="R92" i="10"/>
  <c r="M92" i="10"/>
  <c r="H92" i="10"/>
  <c r="C92" i="10"/>
  <c r="I92" i="10"/>
  <c r="P92" i="10"/>
  <c r="N94" i="10"/>
  <c r="Q99" i="10"/>
  <c r="L99" i="10"/>
  <c r="D100" i="10"/>
  <c r="L100" i="10"/>
  <c r="R101" i="10"/>
  <c r="L101" i="10"/>
  <c r="D101" i="10"/>
  <c r="K101" i="10"/>
  <c r="D104" i="10"/>
  <c r="L104" i="10"/>
  <c r="R105" i="10"/>
  <c r="L105" i="10"/>
  <c r="D105" i="10"/>
  <c r="K105" i="10"/>
  <c r="D108" i="10"/>
  <c r="L108" i="10"/>
  <c r="R109" i="10"/>
  <c r="L109" i="10"/>
  <c r="D109" i="10"/>
  <c r="K109" i="10"/>
  <c r="D112" i="10"/>
  <c r="L112" i="10"/>
  <c r="R113" i="10"/>
  <c r="L113" i="10"/>
  <c r="D113" i="10"/>
  <c r="K113" i="10"/>
  <c r="D116" i="10"/>
  <c r="L116" i="10"/>
  <c r="R117" i="10"/>
  <c r="L117" i="10"/>
  <c r="D117" i="10"/>
  <c r="K117" i="10"/>
  <c r="D120" i="10"/>
  <c r="L120" i="10"/>
  <c r="R121" i="10"/>
  <c r="P121" i="10"/>
  <c r="L121" i="10"/>
  <c r="D121" i="10"/>
  <c r="K121" i="10"/>
  <c r="N122" i="10"/>
  <c r="R124" i="10"/>
  <c r="M124" i="10"/>
  <c r="H124" i="10"/>
  <c r="C124" i="10"/>
  <c r="L124" i="10"/>
  <c r="E124" i="10"/>
  <c r="K124" i="10"/>
  <c r="G128" i="10"/>
  <c r="P128" i="10"/>
  <c r="F134" i="10"/>
  <c r="R136" i="10"/>
  <c r="M136" i="10"/>
  <c r="H136" i="10"/>
  <c r="C136" i="10"/>
  <c r="O136" i="10"/>
  <c r="G136" i="10"/>
  <c r="K136" i="10"/>
  <c r="J142" i="10"/>
  <c r="C142" i="10"/>
  <c r="E144" i="10"/>
  <c r="O144" i="10"/>
  <c r="C150" i="10"/>
  <c r="J151" i="10"/>
  <c r="G71" i="12"/>
  <c r="F71" i="12"/>
  <c r="T272" i="9"/>
  <c r="J11" i="10"/>
  <c r="J15" i="10"/>
  <c r="G20" i="10"/>
  <c r="L20" i="10"/>
  <c r="Q20" i="10"/>
  <c r="G24" i="10"/>
  <c r="L24" i="10"/>
  <c r="Q24" i="10"/>
  <c r="I26" i="10"/>
  <c r="F30" i="10"/>
  <c r="J35" i="10"/>
  <c r="I43" i="10"/>
  <c r="R44" i="10"/>
  <c r="M44" i="10"/>
  <c r="H44" i="10"/>
  <c r="C44" i="10"/>
  <c r="I44" i="10"/>
  <c r="P44" i="10"/>
  <c r="G48" i="10"/>
  <c r="M48" i="10"/>
  <c r="K49" i="10"/>
  <c r="O53" i="10"/>
  <c r="K53" i="10"/>
  <c r="O55" i="10"/>
  <c r="L55" i="10"/>
  <c r="D55" i="10"/>
  <c r="M55" i="10"/>
  <c r="G60" i="10"/>
  <c r="O60" i="10"/>
  <c r="D63" i="10"/>
  <c r="M63" i="10"/>
  <c r="O65" i="10"/>
  <c r="C65" i="10"/>
  <c r="C68" i="10"/>
  <c r="I68" i="10"/>
  <c r="Q68" i="10"/>
  <c r="I71" i="10"/>
  <c r="D75" i="10"/>
  <c r="Q75" i="10"/>
  <c r="R78" i="10"/>
  <c r="C80" i="10"/>
  <c r="K80" i="10"/>
  <c r="Q80" i="10"/>
  <c r="H81" i="10"/>
  <c r="I82" i="10"/>
  <c r="N82" i="10"/>
  <c r="R83" i="10"/>
  <c r="C85" i="10"/>
  <c r="K85" i="10"/>
  <c r="N86" i="10"/>
  <c r="R87" i="10"/>
  <c r="G88" i="10"/>
  <c r="O88" i="10"/>
  <c r="C90" i="10"/>
  <c r="D92" i="10"/>
  <c r="K92" i="10"/>
  <c r="Q92" i="10"/>
  <c r="N97" i="10"/>
  <c r="R97" i="10"/>
  <c r="F98" i="10"/>
  <c r="E99" i="10"/>
  <c r="G100" i="10"/>
  <c r="M100" i="10"/>
  <c r="C101" i="10"/>
  <c r="O101" i="10"/>
  <c r="G104" i="10"/>
  <c r="M104" i="10"/>
  <c r="C105" i="10"/>
  <c r="O105" i="10"/>
  <c r="G108" i="10"/>
  <c r="M108" i="10"/>
  <c r="C109" i="10"/>
  <c r="O109" i="10"/>
  <c r="G112" i="10"/>
  <c r="M112" i="10"/>
  <c r="C113" i="10"/>
  <c r="O113" i="10"/>
  <c r="G116" i="10"/>
  <c r="M116" i="10"/>
  <c r="C117" i="10"/>
  <c r="O117" i="10"/>
  <c r="G120" i="10"/>
  <c r="M120" i="10"/>
  <c r="C121" i="10"/>
  <c r="O121" i="10"/>
  <c r="R122" i="10"/>
  <c r="D124" i="10"/>
  <c r="O124" i="10"/>
  <c r="I128" i="10"/>
  <c r="J131" i="10"/>
  <c r="R134" i="10"/>
  <c r="D136" i="10"/>
  <c r="L136" i="10"/>
  <c r="R140" i="10"/>
  <c r="M140" i="10"/>
  <c r="H140" i="10"/>
  <c r="C140" i="10"/>
  <c r="L140" i="10"/>
  <c r="E140" i="10"/>
  <c r="K140" i="10"/>
  <c r="F142" i="10"/>
  <c r="G144" i="10"/>
  <c r="P144" i="10"/>
  <c r="F150" i="10"/>
  <c r="R152" i="10"/>
  <c r="M152" i="10"/>
  <c r="H152" i="10"/>
  <c r="C152" i="10"/>
  <c r="O152" i="10"/>
  <c r="G152" i="10"/>
  <c r="K152" i="10"/>
  <c r="J39" i="10"/>
  <c r="I51" i="10"/>
  <c r="Q51" i="10"/>
  <c r="G56" i="10"/>
  <c r="L56" i="10"/>
  <c r="Q56" i="10"/>
  <c r="I67" i="10"/>
  <c r="Q67" i="10"/>
  <c r="G72" i="10"/>
  <c r="L72" i="10"/>
  <c r="Q72" i="10"/>
  <c r="H77" i="10"/>
  <c r="G84" i="10"/>
  <c r="L84" i="10"/>
  <c r="Q84" i="10"/>
  <c r="H89" i="10"/>
  <c r="H93" i="10"/>
  <c r="G96" i="10"/>
  <c r="L96" i="10"/>
  <c r="Q96" i="10"/>
  <c r="R130" i="10"/>
  <c r="R132" i="10"/>
  <c r="M132" i="10"/>
  <c r="H132" i="10"/>
  <c r="C132" i="10"/>
  <c r="I132" i="10"/>
  <c r="P132" i="10"/>
  <c r="R146" i="10"/>
  <c r="R148" i="10"/>
  <c r="M148" i="10"/>
  <c r="H148" i="10"/>
  <c r="C148" i="10"/>
  <c r="I148" i="10"/>
  <c r="P148" i="10"/>
  <c r="N49" i="12"/>
  <c r="G74" i="11"/>
  <c r="H125" i="10"/>
  <c r="P125" i="10"/>
  <c r="H129" i="10"/>
  <c r="P129" i="10"/>
  <c r="H133" i="10"/>
  <c r="P133" i="10"/>
  <c r="H137" i="10"/>
  <c r="P137" i="10"/>
  <c r="H141" i="10"/>
  <c r="P141" i="10"/>
  <c r="H145" i="10"/>
  <c r="P145" i="10"/>
  <c r="H149" i="10"/>
  <c r="P149" i="10"/>
  <c r="H153" i="10"/>
  <c r="P153" i="10"/>
  <c r="D148" i="11"/>
  <c r="C148" i="11"/>
  <c r="O123" i="12" s="1"/>
  <c r="F72" i="12"/>
  <c r="E72" i="12"/>
  <c r="I72" i="12"/>
  <c r="D72" i="12"/>
  <c r="E79" i="12"/>
  <c r="D79" i="12"/>
  <c r="F82" i="12"/>
  <c r="E82" i="12"/>
  <c r="F148" i="11"/>
  <c r="D150" i="11"/>
  <c r="C150" i="11"/>
  <c r="O125" i="12" s="1"/>
  <c r="F61" i="12"/>
  <c r="I61" i="12"/>
  <c r="E61" i="12"/>
  <c r="F67" i="12"/>
  <c r="D67" i="12"/>
  <c r="B67" i="12"/>
  <c r="B72" i="12"/>
  <c r="F75" i="12"/>
  <c r="E75" i="12"/>
  <c r="F79" i="12"/>
  <c r="F93" i="12"/>
  <c r="I93" i="12"/>
  <c r="D93" i="12"/>
  <c r="H93" i="12"/>
  <c r="B93" i="12"/>
  <c r="D94" i="12"/>
  <c r="B94" i="12"/>
  <c r="F97" i="12"/>
  <c r="E97" i="12"/>
  <c r="I97" i="12"/>
  <c r="D97" i="12"/>
  <c r="H14" i="14"/>
  <c r="E29" i="14"/>
  <c r="F29" i="14" s="1"/>
  <c r="G147" i="11"/>
  <c r="C147" i="11"/>
  <c r="O122" i="12" s="1"/>
  <c r="H148" i="11"/>
  <c r="G72" i="12"/>
  <c r="F76" i="12"/>
  <c r="E76" i="12"/>
  <c r="I76" i="12"/>
  <c r="D76" i="12"/>
  <c r="I79" i="12"/>
  <c r="B97" i="12"/>
  <c r="G66" i="12"/>
  <c r="G70" i="12"/>
  <c r="G85" i="12"/>
  <c r="G89" i="12"/>
  <c r="I99" i="12"/>
  <c r="F22" i="14"/>
  <c r="E32" i="14" s="1"/>
  <c r="F32" i="14" s="1"/>
  <c r="C149" i="11"/>
  <c r="O124" i="12" s="1"/>
  <c r="D65" i="12"/>
  <c r="B66" i="12"/>
  <c r="H66" i="12"/>
  <c r="D69" i="12"/>
  <c r="B70" i="12"/>
  <c r="H70" i="12"/>
  <c r="G80" i="12"/>
  <c r="B85" i="12"/>
  <c r="H85" i="12"/>
  <c r="B89" i="12"/>
  <c r="H89" i="12"/>
  <c r="K8" i="4"/>
  <c r="K12" i="4"/>
  <c r="K24" i="4"/>
  <c r="K28" i="4"/>
  <c r="K36" i="4"/>
  <c r="K40" i="4"/>
  <c r="K44" i="4"/>
  <c r="K48" i="4"/>
  <c r="K68" i="4"/>
  <c r="K72" i="4"/>
  <c r="W5" i="5"/>
  <c r="W6" i="5"/>
  <c r="K6" i="5"/>
  <c r="O6" i="5" s="1"/>
  <c r="T7" i="5"/>
  <c r="M7" i="5"/>
  <c r="W9" i="5"/>
  <c r="W10" i="5"/>
  <c r="K10" i="5"/>
  <c r="O10" i="5" s="1"/>
  <c r="T11" i="5"/>
  <c r="M11" i="5"/>
  <c r="W11" i="5"/>
  <c r="W14" i="5"/>
  <c r="K14" i="5"/>
  <c r="P14" i="5" s="1"/>
  <c r="V14" i="5"/>
  <c r="T19" i="5"/>
  <c r="M19" i="5"/>
  <c r="W19" i="5"/>
  <c r="K19" i="5"/>
  <c r="P19" i="5" s="1"/>
  <c r="W22" i="5"/>
  <c r="K22" i="5"/>
  <c r="P22" i="5" s="1"/>
  <c r="V22" i="5"/>
  <c r="T27" i="5"/>
  <c r="M27" i="5"/>
  <c r="W27" i="5"/>
  <c r="K27" i="5"/>
  <c r="P27" i="5" s="1"/>
  <c r="W30" i="5"/>
  <c r="K30" i="5"/>
  <c r="P30" i="5" s="1"/>
  <c r="V30" i="5"/>
  <c r="X30" i="5" s="1"/>
  <c r="T35" i="5"/>
  <c r="M35" i="5"/>
  <c r="W35" i="5"/>
  <c r="K35" i="5"/>
  <c r="P35" i="5" s="1"/>
  <c r="W38" i="5"/>
  <c r="K38" i="5"/>
  <c r="V38" i="5"/>
  <c r="P38" i="5"/>
  <c r="T43" i="5"/>
  <c r="M43" i="5"/>
  <c r="W43" i="5"/>
  <c r="K43" i="5"/>
  <c r="P43" i="5" s="1"/>
  <c r="W46" i="5"/>
  <c r="K46" i="5"/>
  <c r="P46" i="5" s="1"/>
  <c r="V46" i="5"/>
  <c r="T51" i="5"/>
  <c r="M51" i="5"/>
  <c r="W51" i="5"/>
  <c r="K51" i="5"/>
  <c r="P51" i="5" s="1"/>
  <c r="W54" i="5"/>
  <c r="K54" i="5"/>
  <c r="P54" i="5" s="1"/>
  <c r="V54" i="5"/>
  <c r="T59" i="5"/>
  <c r="M59" i="5"/>
  <c r="W59" i="5"/>
  <c r="K59" i="5"/>
  <c r="P59" i="5" s="1"/>
  <c r="W62" i="5"/>
  <c r="K62" i="5"/>
  <c r="P62" i="5" s="1"/>
  <c r="V62" i="5"/>
  <c r="T67" i="5"/>
  <c r="M67" i="5"/>
  <c r="W67" i="5"/>
  <c r="K67" i="5"/>
  <c r="P67" i="5" s="1"/>
  <c r="W70" i="5"/>
  <c r="K70" i="5"/>
  <c r="P70" i="5" s="1"/>
  <c r="V70" i="5"/>
  <c r="T75" i="5"/>
  <c r="M75" i="5"/>
  <c r="W75" i="5"/>
  <c r="K75" i="5"/>
  <c r="P75" i="5" s="1"/>
  <c r="W78" i="5"/>
  <c r="K78" i="5"/>
  <c r="P78" i="5" s="1"/>
  <c r="V78" i="5"/>
  <c r="T83" i="5"/>
  <c r="M83" i="5"/>
  <c r="W83" i="5"/>
  <c r="K83" i="5"/>
  <c r="P83" i="5" s="1"/>
  <c r="W86" i="5"/>
  <c r="K86" i="5"/>
  <c r="P86" i="5" s="1"/>
  <c r="V86" i="5"/>
  <c r="X86" i="5" s="1"/>
  <c r="T91" i="5"/>
  <c r="M91" i="5"/>
  <c r="W91" i="5"/>
  <c r="K91" i="5"/>
  <c r="P91" i="5" s="1"/>
  <c r="W94" i="5"/>
  <c r="K94" i="5"/>
  <c r="V94" i="5"/>
  <c r="X94" i="5" s="1"/>
  <c r="P94" i="5"/>
  <c r="T99" i="5"/>
  <c r="M99" i="5"/>
  <c r="W99" i="5"/>
  <c r="K99" i="5"/>
  <c r="P99" i="5" s="1"/>
  <c r="W102" i="5"/>
  <c r="K102" i="5"/>
  <c r="V102" i="5"/>
  <c r="P102" i="5"/>
  <c r="T107" i="5"/>
  <c r="M107" i="5"/>
  <c r="W107" i="5"/>
  <c r="K107" i="5"/>
  <c r="P107" i="5" s="1"/>
  <c r="W110" i="5"/>
  <c r="K110" i="5"/>
  <c r="P110" i="5" s="1"/>
  <c r="V110" i="5"/>
  <c r="T115" i="5"/>
  <c r="M115" i="5"/>
  <c r="W115" i="5"/>
  <c r="K115" i="5"/>
  <c r="P115" i="5" s="1"/>
  <c r="W118" i="5"/>
  <c r="K118" i="5"/>
  <c r="O118" i="5" s="1"/>
  <c r="V118" i="5"/>
  <c r="X123" i="5"/>
  <c r="T123" i="5"/>
  <c r="M123" i="5"/>
  <c r="W123" i="5"/>
  <c r="K123" i="5"/>
  <c r="W126" i="5"/>
  <c r="K126" i="5"/>
  <c r="O126" i="5" s="1"/>
  <c r="V126" i="5"/>
  <c r="X126" i="5" s="1"/>
  <c r="P126" i="5"/>
  <c r="X131" i="5"/>
  <c r="T131" i="5"/>
  <c r="M131" i="5"/>
  <c r="W131" i="5"/>
  <c r="K131" i="5"/>
  <c r="W134" i="5"/>
  <c r="K134" i="5"/>
  <c r="O134" i="5" s="1"/>
  <c r="V134" i="5"/>
  <c r="X134" i="5" s="1"/>
  <c r="P134" i="5"/>
  <c r="X139" i="5"/>
  <c r="T139" i="5"/>
  <c r="M139" i="5"/>
  <c r="W139" i="5"/>
  <c r="K139" i="5"/>
  <c r="W142" i="5"/>
  <c r="K142" i="5"/>
  <c r="O142" i="5" s="1"/>
  <c r="V142" i="5"/>
  <c r="X142" i="5" s="1"/>
  <c r="X147" i="5"/>
  <c r="T147" i="5"/>
  <c r="M147" i="5"/>
  <c r="W147" i="5"/>
  <c r="K147" i="5"/>
  <c r="W150" i="5"/>
  <c r="K150" i="5"/>
  <c r="O150" i="5" s="1"/>
  <c r="V150" i="5"/>
  <c r="X150" i="5" s="1"/>
  <c r="X155" i="5"/>
  <c r="T155" i="5"/>
  <c r="M155" i="5"/>
  <c r="W155" i="5"/>
  <c r="K155" i="5"/>
  <c r="W158" i="5"/>
  <c r="K158" i="5"/>
  <c r="O158" i="5" s="1"/>
  <c r="V158" i="5"/>
  <c r="X158" i="5" s="1"/>
  <c r="X163" i="5"/>
  <c r="T163" i="5"/>
  <c r="M163" i="5"/>
  <c r="W163" i="5"/>
  <c r="K163" i="5"/>
  <c r="W166" i="5"/>
  <c r="K166" i="5"/>
  <c r="O166" i="5" s="1"/>
  <c r="V166" i="5"/>
  <c r="X166" i="5" s="1"/>
  <c r="T174" i="5"/>
  <c r="M174" i="5"/>
  <c r="W174" i="5"/>
  <c r="K174" i="5"/>
  <c r="O174" i="5" s="1"/>
  <c r="V174" i="5"/>
  <c r="X174" i="5" s="1"/>
  <c r="P174" i="5"/>
  <c r="X175" i="5"/>
  <c r="P180" i="5"/>
  <c r="O180" i="5"/>
  <c r="T190" i="5"/>
  <c r="M190" i="5"/>
  <c r="W190" i="5"/>
  <c r="K190" i="5"/>
  <c r="O190" i="5" s="1"/>
  <c r="V190" i="5"/>
  <c r="X190" i="5" s="1"/>
  <c r="X191" i="5"/>
  <c r="P196" i="5"/>
  <c r="O196" i="5"/>
  <c r="T206" i="5"/>
  <c r="M206" i="5"/>
  <c r="W206" i="5"/>
  <c r="K206" i="5"/>
  <c r="O206" i="5" s="1"/>
  <c r="V206" i="5"/>
  <c r="X206" i="5" s="1"/>
  <c r="X207" i="5"/>
  <c r="P212" i="5"/>
  <c r="O212" i="5"/>
  <c r="L4" i="4"/>
  <c r="R4" i="4"/>
  <c r="P6" i="4"/>
  <c r="L8" i="4"/>
  <c r="R8" i="4"/>
  <c r="P10" i="4"/>
  <c r="L12" i="4"/>
  <c r="R12" i="4"/>
  <c r="P14" i="4"/>
  <c r="L16" i="4"/>
  <c r="R16" i="4"/>
  <c r="P18" i="4"/>
  <c r="L20" i="4"/>
  <c r="R20" i="4"/>
  <c r="P22" i="4"/>
  <c r="L24" i="4"/>
  <c r="R24" i="4"/>
  <c r="P26" i="4"/>
  <c r="L28" i="4"/>
  <c r="R28" i="4"/>
  <c r="P30" i="4"/>
  <c r="L32" i="4"/>
  <c r="R32" i="4"/>
  <c r="P34" i="4"/>
  <c r="L36" i="4"/>
  <c r="R36" i="4"/>
  <c r="P38" i="4"/>
  <c r="L40" i="4"/>
  <c r="R40" i="4"/>
  <c r="P42" i="4"/>
  <c r="L44" i="4"/>
  <c r="R44" i="4"/>
  <c r="P46" i="4"/>
  <c r="L48" i="4"/>
  <c r="R48" i="4"/>
  <c r="P50" i="4"/>
  <c r="L52" i="4"/>
  <c r="R52" i="4"/>
  <c r="P54" i="4"/>
  <c r="L56" i="4"/>
  <c r="R56" i="4"/>
  <c r="P58" i="4"/>
  <c r="L60" i="4"/>
  <c r="R60" i="4"/>
  <c r="P62" i="4"/>
  <c r="L64" i="4"/>
  <c r="R64" i="4"/>
  <c r="P66" i="4"/>
  <c r="L68" i="4"/>
  <c r="R68" i="4"/>
  <c r="P70" i="4"/>
  <c r="L72" i="4"/>
  <c r="R72" i="4"/>
  <c r="P74" i="4"/>
  <c r="L76" i="4"/>
  <c r="R76" i="4"/>
  <c r="P78" i="4"/>
  <c r="L80" i="4"/>
  <c r="R80" i="4"/>
  <c r="P82" i="4"/>
  <c r="L84" i="4"/>
  <c r="R84" i="4"/>
  <c r="P86" i="4"/>
  <c r="L88" i="4"/>
  <c r="R88" i="4"/>
  <c r="P90" i="4"/>
  <c r="L92" i="4"/>
  <c r="R92" i="4"/>
  <c r="P94" i="4"/>
  <c r="L96" i="4"/>
  <c r="R96" i="4"/>
  <c r="P98" i="4"/>
  <c r="L100" i="4"/>
  <c r="R100" i="4"/>
  <c r="P102" i="4"/>
  <c r="L104" i="4"/>
  <c r="R104" i="4"/>
  <c r="P106" i="4"/>
  <c r="L108" i="4"/>
  <c r="R108" i="4"/>
  <c r="P110" i="4"/>
  <c r="L112" i="4"/>
  <c r="R112" i="4"/>
  <c r="P114" i="4"/>
  <c r="L116" i="4"/>
  <c r="R116" i="4"/>
  <c r="P118" i="4"/>
  <c r="L120" i="4"/>
  <c r="R120" i="4"/>
  <c r="P122" i="4"/>
  <c r="L124" i="4"/>
  <c r="R124" i="4"/>
  <c r="P126" i="4"/>
  <c r="L128" i="4"/>
  <c r="R128" i="4"/>
  <c r="P130" i="4"/>
  <c r="L132" i="4"/>
  <c r="R132" i="4"/>
  <c r="P134" i="4"/>
  <c r="L136" i="4"/>
  <c r="R136" i="4"/>
  <c r="P138" i="4"/>
  <c r="L140" i="4"/>
  <c r="R140" i="4"/>
  <c r="P142" i="4"/>
  <c r="L144" i="4"/>
  <c r="R144" i="4"/>
  <c r="P146" i="4"/>
  <c r="L148" i="4"/>
  <c r="R148" i="4"/>
  <c r="P150" i="4"/>
  <c r="L152" i="4"/>
  <c r="R152" i="4"/>
  <c r="P154" i="4"/>
  <c r="L156" i="4"/>
  <c r="R156" i="4"/>
  <c r="P158" i="4"/>
  <c r="L160" i="4"/>
  <c r="R160" i="4"/>
  <c r="P162" i="4"/>
  <c r="L164" i="4"/>
  <c r="R164" i="4"/>
  <c r="P166" i="4"/>
  <c r="L168" i="4"/>
  <c r="R168" i="4"/>
  <c r="P170" i="4"/>
  <c r="L172" i="4"/>
  <c r="R172" i="4"/>
  <c r="P174" i="4"/>
  <c r="L176" i="4"/>
  <c r="R176" i="4"/>
  <c r="P178" i="4"/>
  <c r="L180" i="4"/>
  <c r="R180" i="4"/>
  <c r="P182" i="4"/>
  <c r="L184" i="4"/>
  <c r="R184" i="4"/>
  <c r="P186" i="4"/>
  <c r="L188" i="4"/>
  <c r="R188" i="4"/>
  <c r="P190" i="4"/>
  <c r="L192" i="4"/>
  <c r="R192" i="4"/>
  <c r="P194" i="4"/>
  <c r="L196" i="4"/>
  <c r="R196" i="4"/>
  <c r="P198" i="4"/>
  <c r="L200" i="4"/>
  <c r="R200" i="4"/>
  <c r="P202" i="4"/>
  <c r="L204" i="4"/>
  <c r="R204" i="4"/>
  <c r="P206" i="4"/>
  <c r="L208" i="4"/>
  <c r="R208" i="4"/>
  <c r="P210" i="4"/>
  <c r="L212" i="4"/>
  <c r="R212" i="4"/>
  <c r="P214" i="4"/>
  <c r="L216" i="4"/>
  <c r="R216" i="4"/>
  <c r="P218" i="4"/>
  <c r="L220" i="4"/>
  <c r="R220" i="4"/>
  <c r="P222" i="4"/>
  <c r="L224" i="4"/>
  <c r="R224" i="4"/>
  <c r="P226" i="4"/>
  <c r="L228" i="4"/>
  <c r="R228" i="4"/>
  <c r="P230" i="4"/>
  <c r="L232" i="4"/>
  <c r="R232" i="4"/>
  <c r="P234" i="4"/>
  <c r="L236" i="4"/>
  <c r="R236" i="4"/>
  <c r="P238" i="4"/>
  <c r="L240" i="4"/>
  <c r="R240" i="4"/>
  <c r="P242" i="4"/>
  <c r="L244" i="4"/>
  <c r="R244" i="4"/>
  <c r="P246" i="4"/>
  <c r="L248" i="4"/>
  <c r="R248" i="4"/>
  <c r="P250" i="4"/>
  <c r="L252" i="4"/>
  <c r="R252" i="4"/>
  <c r="P254" i="4"/>
  <c r="L256" i="4"/>
  <c r="R256" i="4"/>
  <c r="P258" i="4"/>
  <c r="L260" i="4"/>
  <c r="R260" i="4"/>
  <c r="P262" i="4"/>
  <c r="L264" i="4"/>
  <c r="R264" i="4"/>
  <c r="P266" i="4"/>
  <c r="L268" i="4"/>
  <c r="R268" i="4"/>
  <c r="P270" i="4"/>
  <c r="L272" i="4"/>
  <c r="R272" i="4"/>
  <c r="P274" i="4"/>
  <c r="L276" i="4"/>
  <c r="R276" i="4"/>
  <c r="P278" i="4"/>
  <c r="L280" i="4"/>
  <c r="R280" i="4"/>
  <c r="P282" i="4"/>
  <c r="L284" i="4"/>
  <c r="R284" i="4"/>
  <c r="P286" i="4"/>
  <c r="L288" i="4"/>
  <c r="R288" i="4"/>
  <c r="P290" i="4"/>
  <c r="L292" i="4"/>
  <c r="R292" i="4"/>
  <c r="P294" i="4"/>
  <c r="L300" i="4"/>
  <c r="R300" i="4"/>
  <c r="P6" i="5"/>
  <c r="V6" i="5"/>
  <c r="X6" i="5" s="1"/>
  <c r="O7" i="5"/>
  <c r="V7" i="5"/>
  <c r="X7" i="5" s="1"/>
  <c r="V10" i="5"/>
  <c r="X10" i="5" s="1"/>
  <c r="O11" i="5"/>
  <c r="V11" i="5"/>
  <c r="X11" i="5" s="1"/>
  <c r="P12" i="5"/>
  <c r="O14" i="5"/>
  <c r="X14" i="5"/>
  <c r="O19" i="5"/>
  <c r="V19" i="5"/>
  <c r="X19" i="5" s="1"/>
  <c r="P20" i="5"/>
  <c r="O22" i="5"/>
  <c r="X22" i="5"/>
  <c r="O27" i="5"/>
  <c r="V27" i="5"/>
  <c r="X27" i="5" s="1"/>
  <c r="P28" i="5"/>
  <c r="O35" i="5"/>
  <c r="V35" i="5"/>
  <c r="X35" i="5" s="1"/>
  <c r="P36" i="5"/>
  <c r="O38" i="5"/>
  <c r="X38" i="5"/>
  <c r="O43" i="5"/>
  <c r="V43" i="5"/>
  <c r="X43" i="5" s="1"/>
  <c r="P44" i="5"/>
  <c r="O46" i="5"/>
  <c r="X46" i="5"/>
  <c r="V51" i="5"/>
  <c r="X51" i="5" s="1"/>
  <c r="P52" i="5"/>
  <c r="O54" i="5"/>
  <c r="X54" i="5"/>
  <c r="O59" i="5"/>
  <c r="V59" i="5"/>
  <c r="X59" i="5" s="1"/>
  <c r="P60" i="5"/>
  <c r="X62" i="5"/>
  <c r="O67" i="5"/>
  <c r="V67" i="5"/>
  <c r="X67" i="5" s="1"/>
  <c r="P68" i="5"/>
  <c r="X70" i="5"/>
  <c r="O75" i="5"/>
  <c r="V75" i="5"/>
  <c r="X75" i="5" s="1"/>
  <c r="P76" i="5"/>
  <c r="O78" i="5"/>
  <c r="X78" i="5"/>
  <c r="O83" i="5"/>
  <c r="V83" i="5"/>
  <c r="X83" i="5" s="1"/>
  <c r="P84" i="5"/>
  <c r="O86" i="5"/>
  <c r="V91" i="5"/>
  <c r="X91" i="5" s="1"/>
  <c r="P92" i="5"/>
  <c r="O94" i="5"/>
  <c r="O99" i="5"/>
  <c r="V99" i="5"/>
  <c r="X99" i="5" s="1"/>
  <c r="P100" i="5"/>
  <c r="O102" i="5"/>
  <c r="X102" i="5"/>
  <c r="O107" i="5"/>
  <c r="V107" i="5"/>
  <c r="X107" i="5" s="1"/>
  <c r="P108" i="5"/>
  <c r="O110" i="5"/>
  <c r="X110" i="5"/>
  <c r="V115" i="5"/>
  <c r="X115" i="5" s="1"/>
  <c r="P116" i="5"/>
  <c r="X118" i="5"/>
  <c r="P124" i="5"/>
  <c r="P132" i="5"/>
  <c r="P140" i="5"/>
  <c r="P148" i="5"/>
  <c r="P156" i="5"/>
  <c r="P164" i="5"/>
  <c r="P168" i="5"/>
  <c r="O168" i="5"/>
  <c r="T178" i="5"/>
  <c r="M178" i="5"/>
  <c r="W178" i="5"/>
  <c r="K178" i="5"/>
  <c r="O178" i="5" s="1"/>
  <c r="V178" i="5"/>
  <c r="X178" i="5" s="1"/>
  <c r="X179" i="5"/>
  <c r="P184" i="5"/>
  <c r="O184" i="5"/>
  <c r="T194" i="5"/>
  <c r="M194" i="5"/>
  <c r="W194" i="5"/>
  <c r="K194" i="5"/>
  <c r="O194" i="5" s="1"/>
  <c r="V194" i="5"/>
  <c r="X194" i="5" s="1"/>
  <c r="X195" i="5"/>
  <c r="P200" i="5"/>
  <c r="O200" i="5"/>
  <c r="T210" i="5"/>
  <c r="M210" i="5"/>
  <c r="W210" i="5"/>
  <c r="K210" i="5"/>
  <c r="O210" i="5" s="1"/>
  <c r="V210" i="5"/>
  <c r="X210" i="5" s="1"/>
  <c r="P210" i="5"/>
  <c r="P216" i="5"/>
  <c r="O216" i="5"/>
  <c r="K16" i="4"/>
  <c r="K20" i="4"/>
  <c r="K76" i="4"/>
  <c r="K80" i="4"/>
  <c r="K50" i="4"/>
  <c r="K66" i="4"/>
  <c r="K82" i="4"/>
  <c r="K114" i="4"/>
  <c r="K122" i="4"/>
  <c r="K138" i="4"/>
  <c r="K154" i="4"/>
  <c r="K166" i="4"/>
  <c r="K170" i="4"/>
  <c r="K178" i="4"/>
  <c r="K194" i="4"/>
  <c r="K242" i="4"/>
  <c r="K250" i="4"/>
  <c r="K266" i="4"/>
  <c r="R299" i="4"/>
  <c r="L299" i="4"/>
  <c r="K5" i="5"/>
  <c r="K9" i="5"/>
  <c r="O9" i="5" s="1"/>
  <c r="X15" i="5"/>
  <c r="T15" i="5"/>
  <c r="M15" i="5"/>
  <c r="W15" i="5"/>
  <c r="K15" i="5"/>
  <c r="O15" i="5" s="1"/>
  <c r="W18" i="5"/>
  <c r="K18" i="5"/>
  <c r="O18" i="5" s="1"/>
  <c r="V18" i="5"/>
  <c r="X18" i="5" s="1"/>
  <c r="X23" i="5"/>
  <c r="T23" i="5"/>
  <c r="M23" i="5"/>
  <c r="W23" i="5"/>
  <c r="K23" i="5"/>
  <c r="O23" i="5" s="1"/>
  <c r="W26" i="5"/>
  <c r="K26" i="5"/>
  <c r="O26" i="5" s="1"/>
  <c r="V26" i="5"/>
  <c r="X26" i="5" s="1"/>
  <c r="X31" i="5"/>
  <c r="T31" i="5"/>
  <c r="M31" i="5"/>
  <c r="W31" i="5"/>
  <c r="K31" i="5"/>
  <c r="O31" i="5" s="1"/>
  <c r="W34" i="5"/>
  <c r="K34" i="5"/>
  <c r="O34" i="5" s="1"/>
  <c r="V34" i="5"/>
  <c r="X34" i="5" s="1"/>
  <c r="X39" i="5"/>
  <c r="T39" i="5"/>
  <c r="M39" i="5"/>
  <c r="W39" i="5"/>
  <c r="K39" i="5"/>
  <c r="O39" i="5" s="1"/>
  <c r="W42" i="5"/>
  <c r="K42" i="5"/>
  <c r="O42" i="5" s="1"/>
  <c r="V42" i="5"/>
  <c r="X42" i="5" s="1"/>
  <c r="X47" i="5"/>
  <c r="T47" i="5"/>
  <c r="M47" i="5"/>
  <c r="W47" i="5"/>
  <c r="K47" i="5"/>
  <c r="O47" i="5" s="1"/>
  <c r="W50" i="5"/>
  <c r="K50" i="5"/>
  <c r="O50" i="5" s="1"/>
  <c r="V50" i="5"/>
  <c r="X50" i="5" s="1"/>
  <c r="X55" i="5"/>
  <c r="T55" i="5"/>
  <c r="M55" i="5"/>
  <c r="W55" i="5"/>
  <c r="K55" i="5"/>
  <c r="O55" i="5" s="1"/>
  <c r="W58" i="5"/>
  <c r="K58" i="5"/>
  <c r="O58" i="5" s="1"/>
  <c r="V58" i="5"/>
  <c r="X58" i="5" s="1"/>
  <c r="P58" i="5"/>
  <c r="X63" i="5"/>
  <c r="T63" i="5"/>
  <c r="M63" i="5"/>
  <c r="W63" i="5"/>
  <c r="K63" i="5"/>
  <c r="O63" i="5" s="1"/>
  <c r="W66" i="5"/>
  <c r="K66" i="5"/>
  <c r="O66" i="5" s="1"/>
  <c r="V66" i="5"/>
  <c r="X66" i="5" s="1"/>
  <c r="P66" i="5"/>
  <c r="X71" i="5"/>
  <c r="T71" i="5"/>
  <c r="M71" i="5"/>
  <c r="W71" i="5"/>
  <c r="K71" i="5"/>
  <c r="O71" i="5" s="1"/>
  <c r="W74" i="5"/>
  <c r="K74" i="5"/>
  <c r="O74" i="5" s="1"/>
  <c r="V74" i="5"/>
  <c r="X74" i="5" s="1"/>
  <c r="X79" i="5"/>
  <c r="T79" i="5"/>
  <c r="M79" i="5"/>
  <c r="W79" i="5"/>
  <c r="K79" i="5"/>
  <c r="O79" i="5" s="1"/>
  <c r="W82" i="5"/>
  <c r="K82" i="5"/>
  <c r="O82" i="5" s="1"/>
  <c r="V82" i="5"/>
  <c r="X82" i="5" s="1"/>
  <c r="X87" i="5"/>
  <c r="T87" i="5"/>
  <c r="M87" i="5"/>
  <c r="W87" i="5"/>
  <c r="K87" i="5"/>
  <c r="O87" i="5" s="1"/>
  <c r="W90" i="5"/>
  <c r="K90" i="5"/>
  <c r="O90" i="5" s="1"/>
  <c r="V90" i="5"/>
  <c r="X90" i="5" s="1"/>
  <c r="X95" i="5"/>
  <c r="T95" i="5"/>
  <c r="M95" i="5"/>
  <c r="W95" i="5"/>
  <c r="K95" i="5"/>
  <c r="O95" i="5" s="1"/>
  <c r="W98" i="5"/>
  <c r="K98" i="5"/>
  <c r="O98" i="5" s="1"/>
  <c r="V98" i="5"/>
  <c r="X98" i="5" s="1"/>
  <c r="X103" i="5"/>
  <c r="T103" i="5"/>
  <c r="M103" i="5"/>
  <c r="W103" i="5"/>
  <c r="K103" i="5"/>
  <c r="O103" i="5" s="1"/>
  <c r="W106" i="5"/>
  <c r="K106" i="5"/>
  <c r="O106" i="5" s="1"/>
  <c r="V106" i="5"/>
  <c r="X106" i="5" s="1"/>
  <c r="X111" i="5"/>
  <c r="T111" i="5"/>
  <c r="M111" i="5"/>
  <c r="W111" i="5"/>
  <c r="K111" i="5"/>
  <c r="O111" i="5" s="1"/>
  <c r="W114" i="5"/>
  <c r="K114" i="5"/>
  <c r="O114" i="5" s="1"/>
  <c r="V114" i="5"/>
  <c r="X114" i="5" s="1"/>
  <c r="X119" i="5"/>
  <c r="T119" i="5"/>
  <c r="M119" i="5"/>
  <c r="W119" i="5"/>
  <c r="K119" i="5"/>
  <c r="O119" i="5" s="1"/>
  <c r="W122" i="5"/>
  <c r="K122" i="5"/>
  <c r="O122" i="5" s="1"/>
  <c r="V122" i="5"/>
  <c r="X122" i="5" s="1"/>
  <c r="P122" i="5"/>
  <c r="X127" i="5"/>
  <c r="T127" i="5"/>
  <c r="M127" i="5"/>
  <c r="W127" i="5"/>
  <c r="K127" i="5"/>
  <c r="O127" i="5" s="1"/>
  <c r="W130" i="5"/>
  <c r="K130" i="5"/>
  <c r="O130" i="5" s="1"/>
  <c r="V130" i="5"/>
  <c r="X130" i="5" s="1"/>
  <c r="P130" i="5"/>
  <c r="X135" i="5"/>
  <c r="T135" i="5"/>
  <c r="M135" i="5"/>
  <c r="W135" i="5"/>
  <c r="K135" i="5"/>
  <c r="O135" i="5" s="1"/>
  <c r="W138" i="5"/>
  <c r="K138" i="5"/>
  <c r="O138" i="5" s="1"/>
  <c r="V138" i="5"/>
  <c r="X138" i="5" s="1"/>
  <c r="X143" i="5"/>
  <c r="T143" i="5"/>
  <c r="M143" i="5"/>
  <c r="W143" i="5"/>
  <c r="K143" i="5"/>
  <c r="O143" i="5" s="1"/>
  <c r="W146" i="5"/>
  <c r="K146" i="5"/>
  <c r="O146" i="5" s="1"/>
  <c r="V146" i="5"/>
  <c r="X146" i="5" s="1"/>
  <c r="X151" i="5"/>
  <c r="T151" i="5"/>
  <c r="M151" i="5"/>
  <c r="W151" i="5"/>
  <c r="K151" i="5"/>
  <c r="O151" i="5" s="1"/>
  <c r="W154" i="5"/>
  <c r="K154" i="5"/>
  <c r="O154" i="5" s="1"/>
  <c r="V154" i="5"/>
  <c r="X154" i="5" s="1"/>
  <c r="X159" i="5"/>
  <c r="T159" i="5"/>
  <c r="M159" i="5"/>
  <c r="W159" i="5"/>
  <c r="K159" i="5"/>
  <c r="O159" i="5" s="1"/>
  <c r="W162" i="5"/>
  <c r="K162" i="5"/>
  <c r="O162" i="5" s="1"/>
  <c r="V162" i="5"/>
  <c r="X162" i="5" s="1"/>
  <c r="X167" i="5"/>
  <c r="P172" i="5"/>
  <c r="O172" i="5"/>
  <c r="T182" i="5"/>
  <c r="M182" i="5"/>
  <c r="W182" i="5"/>
  <c r="K182" i="5"/>
  <c r="O182" i="5" s="1"/>
  <c r="V182" i="5"/>
  <c r="X182" i="5" s="1"/>
  <c r="X183" i="5"/>
  <c r="P188" i="5"/>
  <c r="O188" i="5"/>
  <c r="T198" i="5"/>
  <c r="M198" i="5"/>
  <c r="W198" i="5"/>
  <c r="K198" i="5"/>
  <c r="O198" i="5" s="1"/>
  <c r="V198" i="5"/>
  <c r="X198" i="5" s="1"/>
  <c r="P198" i="5"/>
  <c r="X199" i="5"/>
  <c r="P204" i="5"/>
  <c r="O204" i="5"/>
  <c r="X214" i="5"/>
  <c r="T214" i="5"/>
  <c r="M214" i="5"/>
  <c r="W214" i="5"/>
  <c r="K214" i="5"/>
  <c r="P214" i="5" s="1"/>
  <c r="V214" i="5"/>
  <c r="X215" i="5"/>
  <c r="K4" i="4"/>
  <c r="K32" i="4"/>
  <c r="K52" i="4"/>
  <c r="K56" i="4"/>
  <c r="K60" i="4"/>
  <c r="K64" i="4"/>
  <c r="H6" i="11"/>
  <c r="D6" i="11"/>
  <c r="G6" i="11"/>
  <c r="E6" i="11"/>
  <c r="B6" i="11"/>
  <c r="K10" i="4"/>
  <c r="K22" i="4"/>
  <c r="K34" i="4"/>
  <c r="K98" i="4"/>
  <c r="K214" i="4"/>
  <c r="K226" i="4"/>
  <c r="K258" i="4"/>
  <c r="L6" i="4"/>
  <c r="L10" i="4"/>
  <c r="L14" i="4"/>
  <c r="L18" i="4"/>
  <c r="L22" i="4"/>
  <c r="L26" i="4"/>
  <c r="L30" i="4"/>
  <c r="L34" i="4"/>
  <c r="L38" i="4"/>
  <c r="L42" i="4"/>
  <c r="L46" i="4"/>
  <c r="L50" i="4"/>
  <c r="L54" i="4"/>
  <c r="L58" i="4"/>
  <c r="L62" i="4"/>
  <c r="L66" i="4"/>
  <c r="L70" i="4"/>
  <c r="L74" i="4"/>
  <c r="L78" i="4"/>
  <c r="L82" i="4"/>
  <c r="L86" i="4"/>
  <c r="L90" i="4"/>
  <c r="L94" i="4"/>
  <c r="L98" i="4"/>
  <c r="L102" i="4"/>
  <c r="L106" i="4"/>
  <c r="L110" i="4"/>
  <c r="L114" i="4"/>
  <c r="L118" i="4"/>
  <c r="L122" i="4"/>
  <c r="L126" i="4"/>
  <c r="L130" i="4"/>
  <c r="L134" i="4"/>
  <c r="L138" i="4"/>
  <c r="L142" i="4"/>
  <c r="L146" i="4"/>
  <c r="L150" i="4"/>
  <c r="L154" i="4"/>
  <c r="L158" i="4"/>
  <c r="L162" i="4"/>
  <c r="L166" i="4"/>
  <c r="L170" i="4"/>
  <c r="L174" i="4"/>
  <c r="L178" i="4"/>
  <c r="L182" i="4"/>
  <c r="L186" i="4"/>
  <c r="L190" i="4"/>
  <c r="L194" i="4"/>
  <c r="L198" i="4"/>
  <c r="L202" i="4"/>
  <c r="L206" i="4"/>
  <c r="L210" i="4"/>
  <c r="L214" i="4"/>
  <c r="L218" i="4"/>
  <c r="L222" i="4"/>
  <c r="L226" i="4"/>
  <c r="L230" i="4"/>
  <c r="L234" i="4"/>
  <c r="L238" i="4"/>
  <c r="L242" i="4"/>
  <c r="L246" i="4"/>
  <c r="L250" i="4"/>
  <c r="L254" i="4"/>
  <c r="L258" i="4"/>
  <c r="L262" i="4"/>
  <c r="L266" i="4"/>
  <c r="L270" i="4"/>
  <c r="L274" i="4"/>
  <c r="L278" i="4"/>
  <c r="L282" i="4"/>
  <c r="L286" i="4"/>
  <c r="L290" i="4"/>
  <c r="L294" i="4"/>
  <c r="L297" i="4"/>
  <c r="K299" i="4"/>
  <c r="K301" i="4"/>
  <c r="R301" i="4"/>
  <c r="R303" i="4"/>
  <c r="L303" i="4"/>
  <c r="E7" i="11"/>
  <c r="H7" i="11"/>
  <c r="D7" i="11"/>
  <c r="B7" i="11"/>
  <c r="G7" i="11"/>
  <c r="F7" i="11"/>
  <c r="C7" i="11"/>
  <c r="V5" i="5"/>
  <c r="X5" i="5" s="1"/>
  <c r="P5" i="5"/>
  <c r="V9" i="5"/>
  <c r="X9" i="5" s="1"/>
  <c r="P9" i="5"/>
  <c r="T170" i="5"/>
  <c r="M170" i="5"/>
  <c r="W170" i="5"/>
  <c r="K170" i="5"/>
  <c r="P170" i="5" s="1"/>
  <c r="V170" i="5"/>
  <c r="X170" i="5" s="1"/>
  <c r="P176" i="5"/>
  <c r="O176" i="5"/>
  <c r="T186" i="5"/>
  <c r="M186" i="5"/>
  <c r="W186" i="5"/>
  <c r="K186" i="5"/>
  <c r="O186" i="5" s="1"/>
  <c r="V186" i="5"/>
  <c r="X186" i="5" s="1"/>
  <c r="P186" i="5"/>
  <c r="P192" i="5"/>
  <c r="O192" i="5"/>
  <c r="T202" i="5"/>
  <c r="M202" i="5"/>
  <c r="W202" i="5"/>
  <c r="K202" i="5"/>
  <c r="O202" i="5" s="1"/>
  <c r="V202" i="5"/>
  <c r="X202" i="5" s="1"/>
  <c r="P202" i="5"/>
  <c r="P208" i="5"/>
  <c r="O208" i="5"/>
  <c r="K167" i="5"/>
  <c r="W167" i="5"/>
  <c r="K171" i="5"/>
  <c r="W171" i="5"/>
  <c r="K175" i="5"/>
  <c r="W175" i="5"/>
  <c r="K179" i="5"/>
  <c r="W179" i="5"/>
  <c r="K183" i="5"/>
  <c r="W183" i="5"/>
  <c r="K187" i="5"/>
  <c r="W187" i="5"/>
  <c r="K191" i="5"/>
  <c r="W191" i="5"/>
  <c r="K195" i="5"/>
  <c r="W195" i="5"/>
  <c r="K199" i="5"/>
  <c r="W199" i="5"/>
  <c r="K203" i="5"/>
  <c r="W203" i="5"/>
  <c r="K207" i="5"/>
  <c r="W207" i="5"/>
  <c r="K211" i="5"/>
  <c r="W211" i="5"/>
  <c r="K215" i="5"/>
  <c r="W215" i="5"/>
  <c r="V218" i="5"/>
  <c r="X218" i="5" s="1"/>
  <c r="K219" i="5"/>
  <c r="W219" i="5"/>
  <c r="V222" i="5"/>
  <c r="X222" i="5" s="1"/>
  <c r="K223" i="5"/>
  <c r="W223" i="5"/>
  <c r="V226" i="5"/>
  <c r="X226" i="5" s="1"/>
  <c r="K227" i="5"/>
  <c r="W227" i="5"/>
  <c r="V230" i="5"/>
  <c r="X230" i="5" s="1"/>
  <c r="K231" i="5"/>
  <c r="W231" i="5"/>
  <c r="V234" i="5"/>
  <c r="X234" i="5" s="1"/>
  <c r="K235" i="5"/>
  <c r="W235" i="5"/>
  <c r="V238" i="5"/>
  <c r="X238" i="5" s="1"/>
  <c r="K239" i="5"/>
  <c r="W239" i="5"/>
  <c r="V242" i="5"/>
  <c r="X242" i="5" s="1"/>
  <c r="K243" i="5"/>
  <c r="W243" i="5"/>
  <c r="V246" i="5"/>
  <c r="X246" i="5" s="1"/>
  <c r="K247" i="5"/>
  <c r="W247" i="5"/>
  <c r="V250" i="5"/>
  <c r="X250" i="5" s="1"/>
  <c r="K251" i="5"/>
  <c r="W251" i="5"/>
  <c r="V254" i="5"/>
  <c r="X254" i="5" s="1"/>
  <c r="K255" i="5"/>
  <c r="W255" i="5"/>
  <c r="V258" i="5"/>
  <c r="X258" i="5" s="1"/>
  <c r="K259" i="5"/>
  <c r="W259" i="5"/>
  <c r="V262" i="5"/>
  <c r="X262" i="5" s="1"/>
  <c r="K263" i="5"/>
  <c r="W263" i="5"/>
  <c r="V266" i="5"/>
  <c r="O267" i="5"/>
  <c r="V267" i="5"/>
  <c r="V270" i="5"/>
  <c r="O271" i="5"/>
  <c r="V271" i="5"/>
  <c r="V274" i="5"/>
  <c r="O275" i="5"/>
  <c r="V275" i="5"/>
  <c r="V278" i="5"/>
  <c r="O279" i="5"/>
  <c r="V279" i="5"/>
  <c r="V282" i="5"/>
  <c r="O283" i="5"/>
  <c r="V283" i="5"/>
  <c r="V286" i="5"/>
  <c r="O287" i="5"/>
  <c r="V287" i="5"/>
  <c r="V290" i="5"/>
  <c r="O291" i="5"/>
  <c r="V291" i="5"/>
  <c r="V294" i="5"/>
  <c r="O295" i="5"/>
  <c r="V295" i="5"/>
  <c r="V298" i="5"/>
  <c r="O299" i="5"/>
  <c r="V299" i="5"/>
  <c r="V302" i="5"/>
  <c r="O303" i="5"/>
  <c r="V303" i="5"/>
  <c r="V306" i="5"/>
  <c r="O307" i="5"/>
  <c r="V307" i="5"/>
  <c r="V310" i="5"/>
  <c r="O311" i="5"/>
  <c r="V311" i="5"/>
  <c r="V314" i="5"/>
  <c r="O315" i="5"/>
  <c r="V315" i="5"/>
  <c r="V318" i="5"/>
  <c r="O319" i="5"/>
  <c r="V319" i="5"/>
  <c r="V322" i="5"/>
  <c r="O323" i="5"/>
  <c r="V323" i="5"/>
  <c r="V326" i="5"/>
  <c r="O327" i="5"/>
  <c r="V327" i="5"/>
  <c r="V330" i="5"/>
  <c r="O331" i="5"/>
  <c r="V331" i="5"/>
  <c r="V334" i="5"/>
  <c r="O335" i="5"/>
  <c r="V335" i="5"/>
  <c r="V338" i="5"/>
  <c r="O339" i="5"/>
  <c r="V339" i="5"/>
  <c r="V342" i="5"/>
  <c r="O343" i="5"/>
  <c r="V343" i="5"/>
  <c r="V346" i="5"/>
  <c r="O347" i="5"/>
  <c r="V347" i="5"/>
  <c r="V350" i="5"/>
  <c r="O351" i="5"/>
  <c r="V351" i="5"/>
  <c r="V354" i="5"/>
  <c r="O355" i="5"/>
  <c r="V355" i="5"/>
  <c r="X355" i="5" s="1"/>
  <c r="V358" i="5"/>
  <c r="O359" i="5"/>
  <c r="V359" i="5"/>
  <c r="M364" i="5"/>
  <c r="M368" i="5"/>
  <c r="M372" i="5"/>
  <c r="M376" i="5"/>
  <c r="M380" i="5"/>
  <c r="M384" i="5"/>
  <c r="M388" i="5"/>
  <c r="V400" i="5"/>
  <c r="P400" i="5"/>
  <c r="T400" i="5"/>
  <c r="K400" i="5"/>
  <c r="O400" i="5" s="1"/>
  <c r="X400" i="5"/>
  <c r="W400" i="5"/>
  <c r="U4" i="6"/>
  <c r="J4" i="6"/>
  <c r="P4" i="6" s="1"/>
  <c r="T4" i="6"/>
  <c r="U17" i="6"/>
  <c r="J17" i="6"/>
  <c r="P17" i="6" s="1"/>
  <c r="T17" i="6"/>
  <c r="Q17" i="6"/>
  <c r="P23" i="6"/>
  <c r="O23" i="6"/>
  <c r="U189" i="6"/>
  <c r="T189" i="6"/>
  <c r="J189" i="6"/>
  <c r="P189" i="6" s="1"/>
  <c r="Q189" i="6"/>
  <c r="U253" i="6"/>
  <c r="T253" i="6"/>
  <c r="J253" i="6"/>
  <c r="O253" i="6" s="1"/>
  <c r="Q253" i="6"/>
  <c r="P13" i="5"/>
  <c r="P17" i="5"/>
  <c r="P21" i="5"/>
  <c r="P25" i="5"/>
  <c r="P29" i="5"/>
  <c r="P33" i="5"/>
  <c r="P37" i="5"/>
  <c r="P41" i="5"/>
  <c r="P45" i="5"/>
  <c r="P49" i="5"/>
  <c r="P53" i="5"/>
  <c r="P57" i="5"/>
  <c r="P61" i="5"/>
  <c r="P65" i="5"/>
  <c r="P69" i="5"/>
  <c r="P73" i="5"/>
  <c r="P77" i="5"/>
  <c r="P81" i="5"/>
  <c r="P85" i="5"/>
  <c r="P89" i="5"/>
  <c r="P93" i="5"/>
  <c r="P97" i="5"/>
  <c r="P101" i="5"/>
  <c r="P105" i="5"/>
  <c r="P109" i="5"/>
  <c r="P113" i="5"/>
  <c r="P117" i="5"/>
  <c r="P121" i="5"/>
  <c r="P125" i="5"/>
  <c r="P129" i="5"/>
  <c r="P133" i="5"/>
  <c r="P137" i="5"/>
  <c r="P141" i="5"/>
  <c r="P145" i="5"/>
  <c r="P149" i="5"/>
  <c r="P153" i="5"/>
  <c r="P157" i="5"/>
  <c r="P161" i="5"/>
  <c r="P165" i="5"/>
  <c r="M167" i="5"/>
  <c r="T167" i="5"/>
  <c r="P169" i="5"/>
  <c r="M171" i="5"/>
  <c r="T171" i="5"/>
  <c r="P173" i="5"/>
  <c r="M175" i="5"/>
  <c r="T175" i="5"/>
  <c r="P177" i="5"/>
  <c r="M179" i="5"/>
  <c r="T179" i="5"/>
  <c r="P181" i="5"/>
  <c r="M183" i="5"/>
  <c r="T183" i="5"/>
  <c r="P185" i="5"/>
  <c r="M187" i="5"/>
  <c r="T187" i="5"/>
  <c r="P189" i="5"/>
  <c r="M191" i="5"/>
  <c r="T191" i="5"/>
  <c r="P193" i="5"/>
  <c r="M195" i="5"/>
  <c r="T195" i="5"/>
  <c r="P197" i="5"/>
  <c r="M199" i="5"/>
  <c r="T199" i="5"/>
  <c r="P201" i="5"/>
  <c r="M203" i="5"/>
  <c r="T203" i="5"/>
  <c r="P205" i="5"/>
  <c r="M207" i="5"/>
  <c r="T207" i="5"/>
  <c r="P209" i="5"/>
  <c r="M211" i="5"/>
  <c r="T211" i="5"/>
  <c r="P213" i="5"/>
  <c r="M215" i="5"/>
  <c r="T215" i="5"/>
  <c r="P217" i="5"/>
  <c r="K218" i="5"/>
  <c r="O218" i="5" s="1"/>
  <c r="W218" i="5"/>
  <c r="M219" i="5"/>
  <c r="T219" i="5"/>
  <c r="O220" i="5"/>
  <c r="P221" i="5"/>
  <c r="K222" i="5"/>
  <c r="O222" i="5" s="1"/>
  <c r="W222" i="5"/>
  <c r="M223" i="5"/>
  <c r="T223" i="5"/>
  <c r="O224" i="5"/>
  <c r="P225" i="5"/>
  <c r="K226" i="5"/>
  <c r="O226" i="5" s="1"/>
  <c r="W226" i="5"/>
  <c r="M227" i="5"/>
  <c r="T227" i="5"/>
  <c r="O228" i="5"/>
  <c r="P229" i="5"/>
  <c r="K230" i="5"/>
  <c r="O230" i="5" s="1"/>
  <c r="W230" i="5"/>
  <c r="M231" i="5"/>
  <c r="T231" i="5"/>
  <c r="O232" i="5"/>
  <c r="P233" i="5"/>
  <c r="K234" i="5"/>
  <c r="O234" i="5" s="1"/>
  <c r="W234" i="5"/>
  <c r="M235" i="5"/>
  <c r="T235" i="5"/>
  <c r="O236" i="5"/>
  <c r="P237" i="5"/>
  <c r="K238" i="5"/>
  <c r="O238" i="5" s="1"/>
  <c r="W238" i="5"/>
  <c r="M239" i="5"/>
  <c r="T239" i="5"/>
  <c r="O240" i="5"/>
  <c r="P241" i="5"/>
  <c r="K242" i="5"/>
  <c r="O242" i="5" s="1"/>
  <c r="W242" i="5"/>
  <c r="M243" i="5"/>
  <c r="T243" i="5"/>
  <c r="O244" i="5"/>
  <c r="P245" i="5"/>
  <c r="K246" i="5"/>
  <c r="O246" i="5" s="1"/>
  <c r="W246" i="5"/>
  <c r="M247" i="5"/>
  <c r="T247" i="5"/>
  <c r="O248" i="5"/>
  <c r="P249" i="5"/>
  <c r="K250" i="5"/>
  <c r="O250" i="5" s="1"/>
  <c r="W250" i="5"/>
  <c r="M251" i="5"/>
  <c r="T251" i="5"/>
  <c r="O252" i="5"/>
  <c r="P253" i="5"/>
  <c r="K254" i="5"/>
  <c r="O254" i="5" s="1"/>
  <c r="W254" i="5"/>
  <c r="M255" i="5"/>
  <c r="T255" i="5"/>
  <c r="O256" i="5"/>
  <c r="P257" i="5"/>
  <c r="K258" i="5"/>
  <c r="O258" i="5" s="1"/>
  <c r="W258" i="5"/>
  <c r="M259" i="5"/>
  <c r="T259" i="5"/>
  <c r="O260" i="5"/>
  <c r="P261" i="5"/>
  <c r="K262" i="5"/>
  <c r="O262" i="5" s="1"/>
  <c r="W262" i="5"/>
  <c r="M263" i="5"/>
  <c r="T263" i="5"/>
  <c r="P264" i="5"/>
  <c r="K265" i="5"/>
  <c r="O265" i="5" s="1"/>
  <c r="X266" i="5"/>
  <c r="P267" i="5"/>
  <c r="P268" i="5"/>
  <c r="K269" i="5"/>
  <c r="O269" i="5" s="1"/>
  <c r="X270" i="5"/>
  <c r="P271" i="5"/>
  <c r="P272" i="5"/>
  <c r="K273" i="5"/>
  <c r="O273" i="5" s="1"/>
  <c r="X274" i="5"/>
  <c r="P275" i="5"/>
  <c r="P276" i="5"/>
  <c r="K277" i="5"/>
  <c r="O277" i="5" s="1"/>
  <c r="X278" i="5"/>
  <c r="P279" i="5"/>
  <c r="P280" i="5"/>
  <c r="K281" i="5"/>
  <c r="O281" i="5" s="1"/>
  <c r="X282" i="5"/>
  <c r="P283" i="5"/>
  <c r="P284" i="5"/>
  <c r="K285" i="5"/>
  <c r="O285" i="5" s="1"/>
  <c r="X286" i="5"/>
  <c r="P287" i="5"/>
  <c r="P288" i="5"/>
  <c r="K289" i="5"/>
  <c r="O289" i="5" s="1"/>
  <c r="X290" i="5"/>
  <c r="P291" i="5"/>
  <c r="P292" i="5"/>
  <c r="K293" i="5"/>
  <c r="O293" i="5" s="1"/>
  <c r="X294" i="5"/>
  <c r="P295" i="5"/>
  <c r="P296" i="5"/>
  <c r="K297" i="5"/>
  <c r="O297" i="5" s="1"/>
  <c r="X298" i="5"/>
  <c r="P299" i="5"/>
  <c r="P300" i="5"/>
  <c r="K301" i="5"/>
  <c r="O301" i="5" s="1"/>
  <c r="X302" i="5"/>
  <c r="P303" i="5"/>
  <c r="P304" i="5"/>
  <c r="K305" i="5"/>
  <c r="O305" i="5" s="1"/>
  <c r="X306" i="5"/>
  <c r="P307" i="5"/>
  <c r="P308" i="5"/>
  <c r="K309" i="5"/>
  <c r="O309" i="5" s="1"/>
  <c r="X310" i="5"/>
  <c r="P311" i="5"/>
  <c r="P312" i="5"/>
  <c r="K313" i="5"/>
  <c r="O313" i="5" s="1"/>
  <c r="X314" i="5"/>
  <c r="P315" i="5"/>
  <c r="P316" i="5"/>
  <c r="K317" i="5"/>
  <c r="O317" i="5" s="1"/>
  <c r="X318" i="5"/>
  <c r="P319" i="5"/>
  <c r="P320" i="5"/>
  <c r="K321" i="5"/>
  <c r="O321" i="5" s="1"/>
  <c r="X322" i="5"/>
  <c r="P323" i="5"/>
  <c r="P324" i="5"/>
  <c r="K325" i="5"/>
  <c r="O325" i="5" s="1"/>
  <c r="X326" i="5"/>
  <c r="P327" i="5"/>
  <c r="P328" i="5"/>
  <c r="K329" i="5"/>
  <c r="O329" i="5" s="1"/>
  <c r="X330" i="5"/>
  <c r="P331" i="5"/>
  <c r="P332" i="5"/>
  <c r="K333" i="5"/>
  <c r="O333" i="5" s="1"/>
  <c r="X334" i="5"/>
  <c r="P335" i="5"/>
  <c r="P336" i="5"/>
  <c r="K337" i="5"/>
  <c r="O337" i="5" s="1"/>
  <c r="X338" i="5"/>
  <c r="P339" i="5"/>
  <c r="P340" i="5"/>
  <c r="K341" i="5"/>
  <c r="O341" i="5" s="1"/>
  <c r="X342" i="5"/>
  <c r="P343" i="5"/>
  <c r="P344" i="5"/>
  <c r="K345" i="5"/>
  <c r="O345" i="5" s="1"/>
  <c r="X346" i="5"/>
  <c r="P347" i="5"/>
  <c r="P348" i="5"/>
  <c r="K349" i="5"/>
  <c r="O349" i="5" s="1"/>
  <c r="X350" i="5"/>
  <c r="P351" i="5"/>
  <c r="P352" i="5"/>
  <c r="K353" i="5"/>
  <c r="O353" i="5" s="1"/>
  <c r="X354" i="5"/>
  <c r="P355" i="5"/>
  <c r="P356" i="5"/>
  <c r="K357" i="5"/>
  <c r="O357" i="5" s="1"/>
  <c r="X358" i="5"/>
  <c r="P359" i="5"/>
  <c r="P360" i="5"/>
  <c r="K361" i="5"/>
  <c r="O361" i="5" s="1"/>
  <c r="V392" i="5"/>
  <c r="P392" i="5"/>
  <c r="T392" i="5"/>
  <c r="K392" i="5"/>
  <c r="O392" i="5" s="1"/>
  <c r="X392" i="5"/>
  <c r="W392" i="5"/>
  <c r="V396" i="5"/>
  <c r="P396" i="5"/>
  <c r="T396" i="5"/>
  <c r="K396" i="5"/>
  <c r="O396" i="5" s="1"/>
  <c r="X396" i="5"/>
  <c r="W396" i="5"/>
  <c r="T14" i="6"/>
  <c r="J14" i="6"/>
  <c r="P14" i="6" s="1"/>
  <c r="U14" i="6"/>
  <c r="Q14" i="6"/>
  <c r="P20" i="6"/>
  <c r="U20" i="6"/>
  <c r="J20" i="6"/>
  <c r="O20" i="6" s="1"/>
  <c r="T20" i="6"/>
  <c r="U173" i="6"/>
  <c r="T173" i="6"/>
  <c r="J173" i="6"/>
  <c r="O173" i="6" s="1"/>
  <c r="Q173" i="6"/>
  <c r="U237" i="6"/>
  <c r="T237" i="6"/>
  <c r="J237" i="6"/>
  <c r="P237" i="6" s="1"/>
  <c r="Q237" i="6"/>
  <c r="M218" i="5"/>
  <c r="T218" i="5"/>
  <c r="M222" i="5"/>
  <c r="T222" i="5"/>
  <c r="M226" i="5"/>
  <c r="T226" i="5"/>
  <c r="M230" i="5"/>
  <c r="T230" i="5"/>
  <c r="M234" i="5"/>
  <c r="T234" i="5"/>
  <c r="M238" i="5"/>
  <c r="T238" i="5"/>
  <c r="M242" i="5"/>
  <c r="T242" i="5"/>
  <c r="M246" i="5"/>
  <c r="T246" i="5"/>
  <c r="M250" i="5"/>
  <c r="T250" i="5"/>
  <c r="M254" i="5"/>
  <c r="T254" i="5"/>
  <c r="M258" i="5"/>
  <c r="T258" i="5"/>
  <c r="M262" i="5"/>
  <c r="T262" i="5"/>
  <c r="V265" i="5"/>
  <c r="X265" i="5" s="1"/>
  <c r="P265" i="5"/>
  <c r="M266" i="5"/>
  <c r="V269" i="5"/>
  <c r="X269" i="5" s="1"/>
  <c r="P269" i="5"/>
  <c r="M270" i="5"/>
  <c r="V273" i="5"/>
  <c r="X273" i="5" s="1"/>
  <c r="P273" i="5"/>
  <c r="M274" i="5"/>
  <c r="V277" i="5"/>
  <c r="X277" i="5" s="1"/>
  <c r="P277" i="5"/>
  <c r="M278" i="5"/>
  <c r="V281" i="5"/>
  <c r="X281" i="5" s="1"/>
  <c r="P281" i="5"/>
  <c r="M282" i="5"/>
  <c r="V285" i="5"/>
  <c r="X285" i="5" s="1"/>
  <c r="P285" i="5"/>
  <c r="M286" i="5"/>
  <c r="V289" i="5"/>
  <c r="X289" i="5" s="1"/>
  <c r="P289" i="5"/>
  <c r="M290" i="5"/>
  <c r="V293" i="5"/>
  <c r="X293" i="5" s="1"/>
  <c r="P293" i="5"/>
  <c r="M294" i="5"/>
  <c r="V297" i="5"/>
  <c r="X297" i="5" s="1"/>
  <c r="P297" i="5"/>
  <c r="M298" i="5"/>
  <c r="V301" i="5"/>
  <c r="X301" i="5" s="1"/>
  <c r="P301" i="5"/>
  <c r="M302" i="5"/>
  <c r="V305" i="5"/>
  <c r="X305" i="5" s="1"/>
  <c r="P305" i="5"/>
  <c r="M306" i="5"/>
  <c r="V309" i="5"/>
  <c r="X309" i="5" s="1"/>
  <c r="P309" i="5"/>
  <c r="M310" i="5"/>
  <c r="V313" i="5"/>
  <c r="X313" i="5" s="1"/>
  <c r="P313" i="5"/>
  <c r="M314" i="5"/>
  <c r="V317" i="5"/>
  <c r="X317" i="5" s="1"/>
  <c r="P317" i="5"/>
  <c r="M318" i="5"/>
  <c r="V321" i="5"/>
  <c r="X321" i="5" s="1"/>
  <c r="P321" i="5"/>
  <c r="M322" i="5"/>
  <c r="V325" i="5"/>
  <c r="X325" i="5" s="1"/>
  <c r="P325" i="5"/>
  <c r="M326" i="5"/>
  <c r="V329" i="5"/>
  <c r="X329" i="5" s="1"/>
  <c r="P329" i="5"/>
  <c r="M330" i="5"/>
  <c r="V333" i="5"/>
  <c r="X333" i="5" s="1"/>
  <c r="P333" i="5"/>
  <c r="M334" i="5"/>
  <c r="V337" i="5"/>
  <c r="X337" i="5" s="1"/>
  <c r="P337" i="5"/>
  <c r="M338" i="5"/>
  <c r="V341" i="5"/>
  <c r="X341" i="5" s="1"/>
  <c r="P341" i="5"/>
  <c r="M342" i="5"/>
  <c r="V345" i="5"/>
  <c r="X345" i="5" s="1"/>
  <c r="P345" i="5"/>
  <c r="M346" i="5"/>
  <c r="V349" i="5"/>
  <c r="X349" i="5" s="1"/>
  <c r="P349" i="5"/>
  <c r="M350" i="5"/>
  <c r="V353" i="5"/>
  <c r="X353" i="5" s="1"/>
  <c r="P353" i="5"/>
  <c r="M354" i="5"/>
  <c r="V357" i="5"/>
  <c r="X357" i="5" s="1"/>
  <c r="P357" i="5"/>
  <c r="M358" i="5"/>
  <c r="V361" i="5"/>
  <c r="X361" i="5" s="1"/>
  <c r="P361" i="5"/>
  <c r="U157" i="6"/>
  <c r="T157" i="6"/>
  <c r="J157" i="6"/>
  <c r="O157" i="6" s="1"/>
  <c r="Q157" i="6"/>
  <c r="U221" i="6"/>
  <c r="T221" i="6"/>
  <c r="J221" i="6"/>
  <c r="P221" i="6" s="1"/>
  <c r="Q221" i="6"/>
  <c r="W266" i="5"/>
  <c r="K266" i="5"/>
  <c r="O266" i="5" s="1"/>
  <c r="X267" i="5"/>
  <c r="T267" i="5"/>
  <c r="M267" i="5"/>
  <c r="W270" i="5"/>
  <c r="K270" i="5"/>
  <c r="O270" i="5" s="1"/>
  <c r="X271" i="5"/>
  <c r="T271" i="5"/>
  <c r="M271" i="5"/>
  <c r="W274" i="5"/>
  <c r="K274" i="5"/>
  <c r="O274" i="5" s="1"/>
  <c r="X275" i="5"/>
  <c r="T275" i="5"/>
  <c r="M275" i="5"/>
  <c r="W278" i="5"/>
  <c r="K278" i="5"/>
  <c r="O278" i="5" s="1"/>
  <c r="X279" i="5"/>
  <c r="T279" i="5"/>
  <c r="M279" i="5"/>
  <c r="W282" i="5"/>
  <c r="K282" i="5"/>
  <c r="O282" i="5" s="1"/>
  <c r="X283" i="5"/>
  <c r="T283" i="5"/>
  <c r="M283" i="5"/>
  <c r="W286" i="5"/>
  <c r="K286" i="5"/>
  <c r="O286" i="5" s="1"/>
  <c r="X287" i="5"/>
  <c r="T287" i="5"/>
  <c r="M287" i="5"/>
  <c r="W290" i="5"/>
  <c r="K290" i="5"/>
  <c r="O290" i="5" s="1"/>
  <c r="X291" i="5"/>
  <c r="T291" i="5"/>
  <c r="M291" i="5"/>
  <c r="W294" i="5"/>
  <c r="K294" i="5"/>
  <c r="O294" i="5" s="1"/>
  <c r="X295" i="5"/>
  <c r="T295" i="5"/>
  <c r="M295" i="5"/>
  <c r="W298" i="5"/>
  <c r="K298" i="5"/>
  <c r="O298" i="5" s="1"/>
  <c r="X299" i="5"/>
  <c r="T299" i="5"/>
  <c r="M299" i="5"/>
  <c r="W302" i="5"/>
  <c r="K302" i="5"/>
  <c r="O302" i="5" s="1"/>
  <c r="X303" i="5"/>
  <c r="T303" i="5"/>
  <c r="M303" i="5"/>
  <c r="W306" i="5"/>
  <c r="K306" i="5"/>
  <c r="O306" i="5" s="1"/>
  <c r="X307" i="5"/>
  <c r="T307" i="5"/>
  <c r="M307" i="5"/>
  <c r="W310" i="5"/>
  <c r="K310" i="5"/>
  <c r="O310" i="5" s="1"/>
  <c r="X311" i="5"/>
  <c r="T311" i="5"/>
  <c r="M311" i="5"/>
  <c r="W314" i="5"/>
  <c r="K314" i="5"/>
  <c r="O314" i="5" s="1"/>
  <c r="X315" i="5"/>
  <c r="T315" i="5"/>
  <c r="M315" i="5"/>
  <c r="W318" i="5"/>
  <c r="K318" i="5"/>
  <c r="O318" i="5" s="1"/>
  <c r="X319" i="5"/>
  <c r="T319" i="5"/>
  <c r="M319" i="5"/>
  <c r="W322" i="5"/>
  <c r="K322" i="5"/>
  <c r="O322" i="5" s="1"/>
  <c r="X323" i="5"/>
  <c r="T323" i="5"/>
  <c r="M323" i="5"/>
  <c r="W326" i="5"/>
  <c r="K326" i="5"/>
  <c r="O326" i="5" s="1"/>
  <c r="X327" i="5"/>
  <c r="T327" i="5"/>
  <c r="M327" i="5"/>
  <c r="W330" i="5"/>
  <c r="K330" i="5"/>
  <c r="O330" i="5" s="1"/>
  <c r="X331" i="5"/>
  <c r="T331" i="5"/>
  <c r="M331" i="5"/>
  <c r="W334" i="5"/>
  <c r="K334" i="5"/>
  <c r="O334" i="5" s="1"/>
  <c r="X335" i="5"/>
  <c r="T335" i="5"/>
  <c r="M335" i="5"/>
  <c r="W338" i="5"/>
  <c r="K338" i="5"/>
  <c r="O338" i="5" s="1"/>
  <c r="X339" i="5"/>
  <c r="T339" i="5"/>
  <c r="M339" i="5"/>
  <c r="W342" i="5"/>
  <c r="K342" i="5"/>
  <c r="O342" i="5" s="1"/>
  <c r="X343" i="5"/>
  <c r="T343" i="5"/>
  <c r="M343" i="5"/>
  <c r="W346" i="5"/>
  <c r="K346" i="5"/>
  <c r="O346" i="5" s="1"/>
  <c r="X347" i="5"/>
  <c r="T347" i="5"/>
  <c r="M347" i="5"/>
  <c r="W350" i="5"/>
  <c r="K350" i="5"/>
  <c r="O350" i="5" s="1"/>
  <c r="X351" i="5"/>
  <c r="T351" i="5"/>
  <c r="M351" i="5"/>
  <c r="W354" i="5"/>
  <c r="K354" i="5"/>
  <c r="O354" i="5" s="1"/>
  <c r="T355" i="5"/>
  <c r="M355" i="5"/>
  <c r="W358" i="5"/>
  <c r="K358" i="5"/>
  <c r="O358" i="5" s="1"/>
  <c r="X359" i="5"/>
  <c r="T359" i="5"/>
  <c r="M359" i="5"/>
  <c r="V364" i="5"/>
  <c r="X364" i="5" s="1"/>
  <c r="P364" i="5"/>
  <c r="W364" i="5"/>
  <c r="O364" i="5"/>
  <c r="V368" i="5"/>
  <c r="X368" i="5" s="1"/>
  <c r="P368" i="5"/>
  <c r="W368" i="5"/>
  <c r="O368" i="5"/>
  <c r="V372" i="5"/>
  <c r="X372" i="5" s="1"/>
  <c r="P372" i="5"/>
  <c r="W372" i="5"/>
  <c r="O372" i="5"/>
  <c r="V376" i="5"/>
  <c r="X376" i="5" s="1"/>
  <c r="P376" i="5"/>
  <c r="W376" i="5"/>
  <c r="O376" i="5"/>
  <c r="V380" i="5"/>
  <c r="X380" i="5" s="1"/>
  <c r="P380" i="5"/>
  <c r="W380" i="5"/>
  <c r="O380" i="5"/>
  <c r="V384" i="5"/>
  <c r="X384" i="5" s="1"/>
  <c r="P384" i="5"/>
  <c r="W384" i="5"/>
  <c r="O384" i="5"/>
  <c r="V388" i="5"/>
  <c r="X388" i="5" s="1"/>
  <c r="P388" i="5"/>
  <c r="W388" i="5"/>
  <c r="O388" i="5"/>
  <c r="P7" i="6"/>
  <c r="O7" i="6"/>
  <c r="O12" i="6"/>
  <c r="U141" i="6"/>
  <c r="T141" i="6"/>
  <c r="J141" i="6"/>
  <c r="O141" i="6" s="1"/>
  <c r="Q141" i="6"/>
  <c r="U205" i="6"/>
  <c r="T205" i="6"/>
  <c r="J205" i="6"/>
  <c r="P205" i="6" s="1"/>
  <c r="Q205" i="6"/>
  <c r="U269" i="6"/>
  <c r="T269" i="6"/>
  <c r="J269" i="6"/>
  <c r="O269" i="6" s="1"/>
  <c r="Q269" i="6"/>
  <c r="X362" i="5"/>
  <c r="T362" i="5"/>
  <c r="M362" i="5"/>
  <c r="W365" i="5"/>
  <c r="K365" i="5"/>
  <c r="X366" i="5"/>
  <c r="T366" i="5"/>
  <c r="M366" i="5"/>
  <c r="W369" i="5"/>
  <c r="K369" i="5"/>
  <c r="X370" i="5"/>
  <c r="T370" i="5"/>
  <c r="M370" i="5"/>
  <c r="W373" i="5"/>
  <c r="K373" i="5"/>
  <c r="X374" i="5"/>
  <c r="T374" i="5"/>
  <c r="M374" i="5"/>
  <c r="W377" i="5"/>
  <c r="K377" i="5"/>
  <c r="X378" i="5"/>
  <c r="T378" i="5"/>
  <c r="M378" i="5"/>
  <c r="W381" i="5"/>
  <c r="K381" i="5"/>
  <c r="X382" i="5"/>
  <c r="T382" i="5"/>
  <c r="M382" i="5"/>
  <c r="W385" i="5"/>
  <c r="K385" i="5"/>
  <c r="X386" i="5"/>
  <c r="T386" i="5"/>
  <c r="M386" i="5"/>
  <c r="W389" i="5"/>
  <c r="K389" i="5"/>
  <c r="X390" i="5"/>
  <c r="T390" i="5"/>
  <c r="M390" i="5"/>
  <c r="W393" i="5"/>
  <c r="K393" i="5"/>
  <c r="X394" i="5"/>
  <c r="T394" i="5"/>
  <c r="M394" i="5"/>
  <c r="W397" i="5"/>
  <c r="K397" i="5"/>
  <c r="X398" i="5"/>
  <c r="T398" i="5"/>
  <c r="M398" i="5"/>
  <c r="W401" i="5"/>
  <c r="K401" i="5"/>
  <c r="X402" i="5"/>
  <c r="T402" i="5"/>
  <c r="M402" i="5"/>
  <c r="J8" i="6"/>
  <c r="O8" i="6" s="1"/>
  <c r="T10" i="6"/>
  <c r="J10" i="6"/>
  <c r="U13" i="6"/>
  <c r="O13" i="6"/>
  <c r="P16" i="6"/>
  <c r="J24" i="6"/>
  <c r="O24" i="6" s="1"/>
  <c r="U142" i="6"/>
  <c r="P144" i="6"/>
  <c r="U145" i="6"/>
  <c r="T145" i="6"/>
  <c r="J145" i="6"/>
  <c r="O145" i="6" s="1"/>
  <c r="U158" i="6"/>
  <c r="P160" i="6"/>
  <c r="U161" i="6"/>
  <c r="T161" i="6"/>
  <c r="J161" i="6"/>
  <c r="P161" i="6" s="1"/>
  <c r="U174" i="6"/>
  <c r="P176" i="6"/>
  <c r="U177" i="6"/>
  <c r="O177" i="6"/>
  <c r="T177" i="6"/>
  <c r="J177" i="6"/>
  <c r="P177" i="6" s="1"/>
  <c r="U190" i="6"/>
  <c r="P192" i="6"/>
  <c r="U193" i="6"/>
  <c r="T193" i="6"/>
  <c r="J193" i="6"/>
  <c r="O193" i="6" s="1"/>
  <c r="U206" i="6"/>
  <c r="P208" i="6"/>
  <c r="U209" i="6"/>
  <c r="T209" i="6"/>
  <c r="J209" i="6"/>
  <c r="O209" i="6" s="1"/>
  <c r="U222" i="6"/>
  <c r="P224" i="6"/>
  <c r="U225" i="6"/>
  <c r="O225" i="6"/>
  <c r="T225" i="6"/>
  <c r="J225" i="6"/>
  <c r="P225" i="6" s="1"/>
  <c r="U238" i="6"/>
  <c r="P240" i="6"/>
  <c r="U241" i="6"/>
  <c r="T241" i="6"/>
  <c r="J241" i="6"/>
  <c r="P241" i="6" s="1"/>
  <c r="U254" i="6"/>
  <c r="P256" i="6"/>
  <c r="U257" i="6"/>
  <c r="T257" i="6"/>
  <c r="J257" i="6"/>
  <c r="O257" i="6" s="1"/>
  <c r="U270" i="6"/>
  <c r="P272" i="6"/>
  <c r="U273" i="6"/>
  <c r="T273" i="6"/>
  <c r="J273" i="6"/>
  <c r="O273" i="6" s="1"/>
  <c r="U286" i="6"/>
  <c r="P288" i="6"/>
  <c r="U289" i="6"/>
  <c r="T289" i="6"/>
  <c r="J289" i="6"/>
  <c r="P289" i="6" s="1"/>
  <c r="U302" i="6"/>
  <c r="T6" i="6"/>
  <c r="J6" i="6"/>
  <c r="P6" i="6" s="1"/>
  <c r="U9" i="6"/>
  <c r="O9" i="6"/>
  <c r="P12" i="6"/>
  <c r="T22" i="6"/>
  <c r="J22" i="6"/>
  <c r="P22" i="6" s="1"/>
  <c r="U25" i="6"/>
  <c r="O25" i="6"/>
  <c r="P29" i="6"/>
  <c r="U29" i="6"/>
  <c r="O29" i="6"/>
  <c r="P33" i="6"/>
  <c r="U33" i="6"/>
  <c r="O33" i="6"/>
  <c r="P37" i="6"/>
  <c r="U37" i="6"/>
  <c r="O37" i="6"/>
  <c r="P41" i="6"/>
  <c r="U41" i="6"/>
  <c r="O41" i="6"/>
  <c r="P45" i="6"/>
  <c r="U45" i="6"/>
  <c r="O45" i="6"/>
  <c r="P49" i="6"/>
  <c r="U49" i="6"/>
  <c r="O49" i="6"/>
  <c r="P53" i="6"/>
  <c r="U53" i="6"/>
  <c r="O53" i="6"/>
  <c r="P57" i="6"/>
  <c r="U57" i="6"/>
  <c r="O57" i="6"/>
  <c r="P61" i="6"/>
  <c r="U61" i="6"/>
  <c r="O61" i="6"/>
  <c r="P65" i="6"/>
  <c r="U65" i="6"/>
  <c r="O65" i="6"/>
  <c r="P69" i="6"/>
  <c r="U69" i="6"/>
  <c r="O69" i="6"/>
  <c r="P73" i="6"/>
  <c r="U73" i="6"/>
  <c r="O73" i="6"/>
  <c r="P77" i="6"/>
  <c r="U77" i="6"/>
  <c r="O77" i="6"/>
  <c r="P81" i="6"/>
  <c r="U81" i="6"/>
  <c r="O81" i="6"/>
  <c r="P85" i="6"/>
  <c r="U85" i="6"/>
  <c r="O85" i="6"/>
  <c r="P89" i="6"/>
  <c r="U89" i="6"/>
  <c r="O89" i="6"/>
  <c r="P93" i="6"/>
  <c r="U93" i="6"/>
  <c r="O93" i="6"/>
  <c r="P97" i="6"/>
  <c r="U97" i="6"/>
  <c r="O97" i="6"/>
  <c r="P101" i="6"/>
  <c r="U101" i="6"/>
  <c r="O101" i="6"/>
  <c r="P105" i="6"/>
  <c r="U105" i="6"/>
  <c r="O105" i="6"/>
  <c r="P109" i="6"/>
  <c r="U109" i="6"/>
  <c r="O109" i="6"/>
  <c r="P113" i="6"/>
  <c r="U113" i="6"/>
  <c r="O113" i="6"/>
  <c r="P117" i="6"/>
  <c r="U117" i="6"/>
  <c r="O117" i="6"/>
  <c r="P121" i="6"/>
  <c r="U121" i="6"/>
  <c r="O121" i="6"/>
  <c r="P125" i="6"/>
  <c r="U125" i="6"/>
  <c r="O125" i="6"/>
  <c r="P129" i="6"/>
  <c r="U129" i="6"/>
  <c r="O129" i="6"/>
  <c r="P133" i="6"/>
  <c r="U133" i="6"/>
  <c r="O133" i="6"/>
  <c r="U149" i="6"/>
  <c r="T149" i="6"/>
  <c r="J149" i="6"/>
  <c r="P149" i="6" s="1"/>
  <c r="U165" i="6"/>
  <c r="T165" i="6"/>
  <c r="J165" i="6"/>
  <c r="O165" i="6" s="1"/>
  <c r="U181" i="6"/>
  <c r="T181" i="6"/>
  <c r="J181" i="6"/>
  <c r="O181" i="6" s="1"/>
  <c r="U197" i="6"/>
  <c r="O197" i="6"/>
  <c r="T197" i="6"/>
  <c r="J197" i="6"/>
  <c r="P197" i="6" s="1"/>
  <c r="U213" i="6"/>
  <c r="O213" i="6"/>
  <c r="T213" i="6"/>
  <c r="J213" i="6"/>
  <c r="P213" i="6" s="1"/>
  <c r="U229" i="6"/>
  <c r="T229" i="6"/>
  <c r="J229" i="6"/>
  <c r="O229" i="6" s="1"/>
  <c r="U245" i="6"/>
  <c r="T245" i="6"/>
  <c r="J245" i="6"/>
  <c r="O245" i="6" s="1"/>
  <c r="U261" i="6"/>
  <c r="T261" i="6"/>
  <c r="J261" i="6"/>
  <c r="P261" i="6" s="1"/>
  <c r="U277" i="6"/>
  <c r="T277" i="6"/>
  <c r="J277" i="6"/>
  <c r="P277" i="6" s="1"/>
  <c r="U293" i="6"/>
  <c r="T293" i="6"/>
  <c r="J293" i="6"/>
  <c r="O293" i="6" s="1"/>
  <c r="U5" i="6"/>
  <c r="O5" i="6"/>
  <c r="Q6" i="6"/>
  <c r="Q9" i="6"/>
  <c r="T12" i="6"/>
  <c r="T18" i="6"/>
  <c r="J18" i="6"/>
  <c r="U21" i="6"/>
  <c r="O21" i="6"/>
  <c r="Q22" i="6"/>
  <c r="P24" i="6"/>
  <c r="Q25" i="6"/>
  <c r="U26" i="6"/>
  <c r="T26" i="6"/>
  <c r="J26" i="6"/>
  <c r="P26" i="6" s="1"/>
  <c r="Q29" i="6"/>
  <c r="U30" i="6"/>
  <c r="T30" i="6"/>
  <c r="J30" i="6"/>
  <c r="P30" i="6" s="1"/>
  <c r="Q33" i="6"/>
  <c r="U34" i="6"/>
  <c r="T34" i="6"/>
  <c r="J34" i="6"/>
  <c r="P34" i="6" s="1"/>
  <c r="U38" i="6"/>
  <c r="T38" i="6"/>
  <c r="J38" i="6"/>
  <c r="P38" i="6" s="1"/>
  <c r="U42" i="6"/>
  <c r="T42" i="6"/>
  <c r="J42" i="6"/>
  <c r="P42" i="6" s="1"/>
  <c r="U46" i="6"/>
  <c r="T46" i="6"/>
  <c r="J46" i="6"/>
  <c r="P46" i="6" s="1"/>
  <c r="U50" i="6"/>
  <c r="T50" i="6"/>
  <c r="J50" i="6"/>
  <c r="P50" i="6" s="1"/>
  <c r="U54" i="6"/>
  <c r="T54" i="6"/>
  <c r="J54" i="6"/>
  <c r="P54" i="6" s="1"/>
  <c r="U58" i="6"/>
  <c r="T58" i="6"/>
  <c r="J58" i="6"/>
  <c r="P58" i="6" s="1"/>
  <c r="U62" i="6"/>
  <c r="T62" i="6"/>
  <c r="J62" i="6"/>
  <c r="P62" i="6" s="1"/>
  <c r="U66" i="6"/>
  <c r="T66" i="6"/>
  <c r="J66" i="6"/>
  <c r="P66" i="6" s="1"/>
  <c r="U70" i="6"/>
  <c r="T70" i="6"/>
  <c r="J70" i="6"/>
  <c r="P70" i="6" s="1"/>
  <c r="U74" i="6"/>
  <c r="T74" i="6"/>
  <c r="J74" i="6"/>
  <c r="P74" i="6" s="1"/>
  <c r="U78" i="6"/>
  <c r="T78" i="6"/>
  <c r="J78" i="6"/>
  <c r="P78" i="6" s="1"/>
  <c r="U82" i="6"/>
  <c r="T82" i="6"/>
  <c r="J82" i="6"/>
  <c r="P82" i="6" s="1"/>
  <c r="U86" i="6"/>
  <c r="T86" i="6"/>
  <c r="J86" i="6"/>
  <c r="P86" i="6" s="1"/>
  <c r="U90" i="6"/>
  <c r="T90" i="6"/>
  <c r="J90" i="6"/>
  <c r="P90" i="6" s="1"/>
  <c r="U94" i="6"/>
  <c r="T94" i="6"/>
  <c r="J94" i="6"/>
  <c r="P94" i="6" s="1"/>
  <c r="U98" i="6"/>
  <c r="T98" i="6"/>
  <c r="J98" i="6"/>
  <c r="P98" i="6" s="1"/>
  <c r="U102" i="6"/>
  <c r="T102" i="6"/>
  <c r="J102" i="6"/>
  <c r="P102" i="6" s="1"/>
  <c r="U106" i="6"/>
  <c r="T106" i="6"/>
  <c r="J106" i="6"/>
  <c r="P106" i="6" s="1"/>
  <c r="U110" i="6"/>
  <c r="T110" i="6"/>
  <c r="J110" i="6"/>
  <c r="P110" i="6" s="1"/>
  <c r="U114" i="6"/>
  <c r="T114" i="6"/>
  <c r="J114" i="6"/>
  <c r="P114" i="6" s="1"/>
  <c r="U118" i="6"/>
  <c r="T118" i="6"/>
  <c r="J118" i="6"/>
  <c r="P118" i="6" s="1"/>
  <c r="U122" i="6"/>
  <c r="T122" i="6"/>
  <c r="J122" i="6"/>
  <c r="P122" i="6" s="1"/>
  <c r="U126" i="6"/>
  <c r="T126" i="6"/>
  <c r="J126" i="6"/>
  <c r="P126" i="6" s="1"/>
  <c r="U130" i="6"/>
  <c r="T130" i="6"/>
  <c r="J130" i="6"/>
  <c r="P130" i="6" s="1"/>
  <c r="U137" i="6"/>
  <c r="T137" i="6"/>
  <c r="J137" i="6"/>
  <c r="O137" i="6" s="1"/>
  <c r="U153" i="6"/>
  <c r="T153" i="6"/>
  <c r="J153" i="6"/>
  <c r="O153" i="6" s="1"/>
  <c r="U169" i="6"/>
  <c r="O169" i="6"/>
  <c r="T169" i="6"/>
  <c r="J169" i="6"/>
  <c r="P169" i="6" s="1"/>
  <c r="U185" i="6"/>
  <c r="O185" i="6"/>
  <c r="T185" i="6"/>
  <c r="J185" i="6"/>
  <c r="P185" i="6" s="1"/>
  <c r="U201" i="6"/>
  <c r="T201" i="6"/>
  <c r="J201" i="6"/>
  <c r="O201" i="6" s="1"/>
  <c r="U217" i="6"/>
  <c r="T217" i="6"/>
  <c r="J217" i="6"/>
  <c r="O217" i="6" s="1"/>
  <c r="U233" i="6"/>
  <c r="T233" i="6"/>
  <c r="J233" i="6"/>
  <c r="P233" i="6" s="1"/>
  <c r="U249" i="6"/>
  <c r="T249" i="6"/>
  <c r="J249" i="6"/>
  <c r="P249" i="6" s="1"/>
  <c r="U265" i="6"/>
  <c r="T265" i="6"/>
  <c r="J265" i="6"/>
  <c r="O265" i="6" s="1"/>
  <c r="U281" i="6"/>
  <c r="T281" i="6"/>
  <c r="J281" i="6"/>
  <c r="O281" i="6" s="1"/>
  <c r="U297" i="6"/>
  <c r="O297" i="6"/>
  <c r="T297" i="6"/>
  <c r="J297" i="6"/>
  <c r="P297" i="6" s="1"/>
  <c r="U285" i="6"/>
  <c r="O285" i="6"/>
  <c r="T285" i="6"/>
  <c r="J285" i="6"/>
  <c r="P285" i="6" s="1"/>
  <c r="U301" i="6"/>
  <c r="T301" i="6"/>
  <c r="J301" i="6"/>
  <c r="O301" i="6" s="1"/>
  <c r="F8" i="11"/>
  <c r="B8" i="11"/>
  <c r="E8" i="11"/>
  <c r="G8" i="11"/>
  <c r="H8" i="11"/>
  <c r="D8" i="11"/>
  <c r="C8" i="11"/>
  <c r="J68" i="7"/>
  <c r="N68" i="7" s="1"/>
  <c r="J76" i="7"/>
  <c r="N76" i="7" s="1"/>
  <c r="J84" i="7"/>
  <c r="N84" i="7" s="1"/>
  <c r="J92" i="7"/>
  <c r="N92" i="7" s="1"/>
  <c r="J100" i="7"/>
  <c r="N100" i="7" s="1"/>
  <c r="J108" i="7"/>
  <c r="N108" i="7" s="1"/>
  <c r="J116" i="7"/>
  <c r="N116" i="7" s="1"/>
  <c r="J124" i="7"/>
  <c r="N124" i="7" s="1"/>
  <c r="J132" i="7"/>
  <c r="N132" i="7" s="1"/>
  <c r="J140" i="7"/>
  <c r="N140" i="7" s="1"/>
  <c r="J148" i="7"/>
  <c r="N148" i="7" s="1"/>
  <c r="J156" i="7"/>
  <c r="N156" i="7" s="1"/>
  <c r="J164" i="7"/>
  <c r="N164" i="7" s="1"/>
  <c r="J172" i="7"/>
  <c r="N172" i="7" s="1"/>
  <c r="J180" i="7"/>
  <c r="N180" i="7" s="1"/>
  <c r="J188" i="7"/>
  <c r="N188" i="7" s="1"/>
  <c r="J196" i="7"/>
  <c r="N196" i="7" s="1"/>
  <c r="J204" i="7"/>
  <c r="N204" i="7" s="1"/>
  <c r="J212" i="7"/>
  <c r="N212" i="7" s="1"/>
  <c r="J220" i="7"/>
  <c r="N220" i="7" s="1"/>
  <c r="J228" i="7"/>
  <c r="N228" i="7" s="1"/>
  <c r="J236" i="7"/>
  <c r="N236" i="7" s="1"/>
  <c r="J244" i="7"/>
  <c r="N244" i="7" s="1"/>
  <c r="J252" i="7"/>
  <c r="N252" i="7" s="1"/>
  <c r="J260" i="7"/>
  <c r="N260" i="7" s="1"/>
  <c r="J268" i="7"/>
  <c r="N268" i="7" s="1"/>
  <c r="J276" i="7"/>
  <c r="N276" i="7" s="1"/>
  <c r="J284" i="7"/>
  <c r="N284" i="7" s="1"/>
  <c r="J292" i="7"/>
  <c r="N292" i="7" s="1"/>
  <c r="J300" i="7"/>
  <c r="N300" i="7" s="1"/>
  <c r="T4" i="8"/>
  <c r="N4" i="8"/>
  <c r="T20" i="8"/>
  <c r="N20" i="8"/>
  <c r="T36" i="8"/>
  <c r="N36" i="8"/>
  <c r="T52" i="8"/>
  <c r="N52" i="8"/>
  <c r="T68" i="8"/>
  <c r="N68" i="8"/>
  <c r="T76" i="8"/>
  <c r="N76" i="8"/>
  <c r="R76" i="8"/>
  <c r="T84" i="8"/>
  <c r="N84" i="8"/>
  <c r="R84" i="8"/>
  <c r="T92" i="8"/>
  <c r="N92" i="8"/>
  <c r="R92" i="8"/>
  <c r="T100" i="8"/>
  <c r="N100" i="8"/>
  <c r="R100" i="8"/>
  <c r="T108" i="8"/>
  <c r="N108" i="8"/>
  <c r="R108" i="8"/>
  <c r="T116" i="8"/>
  <c r="N116" i="8"/>
  <c r="R116" i="8"/>
  <c r="T124" i="8"/>
  <c r="N124" i="8"/>
  <c r="R124" i="8"/>
  <c r="T132" i="8"/>
  <c r="N132" i="8"/>
  <c r="R132" i="8"/>
  <c r="T140" i="8"/>
  <c r="N140" i="8"/>
  <c r="R140" i="8"/>
  <c r="T148" i="8"/>
  <c r="N148" i="8"/>
  <c r="R148" i="8"/>
  <c r="T156" i="8"/>
  <c r="N156" i="8"/>
  <c r="R156" i="8"/>
  <c r="L4" i="7"/>
  <c r="S4" i="7"/>
  <c r="U5" i="7"/>
  <c r="V5" i="7" s="1"/>
  <c r="L6" i="7"/>
  <c r="S6" i="7"/>
  <c r="U7" i="7"/>
  <c r="V7" i="7" s="1"/>
  <c r="L8" i="7"/>
  <c r="S8" i="7"/>
  <c r="U9" i="7"/>
  <c r="V9" i="7" s="1"/>
  <c r="L10" i="7"/>
  <c r="S10" i="7"/>
  <c r="U11" i="7"/>
  <c r="V11" i="7" s="1"/>
  <c r="L12" i="7"/>
  <c r="S12" i="7"/>
  <c r="U13" i="7"/>
  <c r="V13" i="7" s="1"/>
  <c r="L14" i="7"/>
  <c r="S14" i="7"/>
  <c r="U15" i="7"/>
  <c r="V15" i="7" s="1"/>
  <c r="L16" i="7"/>
  <c r="S16" i="7"/>
  <c r="U17" i="7"/>
  <c r="V17" i="7" s="1"/>
  <c r="L18" i="7"/>
  <c r="S18" i="7"/>
  <c r="U19" i="7"/>
  <c r="V19" i="7" s="1"/>
  <c r="L20" i="7"/>
  <c r="S20" i="7"/>
  <c r="U21" i="7"/>
  <c r="V21" i="7" s="1"/>
  <c r="L22" i="7"/>
  <c r="S22" i="7"/>
  <c r="U23" i="7"/>
  <c r="V23" i="7" s="1"/>
  <c r="L24" i="7"/>
  <c r="S24" i="7"/>
  <c r="U25" i="7"/>
  <c r="V25" i="7" s="1"/>
  <c r="L26" i="7"/>
  <c r="S26" i="7"/>
  <c r="U27" i="7"/>
  <c r="V27" i="7" s="1"/>
  <c r="L28" i="7"/>
  <c r="S28" i="7"/>
  <c r="U29" i="7"/>
  <c r="V29" i="7" s="1"/>
  <c r="L30" i="7"/>
  <c r="S30" i="7"/>
  <c r="U31" i="7"/>
  <c r="V31" i="7" s="1"/>
  <c r="L32" i="7"/>
  <c r="S32" i="7"/>
  <c r="U33" i="7"/>
  <c r="V33" i="7" s="1"/>
  <c r="L34" i="7"/>
  <c r="S34" i="7"/>
  <c r="U35" i="7"/>
  <c r="V35" i="7" s="1"/>
  <c r="L36" i="7"/>
  <c r="S36" i="7"/>
  <c r="U37" i="7"/>
  <c r="V37" i="7" s="1"/>
  <c r="L38" i="7"/>
  <c r="S38" i="7"/>
  <c r="U39" i="7"/>
  <c r="V39" i="7" s="1"/>
  <c r="L40" i="7"/>
  <c r="S40" i="7"/>
  <c r="U41" i="7"/>
  <c r="V41" i="7" s="1"/>
  <c r="L42" i="7"/>
  <c r="S42" i="7"/>
  <c r="U43" i="7"/>
  <c r="V43" i="7" s="1"/>
  <c r="L44" i="7"/>
  <c r="S44" i="7"/>
  <c r="U45" i="7"/>
  <c r="V45" i="7" s="1"/>
  <c r="L46" i="7"/>
  <c r="S46" i="7"/>
  <c r="U47" i="7"/>
  <c r="V47" i="7" s="1"/>
  <c r="L48" i="7"/>
  <c r="S48" i="7"/>
  <c r="U49" i="7"/>
  <c r="V49" i="7" s="1"/>
  <c r="L50" i="7"/>
  <c r="S50" i="7"/>
  <c r="U51" i="7"/>
  <c r="V51" i="7" s="1"/>
  <c r="L52" i="7"/>
  <c r="S52" i="7"/>
  <c r="U53" i="7"/>
  <c r="V53" i="7" s="1"/>
  <c r="L54" i="7"/>
  <c r="S54" i="7"/>
  <c r="U55" i="7"/>
  <c r="V55" i="7" s="1"/>
  <c r="L56" i="7"/>
  <c r="S56" i="7"/>
  <c r="U57" i="7"/>
  <c r="V57" i="7" s="1"/>
  <c r="L58" i="7"/>
  <c r="S58" i="7"/>
  <c r="U59" i="7"/>
  <c r="V59" i="7" s="1"/>
  <c r="L60" i="7"/>
  <c r="S60" i="7"/>
  <c r="U61" i="7"/>
  <c r="V61" i="7" s="1"/>
  <c r="L62" i="7"/>
  <c r="S62" i="7"/>
  <c r="U63" i="7"/>
  <c r="V63" i="7" s="1"/>
  <c r="L64" i="7"/>
  <c r="S64" i="7"/>
  <c r="U65" i="7"/>
  <c r="V65" i="7" s="1"/>
  <c r="L66" i="7"/>
  <c r="S66" i="7"/>
  <c r="U68" i="7"/>
  <c r="V68" i="7" s="1"/>
  <c r="V70" i="7"/>
  <c r="J70" i="7"/>
  <c r="L72" i="7"/>
  <c r="O76" i="7"/>
  <c r="U76" i="7"/>
  <c r="V76" i="7" s="1"/>
  <c r="V78" i="7"/>
  <c r="J78" i="7"/>
  <c r="L80" i="7"/>
  <c r="O84" i="7"/>
  <c r="U84" i="7"/>
  <c r="V84" i="7" s="1"/>
  <c r="V86" i="7"/>
  <c r="J86" i="7"/>
  <c r="L88" i="7"/>
  <c r="O92" i="7"/>
  <c r="U92" i="7"/>
  <c r="V92" i="7" s="1"/>
  <c r="V94" i="7"/>
  <c r="J94" i="7"/>
  <c r="L96" i="7"/>
  <c r="U100" i="7"/>
  <c r="V100" i="7" s="1"/>
  <c r="V102" i="7"/>
  <c r="J102" i="7"/>
  <c r="L104" i="7"/>
  <c r="U108" i="7"/>
  <c r="V108" i="7" s="1"/>
  <c r="V110" i="7"/>
  <c r="J110" i="7"/>
  <c r="L112" i="7"/>
  <c r="O116" i="7"/>
  <c r="U116" i="7"/>
  <c r="V116" i="7" s="1"/>
  <c r="V118" i="7"/>
  <c r="J118" i="7"/>
  <c r="L120" i="7"/>
  <c r="O124" i="7"/>
  <c r="U124" i="7"/>
  <c r="V124" i="7" s="1"/>
  <c r="V126" i="7"/>
  <c r="J126" i="7"/>
  <c r="L128" i="7"/>
  <c r="U132" i="7"/>
  <c r="V132" i="7" s="1"/>
  <c r="V134" i="7"/>
  <c r="J134" i="7"/>
  <c r="L136" i="7"/>
  <c r="O140" i="7"/>
  <c r="U140" i="7"/>
  <c r="V140" i="7" s="1"/>
  <c r="V142" i="7"/>
  <c r="J142" i="7"/>
  <c r="L144" i="7"/>
  <c r="O148" i="7"/>
  <c r="U148" i="7"/>
  <c r="V148" i="7" s="1"/>
  <c r="V150" i="7"/>
  <c r="J150" i="7"/>
  <c r="L152" i="7"/>
  <c r="U156" i="7"/>
  <c r="V156" i="7" s="1"/>
  <c r="V158" i="7"/>
  <c r="J158" i="7"/>
  <c r="L160" i="7"/>
  <c r="U164" i="7"/>
  <c r="V164" i="7" s="1"/>
  <c r="V166" i="7"/>
  <c r="J166" i="7"/>
  <c r="L168" i="7"/>
  <c r="O172" i="7"/>
  <c r="U172" i="7"/>
  <c r="V172" i="7" s="1"/>
  <c r="V174" i="7"/>
  <c r="J174" i="7"/>
  <c r="L176" i="7"/>
  <c r="O180" i="7"/>
  <c r="U180" i="7"/>
  <c r="V180" i="7" s="1"/>
  <c r="V182" i="7"/>
  <c r="J182" i="7"/>
  <c r="L184" i="7"/>
  <c r="U188" i="7"/>
  <c r="V188" i="7" s="1"/>
  <c r="V190" i="7"/>
  <c r="J190" i="7"/>
  <c r="L192" i="7"/>
  <c r="U196" i="7"/>
  <c r="V196" i="7" s="1"/>
  <c r="V198" i="7"/>
  <c r="J198" i="7"/>
  <c r="L200" i="7"/>
  <c r="O204" i="7"/>
  <c r="U204" i="7"/>
  <c r="V204" i="7" s="1"/>
  <c r="V206" i="7"/>
  <c r="J206" i="7"/>
  <c r="L208" i="7"/>
  <c r="O212" i="7"/>
  <c r="U212" i="7"/>
  <c r="V212" i="7" s="1"/>
  <c r="V214" i="7"/>
  <c r="J214" i="7"/>
  <c r="L216" i="7"/>
  <c r="O220" i="7"/>
  <c r="U220" i="7"/>
  <c r="V220" i="7" s="1"/>
  <c r="V222" i="7"/>
  <c r="J222" i="7"/>
  <c r="L224" i="7"/>
  <c r="U228" i="7"/>
  <c r="V228" i="7" s="1"/>
  <c r="V230" i="7"/>
  <c r="J230" i="7"/>
  <c r="L232" i="7"/>
  <c r="U236" i="7"/>
  <c r="V236" i="7" s="1"/>
  <c r="V238" i="7"/>
  <c r="J238" i="7"/>
  <c r="L240" i="7"/>
  <c r="O244" i="7"/>
  <c r="U244" i="7"/>
  <c r="V244" i="7" s="1"/>
  <c r="V246" i="7"/>
  <c r="J246" i="7"/>
  <c r="L248" i="7"/>
  <c r="O252" i="7"/>
  <c r="U252" i="7"/>
  <c r="V252" i="7" s="1"/>
  <c r="V254" i="7"/>
  <c r="J254" i="7"/>
  <c r="L256" i="7"/>
  <c r="U260" i="7"/>
  <c r="V260" i="7" s="1"/>
  <c r="V262" i="7"/>
  <c r="J262" i="7"/>
  <c r="L264" i="7"/>
  <c r="O268" i="7"/>
  <c r="U268" i="7"/>
  <c r="V268" i="7" s="1"/>
  <c r="V270" i="7"/>
  <c r="J270" i="7"/>
  <c r="L272" i="7"/>
  <c r="O276" i="7"/>
  <c r="U276" i="7"/>
  <c r="V276" i="7" s="1"/>
  <c r="V278" i="7"/>
  <c r="J278" i="7"/>
  <c r="L280" i="7"/>
  <c r="U284" i="7"/>
  <c r="V284" i="7" s="1"/>
  <c r="V286" i="7"/>
  <c r="J286" i="7"/>
  <c r="L288" i="7"/>
  <c r="U292" i="7"/>
  <c r="V292" i="7" s="1"/>
  <c r="V294" i="7"/>
  <c r="J294" i="7"/>
  <c r="L296" i="7"/>
  <c r="O300" i="7"/>
  <c r="U300" i="7"/>
  <c r="V300" i="7" s="1"/>
  <c r="V302" i="7"/>
  <c r="J302" i="7"/>
  <c r="M4" i="8"/>
  <c r="M9" i="8"/>
  <c r="T9" i="8"/>
  <c r="T16" i="8"/>
  <c r="N16" i="8"/>
  <c r="M20" i="8"/>
  <c r="M25" i="8"/>
  <c r="T25" i="8"/>
  <c r="T32" i="8"/>
  <c r="N32" i="8"/>
  <c r="M36" i="8"/>
  <c r="M41" i="8"/>
  <c r="T41" i="8"/>
  <c r="T48" i="8"/>
  <c r="N48" i="8"/>
  <c r="M52" i="8"/>
  <c r="M57" i="8"/>
  <c r="T57" i="8"/>
  <c r="T64" i="8"/>
  <c r="N64" i="8"/>
  <c r="M68" i="8"/>
  <c r="J134" i="6"/>
  <c r="P134" i="6" s="1"/>
  <c r="T134" i="6"/>
  <c r="J138" i="6"/>
  <c r="P138" i="6" s="1"/>
  <c r="T138" i="6"/>
  <c r="J142" i="6"/>
  <c r="P142" i="6" s="1"/>
  <c r="T142" i="6"/>
  <c r="J146" i="6"/>
  <c r="P146" i="6" s="1"/>
  <c r="T146" i="6"/>
  <c r="J150" i="6"/>
  <c r="P150" i="6" s="1"/>
  <c r="T150" i="6"/>
  <c r="J154" i="6"/>
  <c r="P154" i="6" s="1"/>
  <c r="T154" i="6"/>
  <c r="J158" i="6"/>
  <c r="P158" i="6" s="1"/>
  <c r="T158" i="6"/>
  <c r="J162" i="6"/>
  <c r="P162" i="6" s="1"/>
  <c r="T162" i="6"/>
  <c r="J166" i="6"/>
  <c r="P166" i="6" s="1"/>
  <c r="T166" i="6"/>
  <c r="J170" i="6"/>
  <c r="P170" i="6" s="1"/>
  <c r="T170" i="6"/>
  <c r="J174" i="6"/>
  <c r="P174" i="6" s="1"/>
  <c r="T174" i="6"/>
  <c r="J178" i="6"/>
  <c r="P178" i="6" s="1"/>
  <c r="T178" i="6"/>
  <c r="J182" i="6"/>
  <c r="P182" i="6" s="1"/>
  <c r="T182" i="6"/>
  <c r="J186" i="6"/>
  <c r="P186" i="6" s="1"/>
  <c r="T186" i="6"/>
  <c r="J190" i="6"/>
  <c r="P190" i="6" s="1"/>
  <c r="T190" i="6"/>
  <c r="J194" i="6"/>
  <c r="P194" i="6" s="1"/>
  <c r="T194" i="6"/>
  <c r="J198" i="6"/>
  <c r="P198" i="6" s="1"/>
  <c r="T198" i="6"/>
  <c r="J202" i="6"/>
  <c r="P202" i="6" s="1"/>
  <c r="T202" i="6"/>
  <c r="J206" i="6"/>
  <c r="P206" i="6" s="1"/>
  <c r="T206" i="6"/>
  <c r="J210" i="6"/>
  <c r="P210" i="6" s="1"/>
  <c r="T210" i="6"/>
  <c r="J214" i="6"/>
  <c r="P214" i="6" s="1"/>
  <c r="T214" i="6"/>
  <c r="J218" i="6"/>
  <c r="P218" i="6" s="1"/>
  <c r="T218" i="6"/>
  <c r="J222" i="6"/>
  <c r="P222" i="6" s="1"/>
  <c r="T222" i="6"/>
  <c r="J226" i="6"/>
  <c r="P226" i="6" s="1"/>
  <c r="T226" i="6"/>
  <c r="J230" i="6"/>
  <c r="P230" i="6" s="1"/>
  <c r="T230" i="6"/>
  <c r="J234" i="6"/>
  <c r="P234" i="6" s="1"/>
  <c r="T234" i="6"/>
  <c r="J238" i="6"/>
  <c r="P238" i="6" s="1"/>
  <c r="T238" i="6"/>
  <c r="J242" i="6"/>
  <c r="P242" i="6" s="1"/>
  <c r="T242" i="6"/>
  <c r="J246" i="6"/>
  <c r="P246" i="6" s="1"/>
  <c r="T246" i="6"/>
  <c r="J250" i="6"/>
  <c r="P250" i="6" s="1"/>
  <c r="T250" i="6"/>
  <c r="J254" i="6"/>
  <c r="P254" i="6" s="1"/>
  <c r="T254" i="6"/>
  <c r="J258" i="6"/>
  <c r="P258" i="6" s="1"/>
  <c r="T258" i="6"/>
  <c r="J262" i="6"/>
  <c r="P262" i="6" s="1"/>
  <c r="T262" i="6"/>
  <c r="J266" i="6"/>
  <c r="P266" i="6" s="1"/>
  <c r="T266" i="6"/>
  <c r="J270" i="6"/>
  <c r="P270" i="6" s="1"/>
  <c r="T270" i="6"/>
  <c r="J274" i="6"/>
  <c r="P274" i="6" s="1"/>
  <c r="T274" i="6"/>
  <c r="J278" i="6"/>
  <c r="P278" i="6" s="1"/>
  <c r="T278" i="6"/>
  <c r="J282" i="6"/>
  <c r="P282" i="6" s="1"/>
  <c r="T282" i="6"/>
  <c r="J286" i="6"/>
  <c r="P286" i="6" s="1"/>
  <c r="T286" i="6"/>
  <c r="J290" i="6"/>
  <c r="P290" i="6" s="1"/>
  <c r="T290" i="6"/>
  <c r="J294" i="6"/>
  <c r="P294" i="6" s="1"/>
  <c r="T294" i="6"/>
  <c r="J298" i="6"/>
  <c r="P298" i="6" s="1"/>
  <c r="T298" i="6"/>
  <c r="J302" i="6"/>
  <c r="P302" i="6" s="1"/>
  <c r="T302" i="6"/>
  <c r="N4" i="7"/>
  <c r="J5" i="7"/>
  <c r="N5" i="7" s="1"/>
  <c r="J7" i="7"/>
  <c r="N7" i="7" s="1"/>
  <c r="J9" i="7"/>
  <c r="N9" i="7" s="1"/>
  <c r="J11" i="7"/>
  <c r="N11" i="7" s="1"/>
  <c r="J13" i="7"/>
  <c r="N13" i="7" s="1"/>
  <c r="J15" i="7"/>
  <c r="N15" i="7" s="1"/>
  <c r="J17" i="7"/>
  <c r="N17" i="7" s="1"/>
  <c r="J19" i="7"/>
  <c r="N19" i="7" s="1"/>
  <c r="J21" i="7"/>
  <c r="N21" i="7" s="1"/>
  <c r="J23" i="7"/>
  <c r="N23" i="7" s="1"/>
  <c r="J25" i="7"/>
  <c r="N25" i="7" s="1"/>
  <c r="J27" i="7"/>
  <c r="N27" i="7" s="1"/>
  <c r="J29" i="7"/>
  <c r="N29" i="7" s="1"/>
  <c r="J31" i="7"/>
  <c r="N31" i="7" s="1"/>
  <c r="J33" i="7"/>
  <c r="N33" i="7" s="1"/>
  <c r="J35" i="7"/>
  <c r="N35" i="7" s="1"/>
  <c r="J37" i="7"/>
  <c r="N37" i="7" s="1"/>
  <c r="J39" i="7"/>
  <c r="N39" i="7" s="1"/>
  <c r="J41" i="7"/>
  <c r="N41" i="7" s="1"/>
  <c r="J43" i="7"/>
  <c r="N43" i="7" s="1"/>
  <c r="J45" i="7"/>
  <c r="N45" i="7" s="1"/>
  <c r="J47" i="7"/>
  <c r="N47" i="7" s="1"/>
  <c r="J49" i="7"/>
  <c r="N49" i="7" s="1"/>
  <c r="J51" i="7"/>
  <c r="N51" i="7" s="1"/>
  <c r="J53" i="7"/>
  <c r="N53" i="7" s="1"/>
  <c r="J55" i="7"/>
  <c r="N55" i="7" s="1"/>
  <c r="J57" i="7"/>
  <c r="N57" i="7" s="1"/>
  <c r="J59" i="7"/>
  <c r="N59" i="7" s="1"/>
  <c r="J61" i="7"/>
  <c r="N61" i="7" s="1"/>
  <c r="J63" i="7"/>
  <c r="N63" i="7" s="1"/>
  <c r="J65" i="7"/>
  <c r="N65" i="7" s="1"/>
  <c r="O71" i="7"/>
  <c r="J72" i="7"/>
  <c r="N72" i="7" s="1"/>
  <c r="O79" i="7"/>
  <c r="J80" i="7"/>
  <c r="N80" i="7" s="1"/>
  <c r="O87" i="7"/>
  <c r="J88" i="7"/>
  <c r="N88" i="7" s="1"/>
  <c r="O95" i="7"/>
  <c r="J96" i="7"/>
  <c r="N96" i="7" s="1"/>
  <c r="O103" i="7"/>
  <c r="J104" i="7"/>
  <c r="N104" i="7" s="1"/>
  <c r="O111" i="7"/>
  <c r="J112" i="7"/>
  <c r="N112" i="7" s="1"/>
  <c r="O119" i="7"/>
  <c r="J120" i="7"/>
  <c r="N120" i="7" s="1"/>
  <c r="O127" i="7"/>
  <c r="J128" i="7"/>
  <c r="N128" i="7" s="1"/>
  <c r="O135" i="7"/>
  <c r="J136" i="7"/>
  <c r="N136" i="7" s="1"/>
  <c r="O143" i="7"/>
  <c r="J144" i="7"/>
  <c r="N144" i="7" s="1"/>
  <c r="O151" i="7"/>
  <c r="J152" i="7"/>
  <c r="N152" i="7" s="1"/>
  <c r="O159" i="7"/>
  <c r="V160" i="7"/>
  <c r="J160" i="7"/>
  <c r="N160" i="7" s="1"/>
  <c r="O167" i="7"/>
  <c r="J168" i="7"/>
  <c r="N168" i="7" s="1"/>
  <c r="O175" i="7"/>
  <c r="J176" i="7"/>
  <c r="N176" i="7" s="1"/>
  <c r="O183" i="7"/>
  <c r="J184" i="7"/>
  <c r="N184" i="7" s="1"/>
  <c r="O191" i="7"/>
  <c r="V192" i="7"/>
  <c r="J192" i="7"/>
  <c r="N192" i="7" s="1"/>
  <c r="O199" i="7"/>
  <c r="J200" i="7"/>
  <c r="N200" i="7" s="1"/>
  <c r="O207" i="7"/>
  <c r="J208" i="7"/>
  <c r="N208" i="7" s="1"/>
  <c r="O215" i="7"/>
  <c r="J216" i="7"/>
  <c r="N216" i="7" s="1"/>
  <c r="O223" i="7"/>
  <c r="J224" i="7"/>
  <c r="N224" i="7" s="1"/>
  <c r="O231" i="7"/>
  <c r="J232" i="7"/>
  <c r="N232" i="7" s="1"/>
  <c r="O239" i="7"/>
  <c r="J240" i="7"/>
  <c r="N240" i="7" s="1"/>
  <c r="O247" i="7"/>
  <c r="J248" i="7"/>
  <c r="N248" i="7" s="1"/>
  <c r="O255" i="7"/>
  <c r="J256" i="7"/>
  <c r="N256" i="7" s="1"/>
  <c r="O263" i="7"/>
  <c r="J264" i="7"/>
  <c r="N264" i="7" s="1"/>
  <c r="O271" i="7"/>
  <c r="J272" i="7"/>
  <c r="N272" i="7" s="1"/>
  <c r="O279" i="7"/>
  <c r="J280" i="7"/>
  <c r="N280" i="7" s="1"/>
  <c r="O287" i="7"/>
  <c r="V288" i="7"/>
  <c r="J288" i="7"/>
  <c r="N288" i="7" s="1"/>
  <c r="O295" i="7"/>
  <c r="J296" i="7"/>
  <c r="N296" i="7" s="1"/>
  <c r="O303" i="7"/>
  <c r="N9" i="8"/>
  <c r="T12" i="8"/>
  <c r="N12" i="8"/>
  <c r="N25" i="8"/>
  <c r="T28" i="8"/>
  <c r="N28" i="8"/>
  <c r="N41" i="8"/>
  <c r="T44" i="8"/>
  <c r="N44" i="8"/>
  <c r="N57" i="8"/>
  <c r="T60" i="8"/>
  <c r="N60" i="8"/>
  <c r="T72" i="8"/>
  <c r="N72" i="8"/>
  <c r="R72" i="8"/>
  <c r="M76" i="8"/>
  <c r="T80" i="8"/>
  <c r="N80" i="8"/>
  <c r="R80" i="8"/>
  <c r="M84" i="8"/>
  <c r="T88" i="8"/>
  <c r="N88" i="8"/>
  <c r="R88" i="8"/>
  <c r="M92" i="8"/>
  <c r="T96" i="8"/>
  <c r="N96" i="8"/>
  <c r="R96" i="8"/>
  <c r="M100" i="8"/>
  <c r="T104" i="8"/>
  <c r="N104" i="8"/>
  <c r="R104" i="8"/>
  <c r="M108" i="8"/>
  <c r="T112" i="8"/>
  <c r="N112" i="8"/>
  <c r="R112" i="8"/>
  <c r="M116" i="8"/>
  <c r="T120" i="8"/>
  <c r="N120" i="8"/>
  <c r="R120" i="8"/>
  <c r="M124" i="8"/>
  <c r="T128" i="8"/>
  <c r="N128" i="8"/>
  <c r="R128" i="8"/>
  <c r="M132" i="8"/>
  <c r="T136" i="8"/>
  <c r="N136" i="8"/>
  <c r="R136" i="8"/>
  <c r="M140" i="8"/>
  <c r="T144" i="8"/>
  <c r="N144" i="8"/>
  <c r="R144" i="8"/>
  <c r="M148" i="8"/>
  <c r="T152" i="8"/>
  <c r="N152" i="8"/>
  <c r="R152" i="8"/>
  <c r="M156" i="8"/>
  <c r="T160" i="8"/>
  <c r="N160" i="8"/>
  <c r="R160" i="8"/>
  <c r="O134" i="6"/>
  <c r="O138" i="6"/>
  <c r="O146" i="6"/>
  <c r="O154" i="6"/>
  <c r="O162" i="6"/>
  <c r="O170" i="6"/>
  <c r="O178" i="6"/>
  <c r="O182" i="6"/>
  <c r="O186" i="6"/>
  <c r="O194" i="6"/>
  <c r="O198" i="6"/>
  <c r="O202" i="6"/>
  <c r="O210" i="6"/>
  <c r="O218" i="6"/>
  <c r="O226" i="6"/>
  <c r="O234" i="6"/>
  <c r="O242" i="6"/>
  <c r="O246" i="6"/>
  <c r="O250" i="6"/>
  <c r="O258" i="6"/>
  <c r="O262" i="6"/>
  <c r="O266" i="6"/>
  <c r="O274" i="6"/>
  <c r="O282" i="6"/>
  <c r="O290" i="6"/>
  <c r="O298" i="6"/>
  <c r="O4" i="7"/>
  <c r="L5" i="7"/>
  <c r="O6" i="7"/>
  <c r="L7" i="7"/>
  <c r="O8" i="7"/>
  <c r="L9" i="7"/>
  <c r="O10" i="7"/>
  <c r="L11" i="7"/>
  <c r="O12" i="7"/>
  <c r="L13" i="7"/>
  <c r="O14" i="7"/>
  <c r="L15" i="7"/>
  <c r="O16" i="7"/>
  <c r="L17" i="7"/>
  <c r="O18" i="7"/>
  <c r="L19" i="7"/>
  <c r="O20" i="7"/>
  <c r="L21" i="7"/>
  <c r="O22" i="7"/>
  <c r="L23" i="7"/>
  <c r="O24" i="7"/>
  <c r="L25" i="7"/>
  <c r="O26" i="7"/>
  <c r="L27" i="7"/>
  <c r="O28" i="7"/>
  <c r="L29" i="7"/>
  <c r="O30" i="7"/>
  <c r="L31" i="7"/>
  <c r="O32" i="7"/>
  <c r="L33" i="7"/>
  <c r="O34" i="7"/>
  <c r="L35" i="7"/>
  <c r="O36" i="7"/>
  <c r="L37" i="7"/>
  <c r="O38" i="7"/>
  <c r="L39" i="7"/>
  <c r="O40" i="7"/>
  <c r="L41" i="7"/>
  <c r="O42" i="7"/>
  <c r="L43" i="7"/>
  <c r="O44" i="7"/>
  <c r="L45" i="7"/>
  <c r="O46" i="7"/>
  <c r="L47" i="7"/>
  <c r="O48" i="7"/>
  <c r="L49" i="7"/>
  <c r="O50" i="7"/>
  <c r="L51" i="7"/>
  <c r="O52" i="7"/>
  <c r="L53" i="7"/>
  <c r="O54" i="7"/>
  <c r="L55" i="7"/>
  <c r="O56" i="7"/>
  <c r="L57" i="7"/>
  <c r="O58" i="7"/>
  <c r="L59" i="7"/>
  <c r="O60" i="7"/>
  <c r="L61" i="7"/>
  <c r="O62" i="7"/>
  <c r="L63" i="7"/>
  <c r="O64" i="7"/>
  <c r="L65" i="7"/>
  <c r="O66" i="7"/>
  <c r="L68" i="7"/>
  <c r="S68" i="7"/>
  <c r="O72" i="7"/>
  <c r="U72" i="7"/>
  <c r="V72" i="7" s="1"/>
  <c r="O73" i="7"/>
  <c r="V74" i="7"/>
  <c r="J74" i="7"/>
  <c r="L76" i="7"/>
  <c r="S76" i="7"/>
  <c r="O80" i="7"/>
  <c r="U80" i="7"/>
  <c r="V80" i="7" s="1"/>
  <c r="O81" i="7"/>
  <c r="V82" i="7"/>
  <c r="J82" i="7"/>
  <c r="L84" i="7"/>
  <c r="S84" i="7"/>
  <c r="U88" i="7"/>
  <c r="V88" i="7" s="1"/>
  <c r="O89" i="7"/>
  <c r="V90" i="7"/>
  <c r="J90" i="7"/>
  <c r="L92" i="7"/>
  <c r="S92" i="7"/>
  <c r="O96" i="7"/>
  <c r="U96" i="7"/>
  <c r="V96" i="7" s="1"/>
  <c r="O97" i="7"/>
  <c r="V98" i="7"/>
  <c r="J98" i="7"/>
  <c r="L100" i="7"/>
  <c r="S100" i="7"/>
  <c r="O104" i="7"/>
  <c r="U104" i="7"/>
  <c r="V104" i="7" s="1"/>
  <c r="O105" i="7"/>
  <c r="V106" i="7"/>
  <c r="J106" i="7"/>
  <c r="L108" i="7"/>
  <c r="S108" i="7"/>
  <c r="O112" i="7"/>
  <c r="U112" i="7"/>
  <c r="V112" i="7" s="1"/>
  <c r="O113" i="7"/>
  <c r="V114" i="7"/>
  <c r="J114" i="7"/>
  <c r="L116" i="7"/>
  <c r="S116" i="7"/>
  <c r="U120" i="7"/>
  <c r="V120" i="7" s="1"/>
  <c r="O121" i="7"/>
  <c r="V122" i="7"/>
  <c r="J122" i="7"/>
  <c r="L124" i="7"/>
  <c r="S124" i="7"/>
  <c r="U128" i="7"/>
  <c r="V128" i="7" s="1"/>
  <c r="O129" i="7"/>
  <c r="V130" i="7"/>
  <c r="J130" i="7"/>
  <c r="L132" i="7"/>
  <c r="S132" i="7"/>
  <c r="O136" i="7"/>
  <c r="U136" i="7"/>
  <c r="V136" i="7" s="1"/>
  <c r="O137" i="7"/>
  <c r="V138" i="7"/>
  <c r="J138" i="7"/>
  <c r="L140" i="7"/>
  <c r="S140" i="7"/>
  <c r="O144" i="7"/>
  <c r="U144" i="7"/>
  <c r="V144" i="7" s="1"/>
  <c r="O145" i="7"/>
  <c r="V146" i="7"/>
  <c r="J146" i="7"/>
  <c r="L148" i="7"/>
  <c r="S148" i="7"/>
  <c r="O152" i="7"/>
  <c r="U152" i="7"/>
  <c r="V152" i="7" s="1"/>
  <c r="O153" i="7"/>
  <c r="V154" i="7"/>
  <c r="J154" i="7"/>
  <c r="L156" i="7"/>
  <c r="S156" i="7"/>
  <c r="U160" i="7"/>
  <c r="O161" i="7"/>
  <c r="V162" i="7"/>
  <c r="J162" i="7"/>
  <c r="L164" i="7"/>
  <c r="S164" i="7"/>
  <c r="O168" i="7"/>
  <c r="U168" i="7"/>
  <c r="V168" i="7" s="1"/>
  <c r="O169" i="7"/>
  <c r="V170" i="7"/>
  <c r="J170" i="7"/>
  <c r="L172" i="7"/>
  <c r="S172" i="7"/>
  <c r="O176" i="7"/>
  <c r="U176" i="7"/>
  <c r="V176" i="7" s="1"/>
  <c r="O177" i="7"/>
  <c r="V178" i="7"/>
  <c r="J178" i="7"/>
  <c r="L180" i="7"/>
  <c r="S180" i="7"/>
  <c r="O184" i="7"/>
  <c r="U184" i="7"/>
  <c r="V184" i="7" s="1"/>
  <c r="O185" i="7"/>
  <c r="V186" i="7"/>
  <c r="J186" i="7"/>
  <c r="L188" i="7"/>
  <c r="S188" i="7"/>
  <c r="O192" i="7"/>
  <c r="U192" i="7"/>
  <c r="O193" i="7"/>
  <c r="V194" i="7"/>
  <c r="J194" i="7"/>
  <c r="L196" i="7"/>
  <c r="S196" i="7"/>
  <c r="O200" i="7"/>
  <c r="U200" i="7"/>
  <c r="V200" i="7" s="1"/>
  <c r="O201" i="7"/>
  <c r="V202" i="7"/>
  <c r="J202" i="7"/>
  <c r="L204" i="7"/>
  <c r="S204" i="7"/>
  <c r="O208" i="7"/>
  <c r="U208" i="7"/>
  <c r="V208" i="7" s="1"/>
  <c r="O209" i="7"/>
  <c r="V210" i="7"/>
  <c r="J210" i="7"/>
  <c r="L212" i="7"/>
  <c r="S212" i="7"/>
  <c r="U216" i="7"/>
  <c r="V216" i="7" s="1"/>
  <c r="O217" i="7"/>
  <c r="V218" i="7"/>
  <c r="J218" i="7"/>
  <c r="L220" i="7"/>
  <c r="S220" i="7"/>
  <c r="O224" i="7"/>
  <c r="U224" i="7"/>
  <c r="V224" i="7" s="1"/>
  <c r="O225" i="7"/>
  <c r="V226" i="7"/>
  <c r="J226" i="7"/>
  <c r="L228" i="7"/>
  <c r="S228" i="7"/>
  <c r="O232" i="7"/>
  <c r="U232" i="7"/>
  <c r="V232" i="7" s="1"/>
  <c r="O233" i="7"/>
  <c r="V234" i="7"/>
  <c r="J234" i="7"/>
  <c r="L236" i="7"/>
  <c r="S236" i="7"/>
  <c r="O240" i="7"/>
  <c r="U240" i="7"/>
  <c r="V240" i="7" s="1"/>
  <c r="O241" i="7"/>
  <c r="V242" i="7"/>
  <c r="J242" i="7"/>
  <c r="L244" i="7"/>
  <c r="S244" i="7"/>
  <c r="U248" i="7"/>
  <c r="V248" i="7" s="1"/>
  <c r="O249" i="7"/>
  <c r="V250" i="7"/>
  <c r="J250" i="7"/>
  <c r="L252" i="7"/>
  <c r="S252" i="7"/>
  <c r="U256" i="7"/>
  <c r="V256" i="7" s="1"/>
  <c r="O257" i="7"/>
  <c r="V258" i="7"/>
  <c r="J258" i="7"/>
  <c r="L260" i="7"/>
  <c r="S260" i="7"/>
  <c r="O264" i="7"/>
  <c r="U264" i="7"/>
  <c r="V264" i="7" s="1"/>
  <c r="O265" i="7"/>
  <c r="V266" i="7"/>
  <c r="J266" i="7"/>
  <c r="L268" i="7"/>
  <c r="S268" i="7"/>
  <c r="O272" i="7"/>
  <c r="U272" i="7"/>
  <c r="V272" i="7" s="1"/>
  <c r="O273" i="7"/>
  <c r="V274" i="7"/>
  <c r="J274" i="7"/>
  <c r="L276" i="7"/>
  <c r="S276" i="7"/>
  <c r="O280" i="7"/>
  <c r="U280" i="7"/>
  <c r="V280" i="7" s="1"/>
  <c r="O281" i="7"/>
  <c r="V282" i="7"/>
  <c r="J282" i="7"/>
  <c r="L284" i="7"/>
  <c r="S284" i="7"/>
  <c r="U288" i="7"/>
  <c r="O289" i="7"/>
  <c r="V290" i="7"/>
  <c r="J290" i="7"/>
  <c r="L292" i="7"/>
  <c r="S292" i="7"/>
  <c r="O296" i="7"/>
  <c r="U296" i="7"/>
  <c r="V296" i="7" s="1"/>
  <c r="O297" i="7"/>
  <c r="V298" i="7"/>
  <c r="J298" i="7"/>
  <c r="L300" i="7"/>
  <c r="S300" i="7"/>
  <c r="R4" i="8"/>
  <c r="N5" i="8"/>
  <c r="T8" i="8"/>
  <c r="N8" i="8"/>
  <c r="M12" i="8"/>
  <c r="M17" i="8"/>
  <c r="T17" i="8"/>
  <c r="R20" i="8"/>
  <c r="N21" i="8"/>
  <c r="T24" i="8"/>
  <c r="N24" i="8"/>
  <c r="M28" i="8"/>
  <c r="M33" i="8"/>
  <c r="T33" i="8"/>
  <c r="R36" i="8"/>
  <c r="N37" i="8"/>
  <c r="T40" i="8"/>
  <c r="N40" i="8"/>
  <c r="M44" i="8"/>
  <c r="M49" i="8"/>
  <c r="T49" i="8"/>
  <c r="R52" i="8"/>
  <c r="N53" i="8"/>
  <c r="T56" i="8"/>
  <c r="N56" i="8"/>
  <c r="M60" i="8"/>
  <c r="M65" i="8"/>
  <c r="T65" i="8"/>
  <c r="R68" i="8"/>
  <c r="N69" i="8"/>
  <c r="R164" i="8"/>
  <c r="R168" i="8"/>
  <c r="R172" i="8"/>
  <c r="R176" i="8"/>
  <c r="R180" i="8"/>
  <c r="R184" i="8"/>
  <c r="R188" i="8"/>
  <c r="R192" i="8"/>
  <c r="R196" i="8"/>
  <c r="R200" i="8"/>
  <c r="R204" i="8"/>
  <c r="R208" i="8"/>
  <c r="R212" i="8"/>
  <c r="R216" i="8"/>
  <c r="R220" i="8"/>
  <c r="R224" i="8"/>
  <c r="R228" i="8"/>
  <c r="R232" i="8"/>
  <c r="R236" i="8"/>
  <c r="R240" i="8"/>
  <c r="R244" i="8"/>
  <c r="R248" i="8"/>
  <c r="R252" i="8"/>
  <c r="R256" i="8"/>
  <c r="R260" i="8"/>
  <c r="R264" i="8"/>
  <c r="R268" i="8"/>
  <c r="R272" i="8"/>
  <c r="R276" i="8"/>
  <c r="R280" i="8"/>
  <c r="R284" i="8"/>
  <c r="R288" i="8"/>
  <c r="R292" i="8"/>
  <c r="R296" i="8"/>
  <c r="R300" i="8"/>
  <c r="M4" i="9"/>
  <c r="S4" i="9"/>
  <c r="T4" i="9" s="1"/>
  <c r="J5" i="9"/>
  <c r="Q5" i="9"/>
  <c r="M6" i="9"/>
  <c r="S6" i="9"/>
  <c r="T6" i="9" s="1"/>
  <c r="J7" i="9"/>
  <c r="Q7" i="9"/>
  <c r="M8" i="9"/>
  <c r="S8" i="9"/>
  <c r="T8" i="9" s="1"/>
  <c r="J9" i="9"/>
  <c r="Q9" i="9"/>
  <c r="M10" i="9"/>
  <c r="S10" i="9"/>
  <c r="T10" i="9" s="1"/>
  <c r="J11" i="9"/>
  <c r="Q11" i="9"/>
  <c r="M12" i="9"/>
  <c r="S12" i="9"/>
  <c r="T12" i="9" s="1"/>
  <c r="J13" i="9"/>
  <c r="Q13" i="9"/>
  <c r="M14" i="9"/>
  <c r="S14" i="9"/>
  <c r="T14" i="9" s="1"/>
  <c r="J15" i="9"/>
  <c r="Q15" i="9"/>
  <c r="M16" i="9"/>
  <c r="S16" i="9"/>
  <c r="T16" i="9" s="1"/>
  <c r="J17" i="9"/>
  <c r="Q17" i="9"/>
  <c r="M18" i="9"/>
  <c r="S18" i="9"/>
  <c r="T18" i="9" s="1"/>
  <c r="J19" i="9"/>
  <c r="Q19" i="9"/>
  <c r="M20" i="9"/>
  <c r="S20" i="9"/>
  <c r="T20" i="9" s="1"/>
  <c r="J21" i="9"/>
  <c r="Q21" i="9"/>
  <c r="M22" i="9"/>
  <c r="S22" i="9"/>
  <c r="T22" i="9" s="1"/>
  <c r="J23" i="9"/>
  <c r="Q23" i="9"/>
  <c r="M24" i="9"/>
  <c r="S24" i="9"/>
  <c r="T24" i="9" s="1"/>
  <c r="J25" i="9"/>
  <c r="Q25" i="9"/>
  <c r="M26" i="9"/>
  <c r="S26" i="9"/>
  <c r="T26" i="9" s="1"/>
  <c r="J27" i="9"/>
  <c r="Q27" i="9"/>
  <c r="M28" i="9"/>
  <c r="S28" i="9"/>
  <c r="T28" i="9" s="1"/>
  <c r="J29" i="9"/>
  <c r="Q29" i="9"/>
  <c r="M30" i="9"/>
  <c r="S30" i="9"/>
  <c r="T30" i="9" s="1"/>
  <c r="J31" i="9"/>
  <c r="Q31" i="9"/>
  <c r="M32" i="9"/>
  <c r="S32" i="9"/>
  <c r="T32" i="9" s="1"/>
  <c r="J33" i="9"/>
  <c r="Q33" i="9"/>
  <c r="M34" i="9"/>
  <c r="S34" i="9"/>
  <c r="T34" i="9" s="1"/>
  <c r="J35" i="9"/>
  <c r="Q35" i="9"/>
  <c r="M36" i="9"/>
  <c r="S36" i="9"/>
  <c r="T36" i="9" s="1"/>
  <c r="J37" i="9"/>
  <c r="Q37" i="9"/>
  <c r="M38" i="9"/>
  <c r="S38" i="9"/>
  <c r="T38" i="9" s="1"/>
  <c r="J39" i="9"/>
  <c r="Q39" i="9"/>
  <c r="M40" i="9"/>
  <c r="S40" i="9"/>
  <c r="T40" i="9" s="1"/>
  <c r="J41" i="9"/>
  <c r="Q41" i="9"/>
  <c r="M42" i="9"/>
  <c r="S42" i="9"/>
  <c r="T42" i="9" s="1"/>
  <c r="J43" i="9"/>
  <c r="Q43" i="9"/>
  <c r="M44" i="9"/>
  <c r="S44" i="9"/>
  <c r="T44" i="9" s="1"/>
  <c r="J45" i="9"/>
  <c r="Q45" i="9"/>
  <c r="M46" i="9"/>
  <c r="S46" i="9"/>
  <c r="T46" i="9" s="1"/>
  <c r="J47" i="9"/>
  <c r="Q47" i="9"/>
  <c r="M48" i="9"/>
  <c r="S48" i="9"/>
  <c r="T48" i="9" s="1"/>
  <c r="J49" i="9"/>
  <c r="Q49" i="9"/>
  <c r="M50" i="9"/>
  <c r="S50" i="9"/>
  <c r="T50" i="9" s="1"/>
  <c r="J51" i="9"/>
  <c r="Q51" i="9"/>
  <c r="M52" i="9"/>
  <c r="S52" i="9"/>
  <c r="T52" i="9" s="1"/>
  <c r="J53" i="9"/>
  <c r="Q53" i="9"/>
  <c r="M54" i="9"/>
  <c r="S54" i="9"/>
  <c r="T54" i="9" s="1"/>
  <c r="J55" i="9"/>
  <c r="Q55" i="9"/>
  <c r="M56" i="9"/>
  <c r="S56" i="9"/>
  <c r="T56" i="9" s="1"/>
  <c r="J57" i="9"/>
  <c r="Q57" i="9"/>
  <c r="M58" i="9"/>
  <c r="S58" i="9"/>
  <c r="T58" i="9" s="1"/>
  <c r="J59" i="9"/>
  <c r="Q59" i="9"/>
  <c r="M60" i="9"/>
  <c r="S60" i="9"/>
  <c r="T60" i="9" s="1"/>
  <c r="J61" i="9"/>
  <c r="Q61" i="9"/>
  <c r="M62" i="9"/>
  <c r="S62" i="9"/>
  <c r="T62" i="9" s="1"/>
  <c r="J63" i="9"/>
  <c r="Q63" i="9"/>
  <c r="M64" i="9"/>
  <c r="S64" i="9"/>
  <c r="T64" i="9" s="1"/>
  <c r="M65" i="9"/>
  <c r="T66" i="9"/>
  <c r="I66" i="9"/>
  <c r="J68" i="9"/>
  <c r="T74" i="9"/>
  <c r="T82" i="9"/>
  <c r="T90" i="9"/>
  <c r="T98" i="9"/>
  <c r="T106" i="9"/>
  <c r="E10" i="11"/>
  <c r="G10" i="11"/>
  <c r="B10" i="11"/>
  <c r="F10" i="11"/>
  <c r="H10" i="11"/>
  <c r="D10" i="11"/>
  <c r="C10" i="11"/>
  <c r="I68" i="9"/>
  <c r="L68" i="9" s="1"/>
  <c r="N164" i="8"/>
  <c r="N168" i="8"/>
  <c r="N172" i="8"/>
  <c r="N176" i="8"/>
  <c r="N180" i="8"/>
  <c r="N184" i="8"/>
  <c r="N188" i="8"/>
  <c r="N192" i="8"/>
  <c r="N196" i="8"/>
  <c r="N200" i="8"/>
  <c r="N204" i="8"/>
  <c r="N208" i="8"/>
  <c r="N212" i="8"/>
  <c r="N216" i="8"/>
  <c r="N220" i="8"/>
  <c r="N224" i="8"/>
  <c r="N228" i="8"/>
  <c r="N232" i="8"/>
  <c r="N236" i="8"/>
  <c r="N240" i="8"/>
  <c r="N244" i="8"/>
  <c r="N248" i="8"/>
  <c r="N252" i="8"/>
  <c r="N256" i="8"/>
  <c r="N260" i="8"/>
  <c r="N264" i="8"/>
  <c r="N268" i="8"/>
  <c r="N272" i="8"/>
  <c r="N276" i="8"/>
  <c r="N280" i="8"/>
  <c r="N284" i="8"/>
  <c r="N288" i="8"/>
  <c r="N292" i="8"/>
  <c r="N296" i="8"/>
  <c r="N300" i="8"/>
  <c r="J4" i="9"/>
  <c r="S5" i="9"/>
  <c r="T5" i="9" s="1"/>
  <c r="J6" i="9"/>
  <c r="M7" i="9"/>
  <c r="S7" i="9"/>
  <c r="T7" i="9" s="1"/>
  <c r="J8" i="9"/>
  <c r="S9" i="9"/>
  <c r="T9" i="9" s="1"/>
  <c r="J10" i="9"/>
  <c r="S11" i="9"/>
  <c r="T11" i="9" s="1"/>
  <c r="J12" i="9"/>
  <c r="S13" i="9"/>
  <c r="T13" i="9" s="1"/>
  <c r="J14" i="9"/>
  <c r="S15" i="9"/>
  <c r="T15" i="9" s="1"/>
  <c r="J16" i="9"/>
  <c r="S17" i="9"/>
  <c r="T17" i="9" s="1"/>
  <c r="J18" i="9"/>
  <c r="S19" i="9"/>
  <c r="T19" i="9" s="1"/>
  <c r="J20" i="9"/>
  <c r="S21" i="9"/>
  <c r="T21" i="9" s="1"/>
  <c r="J22" i="9"/>
  <c r="M23" i="9"/>
  <c r="S23" i="9"/>
  <c r="T23" i="9" s="1"/>
  <c r="J24" i="9"/>
  <c r="S25" i="9"/>
  <c r="T25" i="9" s="1"/>
  <c r="J26" i="9"/>
  <c r="S27" i="9"/>
  <c r="T27" i="9" s="1"/>
  <c r="J28" i="9"/>
  <c r="S29" i="9"/>
  <c r="T29" i="9" s="1"/>
  <c r="J30" i="9"/>
  <c r="S31" i="9"/>
  <c r="T31" i="9" s="1"/>
  <c r="J32" i="9"/>
  <c r="S33" i="9"/>
  <c r="T33" i="9" s="1"/>
  <c r="J34" i="9"/>
  <c r="S35" i="9"/>
  <c r="T35" i="9" s="1"/>
  <c r="J36" i="9"/>
  <c r="S37" i="9"/>
  <c r="T37" i="9" s="1"/>
  <c r="J38" i="9"/>
  <c r="M39" i="9"/>
  <c r="S39" i="9"/>
  <c r="T39" i="9" s="1"/>
  <c r="J40" i="9"/>
  <c r="S41" i="9"/>
  <c r="T41" i="9" s="1"/>
  <c r="J42" i="9"/>
  <c r="S43" i="9"/>
  <c r="T43" i="9" s="1"/>
  <c r="J44" i="9"/>
  <c r="S45" i="9"/>
  <c r="T45" i="9" s="1"/>
  <c r="J46" i="9"/>
  <c r="S47" i="9"/>
  <c r="T47" i="9" s="1"/>
  <c r="J48" i="9"/>
  <c r="S49" i="9"/>
  <c r="T49" i="9" s="1"/>
  <c r="J50" i="9"/>
  <c r="S51" i="9"/>
  <c r="T51" i="9" s="1"/>
  <c r="J52" i="9"/>
  <c r="S53" i="9"/>
  <c r="T53" i="9" s="1"/>
  <c r="J54" i="9"/>
  <c r="M55" i="9"/>
  <c r="S55" i="9"/>
  <c r="T55" i="9" s="1"/>
  <c r="J56" i="9"/>
  <c r="S57" i="9"/>
  <c r="T57" i="9" s="1"/>
  <c r="J58" i="9"/>
  <c r="S59" i="9"/>
  <c r="T59" i="9" s="1"/>
  <c r="J60" i="9"/>
  <c r="S61" i="9"/>
  <c r="T61" i="9" s="1"/>
  <c r="J62" i="9"/>
  <c r="S63" i="9"/>
  <c r="T63" i="9" s="1"/>
  <c r="J64" i="9"/>
  <c r="M68" i="9"/>
  <c r="S68" i="9"/>
  <c r="T68" i="9" s="1"/>
  <c r="T70" i="9"/>
  <c r="I70" i="9"/>
  <c r="T78" i="9"/>
  <c r="T86" i="9"/>
  <c r="T94" i="9"/>
  <c r="T102" i="9"/>
  <c r="T110" i="9"/>
  <c r="H9" i="11"/>
  <c r="G9" i="11"/>
  <c r="B9" i="11"/>
  <c r="E9" i="11"/>
  <c r="D9" i="11"/>
  <c r="N7" i="8"/>
  <c r="N11" i="8"/>
  <c r="N15" i="8"/>
  <c r="N19" i="8"/>
  <c r="N23" i="8"/>
  <c r="N27" i="8"/>
  <c r="N31" i="8"/>
  <c r="N35" i="8"/>
  <c r="N39" i="8"/>
  <c r="N43" i="8"/>
  <c r="N47" i="8"/>
  <c r="N51" i="8"/>
  <c r="N55" i="8"/>
  <c r="N59" i="8"/>
  <c r="N63" i="8"/>
  <c r="N67" i="8"/>
  <c r="N71" i="8"/>
  <c r="N75" i="8"/>
  <c r="N79" i="8"/>
  <c r="N83" i="8"/>
  <c r="N87" i="8"/>
  <c r="N91" i="8"/>
  <c r="N95" i="8"/>
  <c r="N99" i="8"/>
  <c r="N103" i="8"/>
  <c r="N107" i="8"/>
  <c r="N111" i="8"/>
  <c r="N115" i="8"/>
  <c r="N119" i="8"/>
  <c r="N123" i="8"/>
  <c r="N127" i="8"/>
  <c r="N131" i="8"/>
  <c r="N135" i="8"/>
  <c r="N139" i="8"/>
  <c r="N143" i="8"/>
  <c r="N147" i="8"/>
  <c r="N151" i="8"/>
  <c r="N155" i="8"/>
  <c r="N159" i="8"/>
  <c r="N163" i="8"/>
  <c r="N167" i="8"/>
  <c r="N171" i="8"/>
  <c r="N175" i="8"/>
  <c r="N179" i="8"/>
  <c r="N183" i="8"/>
  <c r="N187" i="8"/>
  <c r="N191" i="8"/>
  <c r="N195" i="8"/>
  <c r="N199" i="8"/>
  <c r="N203" i="8"/>
  <c r="N207" i="8"/>
  <c r="N211" i="8"/>
  <c r="N215" i="8"/>
  <c r="N219" i="8"/>
  <c r="N223" i="8"/>
  <c r="N227" i="8"/>
  <c r="N231" i="8"/>
  <c r="N235" i="8"/>
  <c r="N239" i="8"/>
  <c r="N243" i="8"/>
  <c r="N247" i="8"/>
  <c r="N251" i="8"/>
  <c r="N255" i="8"/>
  <c r="N259" i="8"/>
  <c r="N263" i="8"/>
  <c r="N267" i="8"/>
  <c r="N271" i="8"/>
  <c r="N275" i="8"/>
  <c r="N279" i="8"/>
  <c r="N283" i="8"/>
  <c r="N287" i="8"/>
  <c r="N291" i="8"/>
  <c r="N295" i="8"/>
  <c r="N299" i="8"/>
  <c r="N303" i="8"/>
  <c r="I5" i="9"/>
  <c r="I7" i="9"/>
  <c r="L7" i="9" s="1"/>
  <c r="I9" i="9"/>
  <c r="L9" i="9" s="1"/>
  <c r="I11" i="9"/>
  <c r="L11" i="9" s="1"/>
  <c r="I13" i="9"/>
  <c r="L13" i="9" s="1"/>
  <c r="I15" i="9"/>
  <c r="L15" i="9" s="1"/>
  <c r="I17" i="9"/>
  <c r="L17" i="9" s="1"/>
  <c r="I19" i="9"/>
  <c r="L19" i="9" s="1"/>
  <c r="I21" i="9"/>
  <c r="L21" i="9" s="1"/>
  <c r="I23" i="9"/>
  <c r="L23" i="9" s="1"/>
  <c r="I25" i="9"/>
  <c r="L25" i="9" s="1"/>
  <c r="I27" i="9"/>
  <c r="L27" i="9" s="1"/>
  <c r="I29" i="9"/>
  <c r="L29" i="9" s="1"/>
  <c r="I31" i="9"/>
  <c r="L31" i="9" s="1"/>
  <c r="I33" i="9"/>
  <c r="L33" i="9" s="1"/>
  <c r="I35" i="9"/>
  <c r="L35" i="9" s="1"/>
  <c r="I37" i="9"/>
  <c r="L37" i="9" s="1"/>
  <c r="I39" i="9"/>
  <c r="L39" i="9" s="1"/>
  <c r="I41" i="9"/>
  <c r="L41" i="9" s="1"/>
  <c r="I43" i="9"/>
  <c r="L43" i="9" s="1"/>
  <c r="I45" i="9"/>
  <c r="L45" i="9" s="1"/>
  <c r="I47" i="9"/>
  <c r="L47" i="9" s="1"/>
  <c r="I49" i="9"/>
  <c r="L49" i="9" s="1"/>
  <c r="I51" i="9"/>
  <c r="L51" i="9" s="1"/>
  <c r="I53" i="9"/>
  <c r="L53" i="9" s="1"/>
  <c r="I55" i="9"/>
  <c r="L55" i="9" s="1"/>
  <c r="I57" i="9"/>
  <c r="L57" i="9" s="1"/>
  <c r="I59" i="9"/>
  <c r="L59" i="9" s="1"/>
  <c r="I61" i="9"/>
  <c r="L61" i="9" s="1"/>
  <c r="I63" i="9"/>
  <c r="L63" i="9" s="1"/>
  <c r="M71" i="9"/>
  <c r="I72" i="9"/>
  <c r="I74" i="9"/>
  <c r="I76" i="9"/>
  <c r="I78" i="9"/>
  <c r="I80" i="9"/>
  <c r="I82" i="9"/>
  <c r="I84" i="9"/>
  <c r="I86" i="9"/>
  <c r="I88" i="9"/>
  <c r="I90" i="9"/>
  <c r="I92" i="9"/>
  <c r="I94" i="9"/>
  <c r="I96" i="9"/>
  <c r="I98" i="9"/>
  <c r="I100" i="9"/>
  <c r="I102" i="9"/>
  <c r="I104" i="9"/>
  <c r="I106" i="9"/>
  <c r="I108" i="9"/>
  <c r="I110" i="9"/>
  <c r="I112" i="9"/>
  <c r="I114" i="9"/>
  <c r="I116" i="9"/>
  <c r="I118" i="9"/>
  <c r="I120" i="9"/>
  <c r="I122" i="9"/>
  <c r="I124" i="9"/>
  <c r="I126" i="9"/>
  <c r="I128" i="9"/>
  <c r="I130" i="9"/>
  <c r="I132" i="9"/>
  <c r="I134" i="9"/>
  <c r="I136" i="9"/>
  <c r="I138" i="9"/>
  <c r="I140" i="9"/>
  <c r="I142" i="9"/>
  <c r="I144" i="9"/>
  <c r="I146" i="9"/>
  <c r="I148" i="9"/>
  <c r="I150" i="9"/>
  <c r="I152" i="9"/>
  <c r="I154" i="9"/>
  <c r="S155" i="9"/>
  <c r="M156" i="9"/>
  <c r="T157" i="9"/>
  <c r="I157" i="9"/>
  <c r="J159" i="9"/>
  <c r="S163" i="9"/>
  <c r="T163" i="9" s="1"/>
  <c r="M164" i="9"/>
  <c r="T165" i="9"/>
  <c r="I165" i="9"/>
  <c r="J167" i="9"/>
  <c r="S171" i="9"/>
  <c r="M172" i="9"/>
  <c r="J174" i="9"/>
  <c r="T176" i="9"/>
  <c r="I176" i="9"/>
  <c r="L176" i="9" s="1"/>
  <c r="S176" i="9"/>
  <c r="M176" i="9"/>
  <c r="S190" i="9"/>
  <c r="T190" i="9" s="1"/>
  <c r="L193" i="9"/>
  <c r="M193" i="9"/>
  <c r="S198" i="9"/>
  <c r="T198" i="9" s="1"/>
  <c r="J216" i="9"/>
  <c r="L221" i="9"/>
  <c r="M221" i="9"/>
  <c r="J222" i="9"/>
  <c r="I224" i="9"/>
  <c r="L224" i="9" s="1"/>
  <c r="S224" i="9"/>
  <c r="T224" i="9" s="1"/>
  <c r="Q224" i="9"/>
  <c r="L227" i="9"/>
  <c r="M227" i="9"/>
  <c r="I159" i="9"/>
  <c r="L159" i="9" s="1"/>
  <c r="I167" i="9"/>
  <c r="L167" i="9" s="1"/>
  <c r="I174" i="9"/>
  <c r="L174" i="9" s="1"/>
  <c r="I180" i="9"/>
  <c r="M180" i="9" s="1"/>
  <c r="Q180" i="9"/>
  <c r="J180" i="9"/>
  <c r="T184" i="9"/>
  <c r="I184" i="9"/>
  <c r="M184" i="9" s="1"/>
  <c r="S184" i="9"/>
  <c r="T200" i="9"/>
  <c r="I200" i="9"/>
  <c r="L200" i="9" s="1"/>
  <c r="S200" i="9"/>
  <c r="Q200" i="9"/>
  <c r="L203" i="9"/>
  <c r="M203" i="9"/>
  <c r="I206" i="9"/>
  <c r="L206" i="9" s="1"/>
  <c r="S206" i="9"/>
  <c r="T206" i="9" s="1"/>
  <c r="J155" i="9"/>
  <c r="M159" i="9"/>
  <c r="S159" i="9"/>
  <c r="T159" i="9" s="1"/>
  <c r="T161" i="9"/>
  <c r="I161" i="9"/>
  <c r="J163" i="9"/>
  <c r="S167" i="9"/>
  <c r="T167" i="9" s="1"/>
  <c r="T169" i="9"/>
  <c r="I169" i="9"/>
  <c r="J171" i="9"/>
  <c r="S174" i="9"/>
  <c r="T174" i="9" s="1"/>
  <c r="L177" i="9"/>
  <c r="M177" i="9"/>
  <c r="S180" i="9"/>
  <c r="T180" i="9" s="1"/>
  <c r="T182" i="9"/>
  <c r="I182" i="9"/>
  <c r="L187" i="9"/>
  <c r="M187" i="9"/>
  <c r="I192" i="9"/>
  <c r="L192" i="9" s="1"/>
  <c r="S192" i="9"/>
  <c r="T192" i="9" s="1"/>
  <c r="M192" i="9"/>
  <c r="L195" i="9"/>
  <c r="M195" i="9"/>
  <c r="J200" i="9"/>
  <c r="L205" i="9"/>
  <c r="M205" i="9"/>
  <c r="J206" i="9"/>
  <c r="T208" i="9"/>
  <c r="I208" i="9"/>
  <c r="L208" i="9" s="1"/>
  <c r="S208" i="9"/>
  <c r="Q208" i="9"/>
  <c r="L211" i="9"/>
  <c r="M211" i="9"/>
  <c r="I214" i="9"/>
  <c r="L214" i="9" s="1"/>
  <c r="S214" i="9"/>
  <c r="T214" i="9" s="1"/>
  <c r="T155" i="9"/>
  <c r="I155" i="9"/>
  <c r="L155" i="9" s="1"/>
  <c r="M162" i="9"/>
  <c r="I163" i="9"/>
  <c r="L163" i="9" s="1"/>
  <c r="M170" i="9"/>
  <c r="T171" i="9"/>
  <c r="I171" i="9"/>
  <c r="L171" i="9" s="1"/>
  <c r="L185" i="9"/>
  <c r="M185" i="9"/>
  <c r="I190" i="9"/>
  <c r="L190" i="9" s="1"/>
  <c r="Q190" i="9"/>
  <c r="J190" i="9"/>
  <c r="I198" i="9"/>
  <c r="M198" i="9" s="1"/>
  <c r="Q198" i="9"/>
  <c r="J198" i="9"/>
  <c r="L213" i="9"/>
  <c r="M213" i="9"/>
  <c r="I216" i="9"/>
  <c r="M216" i="9" s="1"/>
  <c r="S216" i="9"/>
  <c r="T216" i="9" s="1"/>
  <c r="Q216" i="9"/>
  <c r="L219" i="9"/>
  <c r="M219" i="9"/>
  <c r="I222" i="9"/>
  <c r="L222" i="9" s="1"/>
  <c r="S222" i="9"/>
  <c r="T222" i="9" s="1"/>
  <c r="T178" i="9"/>
  <c r="I178" i="9"/>
  <c r="T186" i="9"/>
  <c r="I186" i="9"/>
  <c r="J188" i="9"/>
  <c r="T194" i="9"/>
  <c r="I194" i="9"/>
  <c r="J196" i="9"/>
  <c r="T204" i="9"/>
  <c r="I204" i="9"/>
  <c r="L204" i="9" s="1"/>
  <c r="S204" i="9"/>
  <c r="M204" i="9"/>
  <c r="T212" i="9"/>
  <c r="I212" i="9"/>
  <c r="L212" i="9" s="1"/>
  <c r="S212" i="9"/>
  <c r="M212" i="9"/>
  <c r="T220" i="9"/>
  <c r="I220" i="9"/>
  <c r="L220" i="9" s="1"/>
  <c r="S220" i="9"/>
  <c r="M220" i="9"/>
  <c r="T232" i="9"/>
  <c r="T279" i="9"/>
  <c r="G5" i="10"/>
  <c r="G13" i="10"/>
  <c r="G21" i="10"/>
  <c r="P42" i="10"/>
  <c r="L42" i="10"/>
  <c r="H42" i="10"/>
  <c r="D42" i="10"/>
  <c r="O42" i="10"/>
  <c r="K42" i="10"/>
  <c r="G42" i="10"/>
  <c r="C42" i="10"/>
  <c r="Q42" i="10"/>
  <c r="I42" i="10"/>
  <c r="N42" i="10"/>
  <c r="F42" i="10"/>
  <c r="M42" i="10"/>
  <c r="E42" i="10"/>
  <c r="P46" i="10"/>
  <c r="L46" i="10"/>
  <c r="H46" i="10"/>
  <c r="D46" i="10"/>
  <c r="O46" i="10"/>
  <c r="K46" i="10"/>
  <c r="G46" i="10"/>
  <c r="C46" i="10"/>
  <c r="Q46" i="10"/>
  <c r="I46" i="10"/>
  <c r="N46" i="10"/>
  <c r="F46" i="10"/>
  <c r="M46" i="10"/>
  <c r="E46" i="10"/>
  <c r="P50" i="10"/>
  <c r="L50" i="10"/>
  <c r="H50" i="10"/>
  <c r="D50" i="10"/>
  <c r="O50" i="10"/>
  <c r="K50" i="10"/>
  <c r="G50" i="10"/>
  <c r="C50" i="10"/>
  <c r="Q50" i="10"/>
  <c r="I50" i="10"/>
  <c r="N50" i="10"/>
  <c r="F50" i="10"/>
  <c r="M50" i="10"/>
  <c r="E50" i="10"/>
  <c r="P54" i="10"/>
  <c r="L54" i="10"/>
  <c r="H54" i="10"/>
  <c r="D54" i="10"/>
  <c r="O54" i="10"/>
  <c r="K54" i="10"/>
  <c r="G54" i="10"/>
  <c r="C54" i="10"/>
  <c r="Q54" i="10"/>
  <c r="I54" i="10"/>
  <c r="N54" i="10"/>
  <c r="F54" i="10"/>
  <c r="M54" i="10"/>
  <c r="E54" i="10"/>
  <c r="P58" i="10"/>
  <c r="L58" i="10"/>
  <c r="H58" i="10"/>
  <c r="D58" i="10"/>
  <c r="O58" i="10"/>
  <c r="K58" i="10"/>
  <c r="G58" i="10"/>
  <c r="C58" i="10"/>
  <c r="Q58" i="10"/>
  <c r="I58" i="10"/>
  <c r="N58" i="10"/>
  <c r="F58" i="10"/>
  <c r="M58" i="10"/>
  <c r="E58" i="10"/>
  <c r="P62" i="10"/>
  <c r="L62" i="10"/>
  <c r="H62" i="10"/>
  <c r="D62" i="10"/>
  <c r="O62" i="10"/>
  <c r="K62" i="10"/>
  <c r="G62" i="10"/>
  <c r="C62" i="10"/>
  <c r="Q62" i="10"/>
  <c r="I62" i="10"/>
  <c r="N62" i="10"/>
  <c r="F62" i="10"/>
  <c r="M62" i="10"/>
  <c r="E62" i="10"/>
  <c r="P66" i="10"/>
  <c r="L66" i="10"/>
  <c r="H66" i="10"/>
  <c r="D66" i="10"/>
  <c r="O66" i="10"/>
  <c r="K66" i="10"/>
  <c r="G66" i="10"/>
  <c r="C66" i="10"/>
  <c r="Q66" i="10"/>
  <c r="I66" i="10"/>
  <c r="N66" i="10"/>
  <c r="F66" i="10"/>
  <c r="M66" i="10"/>
  <c r="E66" i="10"/>
  <c r="P70" i="10"/>
  <c r="L70" i="10"/>
  <c r="H70" i="10"/>
  <c r="D70" i="10"/>
  <c r="O70" i="10"/>
  <c r="K70" i="10"/>
  <c r="G70" i="10"/>
  <c r="C70" i="10"/>
  <c r="Q70" i="10"/>
  <c r="I70" i="10"/>
  <c r="N70" i="10"/>
  <c r="F70" i="10"/>
  <c r="M70" i="10"/>
  <c r="E70" i="10"/>
  <c r="P74" i="10"/>
  <c r="L74" i="10"/>
  <c r="H74" i="10"/>
  <c r="D74" i="10"/>
  <c r="O74" i="10"/>
  <c r="K74" i="10"/>
  <c r="G74" i="10"/>
  <c r="C74" i="10"/>
  <c r="Q74" i="10"/>
  <c r="I74" i="10"/>
  <c r="N74" i="10"/>
  <c r="F74" i="10"/>
  <c r="M74" i="10"/>
  <c r="E74" i="10"/>
  <c r="T188" i="9"/>
  <c r="I188" i="9"/>
  <c r="T196" i="9"/>
  <c r="I196" i="9"/>
  <c r="T202" i="9"/>
  <c r="I202" i="9"/>
  <c r="L202" i="9" s="1"/>
  <c r="S202" i="9"/>
  <c r="T210" i="9"/>
  <c r="I210" i="9"/>
  <c r="L210" i="9" s="1"/>
  <c r="S210" i="9"/>
  <c r="I218" i="9"/>
  <c r="L218" i="9" s="1"/>
  <c r="S218" i="9"/>
  <c r="T218" i="9" s="1"/>
  <c r="I226" i="9"/>
  <c r="L226" i="9" s="1"/>
  <c r="S226" i="9"/>
  <c r="T226" i="9" s="1"/>
  <c r="T277" i="9"/>
  <c r="Q9" i="10"/>
  <c r="M9" i="10"/>
  <c r="I9" i="10"/>
  <c r="E9" i="10"/>
  <c r="P9" i="10"/>
  <c r="K9" i="10"/>
  <c r="F9" i="10"/>
  <c r="O9" i="10"/>
  <c r="J9" i="10"/>
  <c r="D9" i="10"/>
  <c r="N9" i="10"/>
  <c r="H9" i="10"/>
  <c r="C9" i="10"/>
  <c r="Q17" i="10"/>
  <c r="M17" i="10"/>
  <c r="I17" i="10"/>
  <c r="E17" i="10"/>
  <c r="P17" i="10"/>
  <c r="K17" i="10"/>
  <c r="F17" i="10"/>
  <c r="O17" i="10"/>
  <c r="J17" i="10"/>
  <c r="D17" i="10"/>
  <c r="N17" i="10"/>
  <c r="H17" i="10"/>
  <c r="C17" i="10"/>
  <c r="Q25" i="10"/>
  <c r="M25" i="10"/>
  <c r="I25" i="10"/>
  <c r="E25" i="10"/>
  <c r="P25" i="10"/>
  <c r="K25" i="10"/>
  <c r="F25" i="10"/>
  <c r="O25" i="10"/>
  <c r="J25" i="10"/>
  <c r="D25" i="10"/>
  <c r="N25" i="10"/>
  <c r="H25" i="10"/>
  <c r="C25" i="10"/>
  <c r="Q33" i="10"/>
  <c r="M33" i="10"/>
  <c r="I33" i="10"/>
  <c r="E33" i="10"/>
  <c r="P33" i="10"/>
  <c r="K33" i="10"/>
  <c r="F33" i="10"/>
  <c r="O33" i="10"/>
  <c r="J33" i="10"/>
  <c r="D33" i="10"/>
  <c r="N33" i="10"/>
  <c r="H33" i="10"/>
  <c r="C33" i="10"/>
  <c r="J46" i="10"/>
  <c r="J50" i="10"/>
  <c r="J54" i="10"/>
  <c r="J58" i="10"/>
  <c r="J62" i="10"/>
  <c r="J66" i="10"/>
  <c r="J70" i="10"/>
  <c r="J74" i="10"/>
  <c r="O79" i="10"/>
  <c r="K79" i="10"/>
  <c r="G79" i="10"/>
  <c r="C79" i="10"/>
  <c r="P79" i="10"/>
  <c r="J79" i="10"/>
  <c r="E79" i="10"/>
  <c r="N79" i="10"/>
  <c r="I79" i="10"/>
  <c r="D79" i="10"/>
  <c r="L79" i="10"/>
  <c r="R79" i="10"/>
  <c r="H79" i="10"/>
  <c r="Q79" i="10"/>
  <c r="F79" i="10"/>
  <c r="T275" i="9"/>
  <c r="Q5" i="10"/>
  <c r="M5" i="10"/>
  <c r="I5" i="10"/>
  <c r="E5" i="10"/>
  <c r="P5" i="10"/>
  <c r="K5" i="10"/>
  <c r="F5" i="10"/>
  <c r="O5" i="10"/>
  <c r="J5" i="10"/>
  <c r="D5" i="10"/>
  <c r="N5" i="10"/>
  <c r="H5" i="10"/>
  <c r="C5" i="10"/>
  <c r="Q13" i="10"/>
  <c r="M13" i="10"/>
  <c r="I13" i="10"/>
  <c r="E13" i="10"/>
  <c r="P13" i="10"/>
  <c r="K13" i="10"/>
  <c r="F13" i="10"/>
  <c r="O13" i="10"/>
  <c r="J13" i="10"/>
  <c r="D13" i="10"/>
  <c r="N13" i="10"/>
  <c r="H13" i="10"/>
  <c r="C13" i="10"/>
  <c r="Q21" i="10"/>
  <c r="M21" i="10"/>
  <c r="I21" i="10"/>
  <c r="E21" i="10"/>
  <c r="P21" i="10"/>
  <c r="K21" i="10"/>
  <c r="F21" i="10"/>
  <c r="O21" i="10"/>
  <c r="J21" i="10"/>
  <c r="D21" i="10"/>
  <c r="N21" i="10"/>
  <c r="H21" i="10"/>
  <c r="C21" i="10"/>
  <c r="Q29" i="10"/>
  <c r="M29" i="10"/>
  <c r="I29" i="10"/>
  <c r="E29" i="10"/>
  <c r="P29" i="10"/>
  <c r="K29" i="10"/>
  <c r="F29" i="10"/>
  <c r="O29" i="10"/>
  <c r="J29" i="10"/>
  <c r="D29" i="10"/>
  <c r="N29" i="10"/>
  <c r="H29" i="10"/>
  <c r="C29" i="10"/>
  <c r="Q37" i="10"/>
  <c r="M37" i="10"/>
  <c r="I37" i="10"/>
  <c r="E37" i="10"/>
  <c r="P37" i="10"/>
  <c r="K37" i="10"/>
  <c r="F37" i="10"/>
  <c r="O37" i="10"/>
  <c r="J37" i="10"/>
  <c r="D37" i="10"/>
  <c r="N37" i="10"/>
  <c r="H37" i="10"/>
  <c r="C37" i="10"/>
  <c r="O91" i="10"/>
  <c r="K91" i="10"/>
  <c r="G91" i="10"/>
  <c r="C91" i="10"/>
  <c r="Q91" i="10"/>
  <c r="L91" i="10"/>
  <c r="F91" i="10"/>
  <c r="P91" i="10"/>
  <c r="J91" i="10"/>
  <c r="E91" i="10"/>
  <c r="N91" i="10"/>
  <c r="I91" i="10"/>
  <c r="D91" i="10"/>
  <c r="I273" i="9"/>
  <c r="I275" i="9"/>
  <c r="I277" i="9"/>
  <c r="I279" i="9"/>
  <c r="I281" i="9"/>
  <c r="I283" i="9"/>
  <c r="M283" i="9" s="1"/>
  <c r="Q284" i="9"/>
  <c r="J284" i="9"/>
  <c r="I285" i="9"/>
  <c r="M285" i="9" s="1"/>
  <c r="Q286" i="9"/>
  <c r="J286" i="9"/>
  <c r="I287" i="9"/>
  <c r="Q288" i="9"/>
  <c r="J288" i="9"/>
  <c r="I289" i="9"/>
  <c r="Q290" i="9"/>
  <c r="J290" i="9"/>
  <c r="I291" i="9"/>
  <c r="M291" i="9" s="1"/>
  <c r="Q292" i="9"/>
  <c r="J292" i="9"/>
  <c r="I293" i="9"/>
  <c r="M293" i="9" s="1"/>
  <c r="Q294" i="9"/>
  <c r="J294" i="9"/>
  <c r="I295" i="9"/>
  <c r="M295" i="9" s="1"/>
  <c r="Q296" i="9"/>
  <c r="J296" i="9"/>
  <c r="I297" i="9"/>
  <c r="Q298" i="9"/>
  <c r="J298" i="9"/>
  <c r="I299" i="9"/>
  <c r="M299" i="9" s="1"/>
  <c r="Q300" i="9"/>
  <c r="J300" i="9"/>
  <c r="I301" i="9"/>
  <c r="M301" i="9" s="1"/>
  <c r="Q302" i="9"/>
  <c r="J302" i="9"/>
  <c r="I303" i="9"/>
  <c r="L303" i="9" s="1"/>
  <c r="Q304" i="9"/>
  <c r="J304" i="9"/>
  <c r="I305" i="9"/>
  <c r="L305" i="9" s="1"/>
  <c r="Q306" i="9"/>
  <c r="J306" i="9"/>
  <c r="I307" i="9"/>
  <c r="L307" i="9" s="1"/>
  <c r="Q308" i="9"/>
  <c r="J308" i="9"/>
  <c r="I309" i="9"/>
  <c r="L309" i="9" s="1"/>
  <c r="Q310" i="9"/>
  <c r="J310" i="9"/>
  <c r="I311" i="9"/>
  <c r="L311" i="9" s="1"/>
  <c r="Q312" i="9"/>
  <c r="J312" i="9"/>
  <c r="I313" i="9"/>
  <c r="L313" i="9" s="1"/>
  <c r="Q314" i="9"/>
  <c r="J314" i="9"/>
  <c r="I315" i="9"/>
  <c r="L315" i="9" s="1"/>
  <c r="Q316" i="9"/>
  <c r="J316" i="9"/>
  <c r="I317" i="9"/>
  <c r="L317" i="9" s="1"/>
  <c r="Q318" i="9"/>
  <c r="J318" i="9"/>
  <c r="I319" i="9"/>
  <c r="L319" i="9" s="1"/>
  <c r="Q320" i="9"/>
  <c r="J320" i="9"/>
  <c r="I321" i="9"/>
  <c r="L321" i="9" s="1"/>
  <c r="Q322" i="9"/>
  <c r="J322" i="9"/>
  <c r="I323" i="9"/>
  <c r="L323" i="9" s="1"/>
  <c r="Q324" i="9"/>
  <c r="J324" i="9"/>
  <c r="I325" i="9"/>
  <c r="L325" i="9" s="1"/>
  <c r="Q326" i="9"/>
  <c r="J326" i="9"/>
  <c r="I327" i="9"/>
  <c r="L327" i="9" s="1"/>
  <c r="Q328" i="9"/>
  <c r="J328" i="9"/>
  <c r="I329" i="9"/>
  <c r="L329" i="9" s="1"/>
  <c r="Q330" i="9"/>
  <c r="J330" i="9"/>
  <c r="I331" i="9"/>
  <c r="L331" i="9" s="1"/>
  <c r="Q332" i="9"/>
  <c r="J332" i="9"/>
  <c r="I333" i="9"/>
  <c r="L333" i="9" s="1"/>
  <c r="Q334" i="9"/>
  <c r="J334" i="9"/>
  <c r="I335" i="9"/>
  <c r="L335" i="9" s="1"/>
  <c r="Q336" i="9"/>
  <c r="J336" i="9"/>
  <c r="I337" i="9"/>
  <c r="L337" i="9" s="1"/>
  <c r="Q338" i="9"/>
  <c r="J338" i="9"/>
  <c r="I339" i="9"/>
  <c r="L339" i="9" s="1"/>
  <c r="Q340" i="9"/>
  <c r="J340" i="9"/>
  <c r="I341" i="9"/>
  <c r="L341" i="9" s="1"/>
  <c r="Q342" i="9"/>
  <c r="J342" i="9"/>
  <c r="I343" i="9"/>
  <c r="L343" i="9" s="1"/>
  <c r="Q344" i="9"/>
  <c r="J344" i="9"/>
  <c r="I345" i="9"/>
  <c r="L345" i="9" s="1"/>
  <c r="Q346" i="9"/>
  <c r="J346" i="9"/>
  <c r="I347" i="9"/>
  <c r="L347" i="9" s="1"/>
  <c r="Q348" i="9"/>
  <c r="J348" i="9"/>
  <c r="I349" i="9"/>
  <c r="L349" i="9" s="1"/>
  <c r="Q350" i="9"/>
  <c r="J350" i="9"/>
  <c r="I351" i="9"/>
  <c r="L351" i="9" s="1"/>
  <c r="Q352" i="9"/>
  <c r="J352" i="9"/>
  <c r="I353" i="9"/>
  <c r="L353" i="9" s="1"/>
  <c r="Q354" i="9"/>
  <c r="J354" i="9"/>
  <c r="I355" i="9"/>
  <c r="L355" i="9" s="1"/>
  <c r="Q356" i="9"/>
  <c r="J356" i="9"/>
  <c r="I357" i="9"/>
  <c r="L357" i="9" s="1"/>
  <c r="Q358" i="9"/>
  <c r="J358" i="9"/>
  <c r="I359" i="9"/>
  <c r="L359" i="9" s="1"/>
  <c r="Q360" i="9"/>
  <c r="J360" i="9"/>
  <c r="I361" i="9"/>
  <c r="L361" i="9" s="1"/>
  <c r="Q362" i="9"/>
  <c r="J362" i="9"/>
  <c r="I363" i="9"/>
  <c r="L363" i="9" s="1"/>
  <c r="Q364" i="9"/>
  <c r="J364" i="9"/>
  <c r="I365" i="9"/>
  <c r="L365" i="9" s="1"/>
  <c r="Q366" i="9"/>
  <c r="J366" i="9"/>
  <c r="I367" i="9"/>
  <c r="L367" i="9" s="1"/>
  <c r="Q368" i="9"/>
  <c r="J368" i="9"/>
  <c r="I369" i="9"/>
  <c r="L369" i="9" s="1"/>
  <c r="Q370" i="9"/>
  <c r="J370" i="9"/>
  <c r="I371" i="9"/>
  <c r="L371" i="9" s="1"/>
  <c r="Q372" i="9"/>
  <c r="J372" i="9"/>
  <c r="I373" i="9"/>
  <c r="L373" i="9" s="1"/>
  <c r="Q374" i="9"/>
  <c r="J374" i="9"/>
  <c r="I375" i="9"/>
  <c r="L375" i="9" s="1"/>
  <c r="Q376" i="9"/>
  <c r="J376" i="9"/>
  <c r="I377" i="9"/>
  <c r="L377" i="9" s="1"/>
  <c r="Q378" i="9"/>
  <c r="J378" i="9"/>
  <c r="I379" i="9"/>
  <c r="L379" i="9" s="1"/>
  <c r="Q380" i="9"/>
  <c r="J380" i="9"/>
  <c r="I381" i="9"/>
  <c r="L381" i="9" s="1"/>
  <c r="Q382" i="9"/>
  <c r="J382" i="9"/>
  <c r="I383" i="9"/>
  <c r="L383" i="9" s="1"/>
  <c r="Q384" i="9"/>
  <c r="J384" i="9"/>
  <c r="I385" i="9"/>
  <c r="L385" i="9" s="1"/>
  <c r="Q386" i="9"/>
  <c r="J386" i="9"/>
  <c r="I387" i="9"/>
  <c r="L387" i="9" s="1"/>
  <c r="Q388" i="9"/>
  <c r="J388" i="9"/>
  <c r="I389" i="9"/>
  <c r="L389" i="9" s="1"/>
  <c r="Q390" i="9"/>
  <c r="J390" i="9"/>
  <c r="I391" i="9"/>
  <c r="L391" i="9" s="1"/>
  <c r="Q392" i="9"/>
  <c r="J392" i="9"/>
  <c r="I393" i="9"/>
  <c r="L393" i="9" s="1"/>
  <c r="Q394" i="9"/>
  <c r="J394" i="9"/>
  <c r="I395" i="9"/>
  <c r="L395" i="9" s="1"/>
  <c r="Q396" i="9"/>
  <c r="J396" i="9"/>
  <c r="I397" i="9"/>
  <c r="L397" i="9" s="1"/>
  <c r="Q398" i="9"/>
  <c r="J398" i="9"/>
  <c r="I399" i="9"/>
  <c r="L399" i="9" s="1"/>
  <c r="Q400" i="9"/>
  <c r="J400" i="9"/>
  <c r="I401" i="9"/>
  <c r="L401" i="9" s="1"/>
  <c r="Q402" i="9"/>
  <c r="J402" i="9"/>
  <c r="I403" i="9"/>
  <c r="L403" i="9" s="1"/>
  <c r="P6" i="10"/>
  <c r="L6" i="10"/>
  <c r="H6" i="10"/>
  <c r="D6" i="10"/>
  <c r="G6" i="10"/>
  <c r="M6" i="10"/>
  <c r="R6" i="10"/>
  <c r="F7" i="10"/>
  <c r="L7" i="10"/>
  <c r="P10" i="10"/>
  <c r="L10" i="10"/>
  <c r="H10" i="10"/>
  <c r="D10" i="10"/>
  <c r="G10" i="10"/>
  <c r="M10" i="10"/>
  <c r="R10" i="10"/>
  <c r="F11" i="10"/>
  <c r="L11" i="10"/>
  <c r="P14" i="10"/>
  <c r="L14" i="10"/>
  <c r="H14" i="10"/>
  <c r="D14" i="10"/>
  <c r="G14" i="10"/>
  <c r="M14" i="10"/>
  <c r="R14" i="10"/>
  <c r="F15" i="10"/>
  <c r="L15" i="10"/>
  <c r="P18" i="10"/>
  <c r="L18" i="10"/>
  <c r="H18" i="10"/>
  <c r="D18" i="10"/>
  <c r="G18" i="10"/>
  <c r="M18" i="10"/>
  <c r="R18" i="10"/>
  <c r="F19" i="10"/>
  <c r="L19" i="10"/>
  <c r="P22" i="10"/>
  <c r="L22" i="10"/>
  <c r="H22" i="10"/>
  <c r="D22" i="10"/>
  <c r="G22" i="10"/>
  <c r="M22" i="10"/>
  <c r="R22" i="10"/>
  <c r="F23" i="10"/>
  <c r="L23" i="10"/>
  <c r="P26" i="10"/>
  <c r="L26" i="10"/>
  <c r="H26" i="10"/>
  <c r="D26" i="10"/>
  <c r="G26" i="10"/>
  <c r="M26" i="10"/>
  <c r="R26" i="10"/>
  <c r="F27" i="10"/>
  <c r="L27" i="10"/>
  <c r="P30" i="10"/>
  <c r="L30" i="10"/>
  <c r="H30" i="10"/>
  <c r="D30" i="10"/>
  <c r="G30" i="10"/>
  <c r="M30" i="10"/>
  <c r="R30" i="10"/>
  <c r="F31" i="10"/>
  <c r="L31" i="10"/>
  <c r="P34" i="10"/>
  <c r="L34" i="10"/>
  <c r="H34" i="10"/>
  <c r="D34" i="10"/>
  <c r="G34" i="10"/>
  <c r="M34" i="10"/>
  <c r="R34" i="10"/>
  <c r="F35" i="10"/>
  <c r="L35" i="10"/>
  <c r="P38" i="10"/>
  <c r="L38" i="10"/>
  <c r="H38" i="10"/>
  <c r="D38" i="10"/>
  <c r="G38" i="10"/>
  <c r="M38" i="10"/>
  <c r="R38" i="10"/>
  <c r="F39" i="10"/>
  <c r="L39" i="10"/>
  <c r="F41" i="10"/>
  <c r="N41" i="10"/>
  <c r="F45" i="10"/>
  <c r="N45" i="10"/>
  <c r="F49" i="10"/>
  <c r="N49" i="10"/>
  <c r="F53" i="10"/>
  <c r="N53" i="10"/>
  <c r="F57" i="10"/>
  <c r="N57" i="10"/>
  <c r="F61" i="10"/>
  <c r="N61" i="10"/>
  <c r="F65" i="10"/>
  <c r="N65" i="10"/>
  <c r="F69" i="10"/>
  <c r="N69" i="10"/>
  <c r="F73" i="10"/>
  <c r="N73" i="10"/>
  <c r="P78" i="10"/>
  <c r="L78" i="10"/>
  <c r="H78" i="10"/>
  <c r="D78" i="10"/>
  <c r="Q78" i="10"/>
  <c r="K78" i="10"/>
  <c r="F78" i="10"/>
  <c r="O78" i="10"/>
  <c r="J78" i="10"/>
  <c r="E78" i="10"/>
  <c r="M78" i="10"/>
  <c r="O83" i="10"/>
  <c r="K83" i="10"/>
  <c r="G83" i="10"/>
  <c r="C83" i="10"/>
  <c r="P83" i="10"/>
  <c r="J83" i="10"/>
  <c r="E83" i="10"/>
  <c r="N83" i="10"/>
  <c r="I83" i="10"/>
  <c r="D83" i="10"/>
  <c r="M83" i="10"/>
  <c r="G86" i="10"/>
  <c r="R86" i="10"/>
  <c r="H91" i="10"/>
  <c r="C12" i="11"/>
  <c r="S228" i="9"/>
  <c r="T228" i="9" s="1"/>
  <c r="M230" i="9"/>
  <c r="S230" i="9"/>
  <c r="T230" i="9" s="1"/>
  <c r="S232" i="9"/>
  <c r="M234" i="9"/>
  <c r="S234" i="9"/>
  <c r="T234" i="9" s="1"/>
  <c r="S236" i="9"/>
  <c r="T236" i="9" s="1"/>
  <c r="S238" i="9"/>
  <c r="T238" i="9" s="1"/>
  <c r="S240" i="9"/>
  <c r="T240" i="9" s="1"/>
  <c r="S242" i="9"/>
  <c r="T242" i="9" s="1"/>
  <c r="S244" i="9"/>
  <c r="T244" i="9" s="1"/>
  <c r="M246" i="9"/>
  <c r="S246" i="9"/>
  <c r="T246" i="9" s="1"/>
  <c r="S248" i="9"/>
  <c r="T248" i="9" s="1"/>
  <c r="M250" i="9"/>
  <c r="S250" i="9"/>
  <c r="T250" i="9" s="1"/>
  <c r="S252" i="9"/>
  <c r="T252" i="9" s="1"/>
  <c r="S254" i="9"/>
  <c r="T254" i="9" s="1"/>
  <c r="S256" i="9"/>
  <c r="T256" i="9" s="1"/>
  <c r="S258" i="9"/>
  <c r="T258" i="9" s="1"/>
  <c r="S260" i="9"/>
  <c r="T260" i="9" s="1"/>
  <c r="M262" i="9"/>
  <c r="S262" i="9"/>
  <c r="T262" i="9" s="1"/>
  <c r="S264" i="9"/>
  <c r="T264" i="9" s="1"/>
  <c r="M266" i="9"/>
  <c r="S266" i="9"/>
  <c r="T266" i="9" s="1"/>
  <c r="S268" i="9"/>
  <c r="T268" i="9" s="1"/>
  <c r="S270" i="9"/>
  <c r="T270" i="9" s="1"/>
  <c r="S283" i="9"/>
  <c r="T283" i="9" s="1"/>
  <c r="S285" i="9"/>
  <c r="T285" i="9" s="1"/>
  <c r="S287" i="9"/>
  <c r="M287" i="9"/>
  <c r="S289" i="9"/>
  <c r="T289" i="9" s="1"/>
  <c r="M289" i="9"/>
  <c r="S291" i="9"/>
  <c r="S293" i="9"/>
  <c r="T293" i="9" s="1"/>
  <c r="S295" i="9"/>
  <c r="T295" i="9" s="1"/>
  <c r="S297" i="9"/>
  <c r="T297" i="9" s="1"/>
  <c r="M297" i="9"/>
  <c r="S299" i="9"/>
  <c r="T299" i="9" s="1"/>
  <c r="S301" i="9"/>
  <c r="T301" i="9" s="1"/>
  <c r="S303" i="9"/>
  <c r="T303" i="9" s="1"/>
  <c r="M303" i="9"/>
  <c r="S305" i="9"/>
  <c r="T305" i="9" s="1"/>
  <c r="M305" i="9"/>
  <c r="S307" i="9"/>
  <c r="T307" i="9" s="1"/>
  <c r="S309" i="9"/>
  <c r="T309" i="9" s="1"/>
  <c r="S311" i="9"/>
  <c r="T311" i="9" s="1"/>
  <c r="S313" i="9"/>
  <c r="T313" i="9" s="1"/>
  <c r="M313" i="9"/>
  <c r="S315" i="9"/>
  <c r="T315" i="9" s="1"/>
  <c r="S317" i="9"/>
  <c r="T317" i="9" s="1"/>
  <c r="S319" i="9"/>
  <c r="T319" i="9" s="1"/>
  <c r="M319" i="9"/>
  <c r="S321" i="9"/>
  <c r="T321" i="9" s="1"/>
  <c r="M321" i="9"/>
  <c r="S323" i="9"/>
  <c r="T323" i="9" s="1"/>
  <c r="S325" i="9"/>
  <c r="T325" i="9" s="1"/>
  <c r="S327" i="9"/>
  <c r="T327" i="9" s="1"/>
  <c r="S329" i="9"/>
  <c r="T329" i="9" s="1"/>
  <c r="M329" i="9"/>
  <c r="S331" i="9"/>
  <c r="T331" i="9" s="1"/>
  <c r="S333" i="9"/>
  <c r="T333" i="9" s="1"/>
  <c r="S335" i="9"/>
  <c r="T335" i="9" s="1"/>
  <c r="M335" i="9"/>
  <c r="S337" i="9"/>
  <c r="T337" i="9" s="1"/>
  <c r="M337" i="9"/>
  <c r="S339" i="9"/>
  <c r="T339" i="9" s="1"/>
  <c r="S341" i="9"/>
  <c r="T341" i="9" s="1"/>
  <c r="S343" i="9"/>
  <c r="T343" i="9" s="1"/>
  <c r="S345" i="9"/>
  <c r="T345" i="9" s="1"/>
  <c r="M345" i="9"/>
  <c r="S347" i="9"/>
  <c r="T347" i="9" s="1"/>
  <c r="S349" i="9"/>
  <c r="T349" i="9" s="1"/>
  <c r="S351" i="9"/>
  <c r="T351" i="9" s="1"/>
  <c r="M351" i="9"/>
  <c r="S353" i="9"/>
  <c r="T353" i="9" s="1"/>
  <c r="M353" i="9"/>
  <c r="S355" i="9"/>
  <c r="T355" i="9" s="1"/>
  <c r="S357" i="9"/>
  <c r="T357" i="9" s="1"/>
  <c r="S359" i="9"/>
  <c r="T359" i="9" s="1"/>
  <c r="S361" i="9"/>
  <c r="T361" i="9" s="1"/>
  <c r="M361" i="9"/>
  <c r="S363" i="9"/>
  <c r="T363" i="9" s="1"/>
  <c r="S365" i="9"/>
  <c r="T365" i="9" s="1"/>
  <c r="S367" i="9"/>
  <c r="T367" i="9" s="1"/>
  <c r="M367" i="9"/>
  <c r="S369" i="9"/>
  <c r="T369" i="9" s="1"/>
  <c r="M369" i="9"/>
  <c r="S371" i="9"/>
  <c r="T371" i="9" s="1"/>
  <c r="S373" i="9"/>
  <c r="T373" i="9" s="1"/>
  <c r="S375" i="9"/>
  <c r="T375" i="9" s="1"/>
  <c r="S377" i="9"/>
  <c r="T377" i="9" s="1"/>
  <c r="M377" i="9"/>
  <c r="S379" i="9"/>
  <c r="T379" i="9" s="1"/>
  <c r="S381" i="9"/>
  <c r="T381" i="9" s="1"/>
  <c r="S383" i="9"/>
  <c r="T383" i="9" s="1"/>
  <c r="M383" i="9"/>
  <c r="S385" i="9"/>
  <c r="T385" i="9" s="1"/>
  <c r="M385" i="9"/>
  <c r="S387" i="9"/>
  <c r="T387" i="9" s="1"/>
  <c r="S389" i="9"/>
  <c r="T389" i="9" s="1"/>
  <c r="S391" i="9"/>
  <c r="T391" i="9" s="1"/>
  <c r="S393" i="9"/>
  <c r="T393" i="9" s="1"/>
  <c r="M393" i="9"/>
  <c r="S395" i="9"/>
  <c r="T395" i="9" s="1"/>
  <c r="S397" i="9"/>
  <c r="T397" i="9" s="1"/>
  <c r="S399" i="9"/>
  <c r="T399" i="9" s="1"/>
  <c r="M399" i="9"/>
  <c r="S401" i="9"/>
  <c r="T401" i="9" s="1"/>
  <c r="M401" i="9"/>
  <c r="S403" i="9"/>
  <c r="T403" i="9" s="1"/>
  <c r="O7" i="10"/>
  <c r="K7" i="10"/>
  <c r="G7" i="10"/>
  <c r="C7" i="10"/>
  <c r="H7" i="10"/>
  <c r="M7" i="10"/>
  <c r="R7" i="10"/>
  <c r="O11" i="10"/>
  <c r="K11" i="10"/>
  <c r="G11" i="10"/>
  <c r="C11" i="10"/>
  <c r="H11" i="10"/>
  <c r="M11" i="10"/>
  <c r="R11" i="10"/>
  <c r="O15" i="10"/>
  <c r="K15" i="10"/>
  <c r="G15" i="10"/>
  <c r="C15" i="10"/>
  <c r="H15" i="10"/>
  <c r="M15" i="10"/>
  <c r="R15" i="10"/>
  <c r="O19" i="10"/>
  <c r="K19" i="10"/>
  <c r="G19" i="10"/>
  <c r="C19" i="10"/>
  <c r="H19" i="10"/>
  <c r="M19" i="10"/>
  <c r="R19" i="10"/>
  <c r="O23" i="10"/>
  <c r="K23" i="10"/>
  <c r="G23" i="10"/>
  <c r="C23" i="10"/>
  <c r="H23" i="10"/>
  <c r="M23" i="10"/>
  <c r="R23" i="10"/>
  <c r="O27" i="10"/>
  <c r="K27" i="10"/>
  <c r="G27" i="10"/>
  <c r="C27" i="10"/>
  <c r="H27" i="10"/>
  <c r="M27" i="10"/>
  <c r="R27" i="10"/>
  <c r="O31" i="10"/>
  <c r="K31" i="10"/>
  <c r="G31" i="10"/>
  <c r="C31" i="10"/>
  <c r="H31" i="10"/>
  <c r="M31" i="10"/>
  <c r="R31" i="10"/>
  <c r="O35" i="10"/>
  <c r="K35" i="10"/>
  <c r="G35" i="10"/>
  <c r="C35" i="10"/>
  <c r="H35" i="10"/>
  <c r="M35" i="10"/>
  <c r="R35" i="10"/>
  <c r="O39" i="10"/>
  <c r="K39" i="10"/>
  <c r="G39" i="10"/>
  <c r="C39" i="10"/>
  <c r="R39" i="10"/>
  <c r="H39" i="10"/>
  <c r="M39" i="10"/>
  <c r="G41" i="10"/>
  <c r="G45" i="10"/>
  <c r="G49" i="10"/>
  <c r="G53" i="10"/>
  <c r="G57" i="10"/>
  <c r="G61" i="10"/>
  <c r="G65" i="10"/>
  <c r="G69" i="10"/>
  <c r="G73" i="10"/>
  <c r="P82" i="10"/>
  <c r="L82" i="10"/>
  <c r="H82" i="10"/>
  <c r="D82" i="10"/>
  <c r="Q82" i="10"/>
  <c r="K82" i="10"/>
  <c r="F82" i="10"/>
  <c r="O82" i="10"/>
  <c r="J82" i="10"/>
  <c r="E82" i="10"/>
  <c r="M82" i="10"/>
  <c r="O87" i="10"/>
  <c r="K87" i="10"/>
  <c r="G87" i="10"/>
  <c r="C87" i="10"/>
  <c r="P87" i="10"/>
  <c r="J87" i="10"/>
  <c r="E87" i="10"/>
  <c r="N87" i="10"/>
  <c r="I87" i="10"/>
  <c r="D87" i="10"/>
  <c r="M87" i="10"/>
  <c r="M91" i="10"/>
  <c r="I228" i="9"/>
  <c r="L228" i="9" s="1"/>
  <c r="I230" i="9"/>
  <c r="L230" i="9" s="1"/>
  <c r="I232" i="9"/>
  <c r="L232" i="9" s="1"/>
  <c r="I234" i="9"/>
  <c r="L234" i="9" s="1"/>
  <c r="I236" i="9"/>
  <c r="L236" i="9" s="1"/>
  <c r="I238" i="9"/>
  <c r="L238" i="9" s="1"/>
  <c r="I240" i="9"/>
  <c r="L240" i="9" s="1"/>
  <c r="I242" i="9"/>
  <c r="L242" i="9" s="1"/>
  <c r="I244" i="9"/>
  <c r="L244" i="9" s="1"/>
  <c r="I246" i="9"/>
  <c r="L246" i="9" s="1"/>
  <c r="I248" i="9"/>
  <c r="L248" i="9" s="1"/>
  <c r="I250" i="9"/>
  <c r="L250" i="9" s="1"/>
  <c r="I252" i="9"/>
  <c r="L252" i="9" s="1"/>
  <c r="I254" i="9"/>
  <c r="L254" i="9" s="1"/>
  <c r="I256" i="9"/>
  <c r="L256" i="9" s="1"/>
  <c r="I258" i="9"/>
  <c r="L258" i="9" s="1"/>
  <c r="I260" i="9"/>
  <c r="L260" i="9" s="1"/>
  <c r="I262" i="9"/>
  <c r="L262" i="9" s="1"/>
  <c r="I264" i="9"/>
  <c r="L264" i="9" s="1"/>
  <c r="I266" i="9"/>
  <c r="L266" i="9" s="1"/>
  <c r="I268" i="9"/>
  <c r="L268" i="9" s="1"/>
  <c r="I270" i="9"/>
  <c r="L270" i="9" s="1"/>
  <c r="I272" i="9"/>
  <c r="L287" i="9"/>
  <c r="T287" i="9"/>
  <c r="L289" i="9"/>
  <c r="T291" i="9"/>
  <c r="L295" i="9"/>
  <c r="L297" i="9"/>
  <c r="Q41" i="10"/>
  <c r="M41" i="10"/>
  <c r="I41" i="10"/>
  <c r="E41" i="10"/>
  <c r="P41" i="10"/>
  <c r="L41" i="10"/>
  <c r="H41" i="10"/>
  <c r="D41" i="10"/>
  <c r="J41" i="10"/>
  <c r="R41" i="10"/>
  <c r="Q45" i="10"/>
  <c r="M45" i="10"/>
  <c r="I45" i="10"/>
  <c r="E45" i="10"/>
  <c r="P45" i="10"/>
  <c r="L45" i="10"/>
  <c r="H45" i="10"/>
  <c r="D45" i="10"/>
  <c r="J45" i="10"/>
  <c r="R45" i="10"/>
  <c r="Q49" i="10"/>
  <c r="M49" i="10"/>
  <c r="I49" i="10"/>
  <c r="E49" i="10"/>
  <c r="P49" i="10"/>
  <c r="L49" i="10"/>
  <c r="H49" i="10"/>
  <c r="D49" i="10"/>
  <c r="J49" i="10"/>
  <c r="R49" i="10"/>
  <c r="Q53" i="10"/>
  <c r="M53" i="10"/>
  <c r="I53" i="10"/>
  <c r="E53" i="10"/>
  <c r="P53" i="10"/>
  <c r="L53" i="10"/>
  <c r="H53" i="10"/>
  <c r="D53" i="10"/>
  <c r="J53" i="10"/>
  <c r="R53" i="10"/>
  <c r="Q57" i="10"/>
  <c r="M57" i="10"/>
  <c r="I57" i="10"/>
  <c r="E57" i="10"/>
  <c r="P57" i="10"/>
  <c r="L57" i="10"/>
  <c r="H57" i="10"/>
  <c r="D57" i="10"/>
  <c r="J57" i="10"/>
  <c r="R57" i="10"/>
  <c r="Q61" i="10"/>
  <c r="M61" i="10"/>
  <c r="I61" i="10"/>
  <c r="E61" i="10"/>
  <c r="P61" i="10"/>
  <c r="L61" i="10"/>
  <c r="H61" i="10"/>
  <c r="D61" i="10"/>
  <c r="J61" i="10"/>
  <c r="R61" i="10"/>
  <c r="Q65" i="10"/>
  <c r="M65" i="10"/>
  <c r="I65" i="10"/>
  <c r="E65" i="10"/>
  <c r="P65" i="10"/>
  <c r="L65" i="10"/>
  <c r="H65" i="10"/>
  <c r="D65" i="10"/>
  <c r="J65" i="10"/>
  <c r="R65" i="10"/>
  <c r="Q69" i="10"/>
  <c r="M69" i="10"/>
  <c r="I69" i="10"/>
  <c r="E69" i="10"/>
  <c r="P69" i="10"/>
  <c r="L69" i="10"/>
  <c r="H69" i="10"/>
  <c r="D69" i="10"/>
  <c r="J69" i="10"/>
  <c r="R69" i="10"/>
  <c r="Q73" i="10"/>
  <c r="M73" i="10"/>
  <c r="I73" i="10"/>
  <c r="E73" i="10"/>
  <c r="P73" i="10"/>
  <c r="L73" i="10"/>
  <c r="H73" i="10"/>
  <c r="D73" i="10"/>
  <c r="J73" i="10"/>
  <c r="R73" i="10"/>
  <c r="P86" i="10"/>
  <c r="L86" i="10"/>
  <c r="H86" i="10"/>
  <c r="D86" i="10"/>
  <c r="Q86" i="10"/>
  <c r="K86" i="10"/>
  <c r="F86" i="10"/>
  <c r="O86" i="10"/>
  <c r="J86" i="10"/>
  <c r="E86" i="10"/>
  <c r="M86" i="10"/>
  <c r="R91" i="10"/>
  <c r="O95" i="10"/>
  <c r="K95" i="10"/>
  <c r="G95" i="10"/>
  <c r="C95" i="10"/>
  <c r="N95" i="10"/>
  <c r="I95" i="10"/>
  <c r="D95" i="10"/>
  <c r="P95" i="10"/>
  <c r="H95" i="10"/>
  <c r="M95" i="10"/>
  <c r="F95" i="10"/>
  <c r="R95" i="10"/>
  <c r="L95" i="10"/>
  <c r="E95" i="10"/>
  <c r="F43" i="10"/>
  <c r="J43" i="10"/>
  <c r="N43" i="10"/>
  <c r="R43" i="10"/>
  <c r="F47" i="10"/>
  <c r="J47" i="10"/>
  <c r="N47" i="10"/>
  <c r="R47" i="10"/>
  <c r="F51" i="10"/>
  <c r="J51" i="10"/>
  <c r="N51" i="10"/>
  <c r="R51" i="10"/>
  <c r="F55" i="10"/>
  <c r="J55" i="10"/>
  <c r="N55" i="10"/>
  <c r="R55" i="10"/>
  <c r="F59" i="10"/>
  <c r="J59" i="10"/>
  <c r="N59" i="10"/>
  <c r="R59" i="10"/>
  <c r="F63" i="10"/>
  <c r="J63" i="10"/>
  <c r="N63" i="10"/>
  <c r="R63" i="10"/>
  <c r="F67" i="10"/>
  <c r="J67" i="10"/>
  <c r="N67" i="10"/>
  <c r="R67" i="10"/>
  <c r="F71" i="10"/>
  <c r="J71" i="10"/>
  <c r="N71" i="10"/>
  <c r="R71" i="10"/>
  <c r="F75" i="10"/>
  <c r="J75" i="10"/>
  <c r="N75" i="10"/>
  <c r="E90" i="10"/>
  <c r="J90" i="10"/>
  <c r="O90" i="10"/>
  <c r="E94" i="10"/>
  <c r="J94" i="10"/>
  <c r="O94" i="10"/>
  <c r="D97" i="10"/>
  <c r="L97" i="10"/>
  <c r="P98" i="10"/>
  <c r="L98" i="10"/>
  <c r="H98" i="10"/>
  <c r="D98" i="10"/>
  <c r="O98" i="10"/>
  <c r="J98" i="10"/>
  <c r="E98" i="10"/>
  <c r="I98" i="10"/>
  <c r="Q98" i="10"/>
  <c r="F99" i="10"/>
  <c r="M99" i="10"/>
  <c r="P103" i="10"/>
  <c r="L103" i="10"/>
  <c r="H103" i="10"/>
  <c r="D103" i="10"/>
  <c r="O103" i="10"/>
  <c r="K103" i="10"/>
  <c r="G103" i="10"/>
  <c r="C103" i="10"/>
  <c r="N103" i="10"/>
  <c r="F103" i="10"/>
  <c r="M103" i="10"/>
  <c r="P107" i="10"/>
  <c r="L107" i="10"/>
  <c r="H107" i="10"/>
  <c r="D107" i="10"/>
  <c r="O107" i="10"/>
  <c r="K107" i="10"/>
  <c r="G107" i="10"/>
  <c r="C107" i="10"/>
  <c r="N107" i="10"/>
  <c r="F107" i="10"/>
  <c r="M107" i="10"/>
  <c r="P111" i="10"/>
  <c r="L111" i="10"/>
  <c r="H111" i="10"/>
  <c r="D111" i="10"/>
  <c r="O111" i="10"/>
  <c r="K111" i="10"/>
  <c r="G111" i="10"/>
  <c r="C111" i="10"/>
  <c r="N111" i="10"/>
  <c r="F111" i="10"/>
  <c r="M111" i="10"/>
  <c r="P115" i="10"/>
  <c r="L115" i="10"/>
  <c r="H115" i="10"/>
  <c r="D115" i="10"/>
  <c r="O115" i="10"/>
  <c r="K115" i="10"/>
  <c r="G115" i="10"/>
  <c r="C115" i="10"/>
  <c r="N115" i="10"/>
  <c r="F115" i="10"/>
  <c r="M115" i="10"/>
  <c r="P119" i="10"/>
  <c r="L119" i="10"/>
  <c r="H119" i="10"/>
  <c r="D119" i="10"/>
  <c r="O119" i="10"/>
  <c r="K119" i="10"/>
  <c r="G119" i="10"/>
  <c r="C119" i="10"/>
  <c r="N119" i="10"/>
  <c r="F119" i="10"/>
  <c r="M119" i="10"/>
  <c r="P123" i="10"/>
  <c r="L123" i="10"/>
  <c r="H123" i="10"/>
  <c r="D123" i="10"/>
  <c r="O123" i="10"/>
  <c r="K123" i="10"/>
  <c r="G123" i="10"/>
  <c r="C123" i="10"/>
  <c r="N123" i="10"/>
  <c r="F123" i="10"/>
  <c r="M123" i="10"/>
  <c r="P127" i="10"/>
  <c r="L127" i="10"/>
  <c r="H127" i="10"/>
  <c r="D127" i="10"/>
  <c r="O127" i="10"/>
  <c r="K127" i="10"/>
  <c r="G127" i="10"/>
  <c r="C127" i="10"/>
  <c r="N127" i="10"/>
  <c r="F127" i="10"/>
  <c r="M127" i="10"/>
  <c r="P131" i="10"/>
  <c r="L131" i="10"/>
  <c r="H131" i="10"/>
  <c r="D131" i="10"/>
  <c r="O131" i="10"/>
  <c r="K131" i="10"/>
  <c r="G131" i="10"/>
  <c r="C131" i="10"/>
  <c r="N131" i="10"/>
  <c r="F131" i="10"/>
  <c r="M131" i="10"/>
  <c r="P135" i="10"/>
  <c r="L135" i="10"/>
  <c r="H135" i="10"/>
  <c r="D135" i="10"/>
  <c r="O135" i="10"/>
  <c r="K135" i="10"/>
  <c r="G135" i="10"/>
  <c r="C135" i="10"/>
  <c r="N135" i="10"/>
  <c r="F135" i="10"/>
  <c r="M135" i="10"/>
  <c r="P139" i="10"/>
  <c r="L139" i="10"/>
  <c r="H139" i="10"/>
  <c r="D139" i="10"/>
  <c r="O139" i="10"/>
  <c r="K139" i="10"/>
  <c r="G139" i="10"/>
  <c r="C139" i="10"/>
  <c r="N139" i="10"/>
  <c r="F139" i="10"/>
  <c r="M139" i="10"/>
  <c r="P143" i="10"/>
  <c r="L143" i="10"/>
  <c r="H143" i="10"/>
  <c r="D143" i="10"/>
  <c r="O143" i="10"/>
  <c r="K143" i="10"/>
  <c r="G143" i="10"/>
  <c r="C143" i="10"/>
  <c r="N143" i="10"/>
  <c r="F143" i="10"/>
  <c r="M143" i="10"/>
  <c r="P147" i="10"/>
  <c r="L147" i="10"/>
  <c r="H147" i="10"/>
  <c r="D147" i="10"/>
  <c r="O147" i="10"/>
  <c r="K147" i="10"/>
  <c r="G147" i="10"/>
  <c r="C147" i="10"/>
  <c r="N147" i="10"/>
  <c r="F147" i="10"/>
  <c r="M147" i="10"/>
  <c r="P151" i="10"/>
  <c r="L151" i="10"/>
  <c r="H151" i="10"/>
  <c r="D151" i="10"/>
  <c r="O151" i="10"/>
  <c r="K151" i="10"/>
  <c r="G151" i="10"/>
  <c r="C151" i="10"/>
  <c r="N151" i="10"/>
  <c r="F151" i="10"/>
  <c r="M151" i="10"/>
  <c r="F12" i="11"/>
  <c r="F4" i="10"/>
  <c r="J4" i="10"/>
  <c r="N4" i="10"/>
  <c r="F8" i="10"/>
  <c r="J8" i="10"/>
  <c r="N8" i="10"/>
  <c r="F12" i="10"/>
  <c r="J12" i="10"/>
  <c r="N12" i="10"/>
  <c r="F16" i="10"/>
  <c r="J16" i="10"/>
  <c r="N16" i="10"/>
  <c r="F20" i="10"/>
  <c r="J20" i="10"/>
  <c r="N20" i="10"/>
  <c r="F24" i="10"/>
  <c r="J24" i="10"/>
  <c r="N24" i="10"/>
  <c r="F28" i="10"/>
  <c r="J28" i="10"/>
  <c r="N28" i="10"/>
  <c r="F32" i="10"/>
  <c r="J32" i="10"/>
  <c r="N32" i="10"/>
  <c r="F36" i="10"/>
  <c r="J36" i="10"/>
  <c r="N36" i="10"/>
  <c r="F40" i="10"/>
  <c r="J40" i="10"/>
  <c r="N40" i="10"/>
  <c r="C43" i="10"/>
  <c r="G43" i="10"/>
  <c r="K43" i="10"/>
  <c r="F44" i="10"/>
  <c r="J44" i="10"/>
  <c r="N44" i="10"/>
  <c r="C47" i="10"/>
  <c r="G47" i="10"/>
  <c r="K47" i="10"/>
  <c r="F48" i="10"/>
  <c r="J48" i="10"/>
  <c r="N48" i="10"/>
  <c r="C51" i="10"/>
  <c r="G51" i="10"/>
  <c r="K51" i="10"/>
  <c r="F52" i="10"/>
  <c r="J52" i="10"/>
  <c r="N52" i="10"/>
  <c r="C55" i="10"/>
  <c r="G55" i="10"/>
  <c r="K55" i="10"/>
  <c r="F56" i="10"/>
  <c r="J56" i="10"/>
  <c r="N56" i="10"/>
  <c r="C59" i="10"/>
  <c r="G59" i="10"/>
  <c r="K59" i="10"/>
  <c r="F60" i="10"/>
  <c r="J60" i="10"/>
  <c r="N60" i="10"/>
  <c r="C63" i="10"/>
  <c r="G63" i="10"/>
  <c r="K63" i="10"/>
  <c r="F64" i="10"/>
  <c r="J64" i="10"/>
  <c r="N64" i="10"/>
  <c r="C67" i="10"/>
  <c r="G67" i="10"/>
  <c r="K67" i="10"/>
  <c r="F68" i="10"/>
  <c r="J68" i="10"/>
  <c r="N68" i="10"/>
  <c r="C71" i="10"/>
  <c r="G71" i="10"/>
  <c r="K71" i="10"/>
  <c r="F72" i="10"/>
  <c r="J72" i="10"/>
  <c r="N72" i="10"/>
  <c r="C75" i="10"/>
  <c r="G75" i="10"/>
  <c r="K75" i="10"/>
  <c r="P75" i="10"/>
  <c r="Q77" i="10"/>
  <c r="M77" i="10"/>
  <c r="I77" i="10"/>
  <c r="E77" i="10"/>
  <c r="G77" i="10"/>
  <c r="L77" i="10"/>
  <c r="R77" i="10"/>
  <c r="Q81" i="10"/>
  <c r="M81" i="10"/>
  <c r="I81" i="10"/>
  <c r="E81" i="10"/>
  <c r="G81" i="10"/>
  <c r="L81" i="10"/>
  <c r="R81" i="10"/>
  <c r="Q85" i="10"/>
  <c r="M85" i="10"/>
  <c r="I85" i="10"/>
  <c r="E85" i="10"/>
  <c r="G85" i="10"/>
  <c r="L85" i="10"/>
  <c r="R85" i="10"/>
  <c r="Q89" i="10"/>
  <c r="M89" i="10"/>
  <c r="I89" i="10"/>
  <c r="E89" i="10"/>
  <c r="G89" i="10"/>
  <c r="L89" i="10"/>
  <c r="R89" i="10"/>
  <c r="F90" i="10"/>
  <c r="K90" i="10"/>
  <c r="Q93" i="10"/>
  <c r="M93" i="10"/>
  <c r="I93" i="10"/>
  <c r="E93" i="10"/>
  <c r="G93" i="10"/>
  <c r="L93" i="10"/>
  <c r="R93" i="10"/>
  <c r="F94" i="10"/>
  <c r="K94" i="10"/>
  <c r="G97" i="10"/>
  <c r="C98" i="10"/>
  <c r="K98" i="10"/>
  <c r="R98" i="10"/>
  <c r="H99" i="10"/>
  <c r="Q102" i="10"/>
  <c r="M102" i="10"/>
  <c r="I102" i="10"/>
  <c r="E102" i="10"/>
  <c r="P102" i="10"/>
  <c r="L102" i="10"/>
  <c r="H102" i="10"/>
  <c r="D102" i="10"/>
  <c r="O102" i="10"/>
  <c r="G102" i="10"/>
  <c r="K102" i="10"/>
  <c r="E103" i="10"/>
  <c r="Q103" i="10"/>
  <c r="Q106" i="10"/>
  <c r="M106" i="10"/>
  <c r="I106" i="10"/>
  <c r="E106" i="10"/>
  <c r="P106" i="10"/>
  <c r="L106" i="10"/>
  <c r="H106" i="10"/>
  <c r="D106" i="10"/>
  <c r="O106" i="10"/>
  <c r="G106" i="10"/>
  <c r="K106" i="10"/>
  <c r="E107" i="10"/>
  <c r="Q107" i="10"/>
  <c r="Q110" i="10"/>
  <c r="M110" i="10"/>
  <c r="I110" i="10"/>
  <c r="E110" i="10"/>
  <c r="P110" i="10"/>
  <c r="L110" i="10"/>
  <c r="H110" i="10"/>
  <c r="D110" i="10"/>
  <c r="O110" i="10"/>
  <c r="G110" i="10"/>
  <c r="K110" i="10"/>
  <c r="E111" i="10"/>
  <c r="Q111" i="10"/>
  <c r="Q114" i="10"/>
  <c r="M114" i="10"/>
  <c r="I114" i="10"/>
  <c r="E114" i="10"/>
  <c r="P114" i="10"/>
  <c r="L114" i="10"/>
  <c r="H114" i="10"/>
  <c r="D114" i="10"/>
  <c r="O114" i="10"/>
  <c r="G114" i="10"/>
  <c r="K114" i="10"/>
  <c r="E115" i="10"/>
  <c r="Q115" i="10"/>
  <c r="Q118" i="10"/>
  <c r="M118" i="10"/>
  <c r="I118" i="10"/>
  <c r="E118" i="10"/>
  <c r="P118" i="10"/>
  <c r="L118" i="10"/>
  <c r="H118" i="10"/>
  <c r="D118" i="10"/>
  <c r="O118" i="10"/>
  <c r="G118" i="10"/>
  <c r="K118" i="10"/>
  <c r="E119" i="10"/>
  <c r="Q119" i="10"/>
  <c r="Q122" i="10"/>
  <c r="M122" i="10"/>
  <c r="I122" i="10"/>
  <c r="E122" i="10"/>
  <c r="P122" i="10"/>
  <c r="L122" i="10"/>
  <c r="H122" i="10"/>
  <c r="D122" i="10"/>
  <c r="O122" i="10"/>
  <c r="G122" i="10"/>
  <c r="K122" i="10"/>
  <c r="E123" i="10"/>
  <c r="Q123" i="10"/>
  <c r="Q126" i="10"/>
  <c r="M126" i="10"/>
  <c r="I126" i="10"/>
  <c r="E126" i="10"/>
  <c r="P126" i="10"/>
  <c r="L126" i="10"/>
  <c r="H126" i="10"/>
  <c r="D126" i="10"/>
  <c r="O126" i="10"/>
  <c r="G126" i="10"/>
  <c r="K126" i="10"/>
  <c r="E127" i="10"/>
  <c r="Q127" i="10"/>
  <c r="Q130" i="10"/>
  <c r="M130" i="10"/>
  <c r="I130" i="10"/>
  <c r="E130" i="10"/>
  <c r="P130" i="10"/>
  <c r="L130" i="10"/>
  <c r="H130" i="10"/>
  <c r="D130" i="10"/>
  <c r="O130" i="10"/>
  <c r="G130" i="10"/>
  <c r="K130" i="10"/>
  <c r="E131" i="10"/>
  <c r="Q131" i="10"/>
  <c r="Q134" i="10"/>
  <c r="M134" i="10"/>
  <c r="I134" i="10"/>
  <c r="E134" i="10"/>
  <c r="P134" i="10"/>
  <c r="L134" i="10"/>
  <c r="H134" i="10"/>
  <c r="D134" i="10"/>
  <c r="O134" i="10"/>
  <c r="G134" i="10"/>
  <c r="K134" i="10"/>
  <c r="E135" i="10"/>
  <c r="Q135" i="10"/>
  <c r="Q138" i="10"/>
  <c r="M138" i="10"/>
  <c r="I138" i="10"/>
  <c r="E138" i="10"/>
  <c r="P138" i="10"/>
  <c r="L138" i="10"/>
  <c r="H138" i="10"/>
  <c r="D138" i="10"/>
  <c r="O138" i="10"/>
  <c r="G138" i="10"/>
  <c r="K138" i="10"/>
  <c r="E139" i="10"/>
  <c r="Q139" i="10"/>
  <c r="Q142" i="10"/>
  <c r="M142" i="10"/>
  <c r="I142" i="10"/>
  <c r="E142" i="10"/>
  <c r="P142" i="10"/>
  <c r="L142" i="10"/>
  <c r="H142" i="10"/>
  <c r="D142" i="10"/>
  <c r="O142" i="10"/>
  <c r="G142" i="10"/>
  <c r="K142" i="10"/>
  <c r="E143" i="10"/>
  <c r="Q143" i="10"/>
  <c r="Q146" i="10"/>
  <c r="M146" i="10"/>
  <c r="I146" i="10"/>
  <c r="E146" i="10"/>
  <c r="P146" i="10"/>
  <c r="L146" i="10"/>
  <c r="H146" i="10"/>
  <c r="D146" i="10"/>
  <c r="O146" i="10"/>
  <c r="G146" i="10"/>
  <c r="K146" i="10"/>
  <c r="E147" i="10"/>
  <c r="Q147" i="10"/>
  <c r="Q150" i="10"/>
  <c r="M150" i="10"/>
  <c r="I150" i="10"/>
  <c r="E150" i="10"/>
  <c r="P150" i="10"/>
  <c r="L150" i="10"/>
  <c r="H150" i="10"/>
  <c r="D150" i="10"/>
  <c r="O150" i="10"/>
  <c r="G150" i="10"/>
  <c r="K150" i="10"/>
  <c r="E151" i="10"/>
  <c r="Q151" i="10"/>
  <c r="N3" i="12"/>
  <c r="J28" i="11"/>
  <c r="E28" i="11"/>
  <c r="H28" i="11"/>
  <c r="D28" i="11"/>
  <c r="F28" i="11"/>
  <c r="C28" i="11"/>
  <c r="O3" i="12" s="1"/>
  <c r="N5" i="12"/>
  <c r="J30" i="11"/>
  <c r="E30" i="11"/>
  <c r="H30" i="11"/>
  <c r="D30" i="11"/>
  <c r="F30" i="11"/>
  <c r="C30" i="11"/>
  <c r="O5" i="12" s="1"/>
  <c r="J32" i="11"/>
  <c r="E32" i="11"/>
  <c r="N7" i="12"/>
  <c r="H32" i="11"/>
  <c r="D32" i="11"/>
  <c r="F32" i="11"/>
  <c r="C32" i="11"/>
  <c r="O7" i="12" s="1"/>
  <c r="N9" i="12"/>
  <c r="J34" i="11"/>
  <c r="E34" i="11"/>
  <c r="H34" i="11"/>
  <c r="D34" i="11"/>
  <c r="F34" i="11"/>
  <c r="C34" i="11"/>
  <c r="O9" i="12" s="1"/>
  <c r="N11" i="12"/>
  <c r="J36" i="11"/>
  <c r="E36" i="11"/>
  <c r="H36" i="11"/>
  <c r="D36" i="11"/>
  <c r="F36" i="11"/>
  <c r="C36" i="11"/>
  <c r="O11" i="12" s="1"/>
  <c r="N13" i="12"/>
  <c r="J38" i="11"/>
  <c r="E38" i="11"/>
  <c r="H38" i="11"/>
  <c r="D38" i="11"/>
  <c r="F38" i="11"/>
  <c r="C38" i="11"/>
  <c r="O13" i="12" s="1"/>
  <c r="N15" i="12"/>
  <c r="J40" i="11"/>
  <c r="E40" i="11"/>
  <c r="H40" i="11"/>
  <c r="D40" i="11"/>
  <c r="F40" i="11"/>
  <c r="C40" i="11"/>
  <c r="O15" i="12" s="1"/>
  <c r="P90" i="10"/>
  <c r="L90" i="10"/>
  <c r="H90" i="10"/>
  <c r="D90" i="10"/>
  <c r="G90" i="10"/>
  <c r="M90" i="10"/>
  <c r="R90" i="10"/>
  <c r="P94" i="10"/>
  <c r="L94" i="10"/>
  <c r="H94" i="10"/>
  <c r="D94" i="10"/>
  <c r="G94" i="10"/>
  <c r="M94" i="10"/>
  <c r="R94" i="10"/>
  <c r="Q97" i="10"/>
  <c r="M97" i="10"/>
  <c r="I97" i="10"/>
  <c r="E97" i="10"/>
  <c r="P97" i="10"/>
  <c r="K97" i="10"/>
  <c r="F97" i="10"/>
  <c r="H97" i="10"/>
  <c r="O97" i="10"/>
  <c r="P99" i="10"/>
  <c r="O99" i="10"/>
  <c r="K99" i="10"/>
  <c r="G99" i="10"/>
  <c r="C99" i="10"/>
  <c r="N99" i="10"/>
  <c r="I99" i="10"/>
  <c r="D99" i="10"/>
  <c r="J99" i="10"/>
  <c r="R99" i="10"/>
  <c r="N2" i="12"/>
  <c r="J27" i="11"/>
  <c r="E27" i="11"/>
  <c r="H27" i="11"/>
  <c r="D27" i="11"/>
  <c r="F27" i="11"/>
  <c r="C27" i="11"/>
  <c r="N4" i="12"/>
  <c r="J29" i="11"/>
  <c r="E29" i="11"/>
  <c r="H29" i="11"/>
  <c r="D29" i="11"/>
  <c r="F29" i="11"/>
  <c r="C29" i="11"/>
  <c r="O4" i="12" s="1"/>
  <c r="N6" i="12"/>
  <c r="J31" i="11"/>
  <c r="E31" i="11"/>
  <c r="H31" i="11"/>
  <c r="D31" i="11"/>
  <c r="F31" i="11"/>
  <c r="C31" i="11"/>
  <c r="O6" i="12" s="1"/>
  <c r="N8" i="12"/>
  <c r="J33" i="11"/>
  <c r="E33" i="11"/>
  <c r="H33" i="11"/>
  <c r="D33" i="11"/>
  <c r="F33" i="11"/>
  <c r="C33" i="11"/>
  <c r="O8" i="12" s="1"/>
  <c r="J35" i="11"/>
  <c r="E35" i="11"/>
  <c r="H35" i="11"/>
  <c r="D35" i="11"/>
  <c r="F35" i="11"/>
  <c r="C35" i="11"/>
  <c r="O10" i="12" s="1"/>
  <c r="N10" i="12"/>
  <c r="J37" i="11"/>
  <c r="E37" i="11"/>
  <c r="H37" i="11"/>
  <c r="D37" i="11"/>
  <c r="F37" i="11"/>
  <c r="C37" i="11"/>
  <c r="O12" i="12" s="1"/>
  <c r="N12" i="12"/>
  <c r="J39" i="11"/>
  <c r="E39" i="11"/>
  <c r="H39" i="11"/>
  <c r="D39" i="11"/>
  <c r="F39" i="11"/>
  <c r="C39" i="11"/>
  <c r="O14" i="12" s="1"/>
  <c r="N126" i="12"/>
  <c r="J151" i="11"/>
  <c r="E151" i="11"/>
  <c r="F151" i="11"/>
  <c r="D151" i="11"/>
  <c r="H151" i="11"/>
  <c r="G151" i="11"/>
  <c r="C151" i="11"/>
  <c r="O126" i="12" s="1"/>
  <c r="R47" i="12"/>
  <c r="Q47" i="12"/>
  <c r="P47" i="12"/>
  <c r="Q49" i="12"/>
  <c r="R49" i="12"/>
  <c r="P49" i="12"/>
  <c r="N14" i="12"/>
  <c r="J41" i="11"/>
  <c r="E41" i="11"/>
  <c r="H41" i="11"/>
  <c r="D41" i="11"/>
  <c r="N17" i="12"/>
  <c r="J42" i="11"/>
  <c r="E42" i="11"/>
  <c r="H42" i="11"/>
  <c r="D42" i="11"/>
  <c r="J43" i="11"/>
  <c r="E43" i="11"/>
  <c r="N18" i="12"/>
  <c r="H43" i="11"/>
  <c r="D43" i="11"/>
  <c r="J44" i="11"/>
  <c r="E44" i="11"/>
  <c r="N19" i="12"/>
  <c r="H44" i="11"/>
  <c r="D44" i="11"/>
  <c r="J45" i="11"/>
  <c r="E45" i="11"/>
  <c r="N20" i="12"/>
  <c r="H45" i="11"/>
  <c r="D45" i="11"/>
  <c r="N21" i="12"/>
  <c r="J46" i="11"/>
  <c r="E46" i="11"/>
  <c r="H46" i="11"/>
  <c r="D46" i="11"/>
  <c r="J47" i="11"/>
  <c r="E47" i="11"/>
  <c r="H47" i="11"/>
  <c r="D47" i="11"/>
  <c r="J48" i="11"/>
  <c r="E48" i="11"/>
  <c r="H48" i="11"/>
  <c r="D48" i="11"/>
  <c r="J49" i="11"/>
  <c r="E49" i="11"/>
  <c r="H49" i="11"/>
  <c r="D49" i="11"/>
  <c r="N25" i="12"/>
  <c r="J50" i="11"/>
  <c r="E50" i="11"/>
  <c r="H50" i="11"/>
  <c r="D50" i="11"/>
  <c r="J51" i="11"/>
  <c r="E51" i="11"/>
  <c r="N26" i="12"/>
  <c r="H51" i="11"/>
  <c r="D51" i="11"/>
  <c r="J52" i="11"/>
  <c r="E52" i="11"/>
  <c r="N27" i="12"/>
  <c r="H52" i="11"/>
  <c r="D52" i="11"/>
  <c r="J53" i="11"/>
  <c r="E53" i="11"/>
  <c r="N28" i="12"/>
  <c r="H53" i="11"/>
  <c r="D53" i="11"/>
  <c r="N29" i="12"/>
  <c r="J54" i="11"/>
  <c r="E54" i="11"/>
  <c r="H54" i="11"/>
  <c r="D54" i="11"/>
  <c r="N30" i="12"/>
  <c r="J55" i="11"/>
  <c r="E55" i="11"/>
  <c r="H55" i="11"/>
  <c r="D55" i="11"/>
  <c r="J56" i="11"/>
  <c r="E56" i="11"/>
  <c r="N31" i="12"/>
  <c r="H56" i="11"/>
  <c r="D56" i="11"/>
  <c r="J57" i="11"/>
  <c r="E57" i="11"/>
  <c r="N32" i="12"/>
  <c r="H57" i="11"/>
  <c r="D57" i="11"/>
  <c r="J58" i="11"/>
  <c r="E58" i="11"/>
  <c r="N33" i="12"/>
  <c r="H58" i="11"/>
  <c r="D58" i="11"/>
  <c r="N34" i="12"/>
  <c r="J59" i="11"/>
  <c r="E59" i="11"/>
  <c r="H59" i="11"/>
  <c r="D59" i="11"/>
  <c r="N35" i="12"/>
  <c r="J60" i="11"/>
  <c r="E60" i="11"/>
  <c r="H60" i="11"/>
  <c r="D60" i="11"/>
  <c r="N36" i="12"/>
  <c r="J61" i="11"/>
  <c r="E61" i="11"/>
  <c r="H61" i="11"/>
  <c r="D61" i="11"/>
  <c r="N37" i="12"/>
  <c r="J62" i="11"/>
  <c r="E62" i="11"/>
  <c r="H62" i="11"/>
  <c r="D62" i="11"/>
  <c r="N38" i="12"/>
  <c r="J63" i="11"/>
  <c r="E63" i="11"/>
  <c r="H63" i="11"/>
  <c r="D63" i="11"/>
  <c r="N39" i="12"/>
  <c r="J64" i="11"/>
  <c r="E64" i="11"/>
  <c r="H64" i="11"/>
  <c r="D64" i="11"/>
  <c r="N40" i="12"/>
  <c r="J65" i="11"/>
  <c r="E65" i="11"/>
  <c r="H65" i="11"/>
  <c r="D65" i="11"/>
  <c r="N41" i="12"/>
  <c r="J66" i="11"/>
  <c r="E66" i="11"/>
  <c r="H66" i="11"/>
  <c r="D66" i="11"/>
  <c r="N42" i="12"/>
  <c r="J67" i="11"/>
  <c r="E67" i="11"/>
  <c r="H67" i="11"/>
  <c r="D67" i="11"/>
  <c r="N43" i="12"/>
  <c r="J68" i="11"/>
  <c r="E68" i="11"/>
  <c r="H68" i="11"/>
  <c r="D68" i="11"/>
  <c r="N44" i="12"/>
  <c r="J69" i="11"/>
  <c r="E69" i="11"/>
  <c r="H69" i="11"/>
  <c r="D69" i="11"/>
  <c r="N45" i="12"/>
  <c r="J70" i="11"/>
  <c r="E70" i="11"/>
  <c r="H70" i="11"/>
  <c r="D70" i="11"/>
  <c r="N46" i="12"/>
  <c r="J71" i="11"/>
  <c r="E71" i="11"/>
  <c r="H71" i="11"/>
  <c r="D71" i="11"/>
  <c r="J72" i="11"/>
  <c r="E72" i="11"/>
  <c r="H72" i="11"/>
  <c r="D72" i="11"/>
  <c r="J73" i="11"/>
  <c r="E73" i="11"/>
  <c r="H73" i="11"/>
  <c r="D73" i="11"/>
  <c r="J74" i="11"/>
  <c r="E74" i="11"/>
  <c r="H74" i="11"/>
  <c r="D74" i="11"/>
  <c r="N50" i="12"/>
  <c r="J75" i="11"/>
  <c r="E75" i="11"/>
  <c r="H75" i="11"/>
  <c r="D75" i="11"/>
  <c r="J76" i="11"/>
  <c r="E76" i="11"/>
  <c r="H76" i="11"/>
  <c r="D76" i="11"/>
  <c r="J77" i="11"/>
  <c r="E77" i="11"/>
  <c r="H77" i="11"/>
  <c r="D77" i="11"/>
  <c r="J78" i="11"/>
  <c r="E78" i="11"/>
  <c r="H78" i="11"/>
  <c r="D78" i="11"/>
  <c r="N54" i="12"/>
  <c r="J79" i="11"/>
  <c r="E79" i="11"/>
  <c r="H79" i="11"/>
  <c r="D79" i="11"/>
  <c r="N55" i="12"/>
  <c r="J80" i="11"/>
  <c r="E80" i="11"/>
  <c r="H80" i="11"/>
  <c r="D80" i="11"/>
  <c r="N56" i="12"/>
  <c r="J81" i="11"/>
  <c r="E81" i="11"/>
  <c r="H81" i="11"/>
  <c r="D81" i="11"/>
  <c r="N57" i="12"/>
  <c r="J82" i="11"/>
  <c r="E82" i="11"/>
  <c r="H82" i="11"/>
  <c r="D82" i="11"/>
  <c r="N58" i="12"/>
  <c r="J83" i="11"/>
  <c r="E83" i="11"/>
  <c r="H83" i="11"/>
  <c r="D83" i="11"/>
  <c r="N59" i="12"/>
  <c r="J84" i="11"/>
  <c r="E84" i="11"/>
  <c r="H84" i="11"/>
  <c r="D84" i="11"/>
  <c r="N60" i="12"/>
  <c r="J85" i="11"/>
  <c r="E85" i="11"/>
  <c r="H85" i="11"/>
  <c r="D85" i="11"/>
  <c r="J86" i="11"/>
  <c r="E86" i="11"/>
  <c r="N61" i="12"/>
  <c r="H86" i="11"/>
  <c r="D86" i="11"/>
  <c r="N62" i="12"/>
  <c r="J87" i="11"/>
  <c r="E87" i="11"/>
  <c r="H87" i="11"/>
  <c r="D87" i="11"/>
  <c r="J88" i="11"/>
  <c r="E88" i="11"/>
  <c r="H88" i="11"/>
  <c r="D88" i="11"/>
  <c r="N64" i="12"/>
  <c r="J89" i="11"/>
  <c r="E89" i="11"/>
  <c r="H89" i="11"/>
  <c r="D89" i="11"/>
  <c r="J90" i="11"/>
  <c r="E90" i="11"/>
  <c r="H90" i="11"/>
  <c r="D90" i="11"/>
  <c r="N66" i="12"/>
  <c r="J91" i="11"/>
  <c r="E91" i="11"/>
  <c r="H91" i="11"/>
  <c r="D91" i="11"/>
  <c r="N67" i="12"/>
  <c r="J92" i="11"/>
  <c r="E92" i="11"/>
  <c r="H92" i="11"/>
  <c r="D92" i="11"/>
  <c r="N68" i="12"/>
  <c r="J93" i="11"/>
  <c r="E93" i="11"/>
  <c r="H93" i="11"/>
  <c r="D93" i="11"/>
  <c r="J94" i="11"/>
  <c r="E94" i="11"/>
  <c r="N69" i="12"/>
  <c r="H94" i="11"/>
  <c r="D94" i="11"/>
  <c r="N70" i="12"/>
  <c r="J95" i="11"/>
  <c r="E95" i="11"/>
  <c r="H95" i="11"/>
  <c r="D95" i="11"/>
  <c r="N71" i="12"/>
  <c r="J96" i="11"/>
  <c r="E96" i="11"/>
  <c r="H96" i="11"/>
  <c r="D96" i="11"/>
  <c r="N72" i="12"/>
  <c r="J97" i="11"/>
  <c r="E97" i="11"/>
  <c r="H97" i="11"/>
  <c r="D97" i="11"/>
  <c r="N73" i="12"/>
  <c r="J98" i="11"/>
  <c r="E98" i="11"/>
  <c r="H98" i="11"/>
  <c r="D98" i="11"/>
  <c r="N74" i="12"/>
  <c r="J99" i="11"/>
  <c r="E99" i="11"/>
  <c r="H99" i="11"/>
  <c r="D99" i="11"/>
  <c r="N75" i="12"/>
  <c r="J100" i="11"/>
  <c r="E100" i="11"/>
  <c r="H100" i="11"/>
  <c r="D100" i="11"/>
  <c r="N76" i="12"/>
  <c r="J101" i="11"/>
  <c r="E101" i="11"/>
  <c r="H101" i="11"/>
  <c r="D101" i="11"/>
  <c r="J102" i="11"/>
  <c r="E102" i="11"/>
  <c r="H102" i="11"/>
  <c r="D102" i="11"/>
  <c r="N78" i="12"/>
  <c r="J103" i="11"/>
  <c r="E103" i="11"/>
  <c r="H103" i="11"/>
  <c r="D103" i="11"/>
  <c r="N79" i="12"/>
  <c r="J104" i="11"/>
  <c r="E104" i="11"/>
  <c r="H104" i="11"/>
  <c r="D104" i="11"/>
  <c r="N80" i="12"/>
  <c r="J105" i="11"/>
  <c r="E105" i="11"/>
  <c r="H105" i="11"/>
  <c r="D105" i="11"/>
  <c r="N81" i="12"/>
  <c r="J106" i="11"/>
  <c r="E106" i="11"/>
  <c r="H106" i="11"/>
  <c r="D106" i="11"/>
  <c r="N82" i="12"/>
  <c r="J107" i="11"/>
  <c r="E107" i="11"/>
  <c r="H107" i="11"/>
  <c r="D107" i="11"/>
  <c r="J108" i="11"/>
  <c r="E108" i="11"/>
  <c r="H108" i="11"/>
  <c r="D108" i="11"/>
  <c r="N84" i="12"/>
  <c r="J109" i="11"/>
  <c r="E109" i="11"/>
  <c r="H109" i="11"/>
  <c r="D109" i="11"/>
  <c r="N85" i="12"/>
  <c r="J110" i="11"/>
  <c r="E110" i="11"/>
  <c r="H110" i="11"/>
  <c r="D110" i="11"/>
  <c r="N86" i="12"/>
  <c r="J111" i="11"/>
  <c r="E111" i="11"/>
  <c r="H111" i="11"/>
  <c r="D111" i="11"/>
  <c r="N87" i="12"/>
  <c r="J112" i="11"/>
  <c r="E112" i="11"/>
  <c r="H112" i="11"/>
  <c r="D112" i="11"/>
  <c r="N88" i="12"/>
  <c r="J113" i="11"/>
  <c r="E113" i="11"/>
  <c r="H113" i="11"/>
  <c r="D113" i="11"/>
  <c r="N89" i="12"/>
  <c r="J114" i="11"/>
  <c r="E114" i="11"/>
  <c r="H114" i="11"/>
  <c r="D114" i="11"/>
  <c r="N90" i="12"/>
  <c r="J115" i="11"/>
  <c r="E115" i="11"/>
  <c r="H115" i="11"/>
  <c r="D115" i="11"/>
  <c r="N91" i="12"/>
  <c r="J116" i="11"/>
  <c r="E116" i="11"/>
  <c r="H116" i="11"/>
  <c r="D116" i="11"/>
  <c r="N92" i="12"/>
  <c r="J117" i="11"/>
  <c r="E117" i="11"/>
  <c r="H117" i="11"/>
  <c r="D117" i="11"/>
  <c r="N93" i="12"/>
  <c r="J118" i="11"/>
  <c r="E118" i="11"/>
  <c r="H118" i="11"/>
  <c r="D118" i="11"/>
  <c r="N94" i="12"/>
  <c r="J119" i="11"/>
  <c r="E119" i="11"/>
  <c r="H119" i="11"/>
  <c r="D119" i="11"/>
  <c r="N95" i="12"/>
  <c r="J120" i="11"/>
  <c r="E120" i="11"/>
  <c r="H120" i="11"/>
  <c r="D120" i="11"/>
  <c r="N96" i="12"/>
  <c r="J121" i="11"/>
  <c r="E121" i="11"/>
  <c r="H121" i="11"/>
  <c r="D121" i="11"/>
  <c r="N97" i="12"/>
  <c r="J122" i="11"/>
  <c r="E122" i="11"/>
  <c r="H122" i="11"/>
  <c r="D122" i="11"/>
  <c r="N98" i="12"/>
  <c r="J123" i="11"/>
  <c r="E123" i="11"/>
  <c r="H123" i="11"/>
  <c r="D123" i="11"/>
  <c r="N99" i="12"/>
  <c r="J124" i="11"/>
  <c r="E124" i="11"/>
  <c r="H124" i="11"/>
  <c r="D124" i="11"/>
  <c r="N100" i="12"/>
  <c r="J125" i="11"/>
  <c r="E125" i="11"/>
  <c r="H125" i="11"/>
  <c r="D125" i="11"/>
  <c r="N101" i="12"/>
  <c r="J126" i="11"/>
  <c r="E126" i="11"/>
  <c r="H126" i="11"/>
  <c r="D126" i="11"/>
  <c r="N102" i="12"/>
  <c r="J127" i="11"/>
  <c r="E127" i="11"/>
  <c r="H127" i="11"/>
  <c r="D127" i="11"/>
  <c r="N103" i="12"/>
  <c r="J128" i="11"/>
  <c r="E128" i="11"/>
  <c r="H128" i="11"/>
  <c r="D128" i="11"/>
  <c r="N104" i="12"/>
  <c r="J129" i="11"/>
  <c r="E129" i="11"/>
  <c r="H129" i="11"/>
  <c r="D129" i="11"/>
  <c r="N105" i="12"/>
  <c r="J130" i="11"/>
  <c r="E130" i="11"/>
  <c r="H130" i="11"/>
  <c r="D130" i="11"/>
  <c r="N106" i="12"/>
  <c r="J131" i="11"/>
  <c r="E131" i="11"/>
  <c r="H131" i="11"/>
  <c r="D131" i="11"/>
  <c r="N107" i="12"/>
  <c r="J132" i="11"/>
  <c r="E132" i="11"/>
  <c r="H132" i="11"/>
  <c r="D132" i="11"/>
  <c r="N108" i="12"/>
  <c r="J133" i="11"/>
  <c r="E133" i="11"/>
  <c r="H133" i="11"/>
  <c r="D133" i="11"/>
  <c r="N109" i="12"/>
  <c r="J134" i="11"/>
  <c r="E134" i="11"/>
  <c r="H134" i="11"/>
  <c r="D134" i="11"/>
  <c r="J135" i="11"/>
  <c r="E135" i="11"/>
  <c r="N110" i="12"/>
  <c r="H135" i="11"/>
  <c r="D135" i="11"/>
  <c r="N111" i="12"/>
  <c r="J136" i="11"/>
  <c r="E136" i="11"/>
  <c r="H136" i="11"/>
  <c r="D136" i="11"/>
  <c r="N112" i="12"/>
  <c r="J137" i="11"/>
  <c r="E137" i="11"/>
  <c r="H137" i="11"/>
  <c r="D137" i="11"/>
  <c r="N113" i="12"/>
  <c r="J138" i="11"/>
  <c r="E138" i="11"/>
  <c r="H138" i="11"/>
  <c r="D138" i="11"/>
  <c r="N114" i="12"/>
  <c r="J139" i="11"/>
  <c r="E139" i="11"/>
  <c r="H139" i="11"/>
  <c r="D139" i="11"/>
  <c r="N115" i="12"/>
  <c r="J140" i="11"/>
  <c r="E140" i="11"/>
  <c r="H140" i="11"/>
  <c r="D140" i="11"/>
  <c r="N116" i="12"/>
  <c r="J141" i="11"/>
  <c r="E141" i="11"/>
  <c r="H141" i="11"/>
  <c r="D141" i="11"/>
  <c r="J142" i="11"/>
  <c r="E142" i="11"/>
  <c r="H142" i="11"/>
  <c r="D142" i="11"/>
  <c r="N117" i="12"/>
  <c r="N118" i="12"/>
  <c r="J143" i="11"/>
  <c r="E143" i="11"/>
  <c r="H143" i="11"/>
  <c r="D143" i="11"/>
  <c r="N119" i="12"/>
  <c r="J144" i="11"/>
  <c r="E144" i="11"/>
  <c r="H144" i="11"/>
  <c r="D144" i="11"/>
  <c r="N120" i="12"/>
  <c r="J145" i="11"/>
  <c r="E145" i="11"/>
  <c r="F145" i="11"/>
  <c r="D145" i="11"/>
  <c r="N16" i="12"/>
  <c r="N22" i="12"/>
  <c r="N51" i="12"/>
  <c r="N53" i="12"/>
  <c r="H68" i="12"/>
  <c r="D68" i="12"/>
  <c r="E68" i="12"/>
  <c r="I68" i="12"/>
  <c r="B68" i="12"/>
  <c r="G68" i="12"/>
  <c r="F68" i="12"/>
  <c r="N83" i="12"/>
  <c r="F76" i="10"/>
  <c r="J76" i="10"/>
  <c r="N76" i="10"/>
  <c r="F80" i="10"/>
  <c r="J80" i="10"/>
  <c r="N80" i="10"/>
  <c r="F84" i="10"/>
  <c r="J84" i="10"/>
  <c r="N84" i="10"/>
  <c r="F88" i="10"/>
  <c r="J88" i="10"/>
  <c r="N88" i="10"/>
  <c r="F92" i="10"/>
  <c r="J92" i="10"/>
  <c r="N92" i="10"/>
  <c r="F96" i="10"/>
  <c r="J96" i="10"/>
  <c r="N96" i="10"/>
  <c r="F100" i="10"/>
  <c r="J100" i="10"/>
  <c r="N100" i="10"/>
  <c r="E101" i="10"/>
  <c r="I101" i="10"/>
  <c r="M101" i="10"/>
  <c r="Q101" i="10"/>
  <c r="F104" i="10"/>
  <c r="J104" i="10"/>
  <c r="N104" i="10"/>
  <c r="E105" i="10"/>
  <c r="I105" i="10"/>
  <c r="M105" i="10"/>
  <c r="Q105" i="10"/>
  <c r="F108" i="10"/>
  <c r="J108" i="10"/>
  <c r="N108" i="10"/>
  <c r="E109" i="10"/>
  <c r="I109" i="10"/>
  <c r="M109" i="10"/>
  <c r="Q109" i="10"/>
  <c r="F112" i="10"/>
  <c r="J112" i="10"/>
  <c r="N112" i="10"/>
  <c r="E113" i="10"/>
  <c r="I113" i="10"/>
  <c r="M113" i="10"/>
  <c r="Q113" i="10"/>
  <c r="F116" i="10"/>
  <c r="J116" i="10"/>
  <c r="N116" i="10"/>
  <c r="E117" i="10"/>
  <c r="I117" i="10"/>
  <c r="M117" i="10"/>
  <c r="Q117" i="10"/>
  <c r="F120" i="10"/>
  <c r="J120" i="10"/>
  <c r="N120" i="10"/>
  <c r="E121" i="10"/>
  <c r="I121" i="10"/>
  <c r="M121" i="10"/>
  <c r="Q121" i="10"/>
  <c r="F124" i="10"/>
  <c r="J124" i="10"/>
  <c r="N124" i="10"/>
  <c r="E125" i="10"/>
  <c r="I125" i="10"/>
  <c r="M125" i="10"/>
  <c r="Q125" i="10"/>
  <c r="F128" i="10"/>
  <c r="J128" i="10"/>
  <c r="N128" i="10"/>
  <c r="E129" i="10"/>
  <c r="I129" i="10"/>
  <c r="M129" i="10"/>
  <c r="Q129" i="10"/>
  <c r="F132" i="10"/>
  <c r="J132" i="10"/>
  <c r="N132" i="10"/>
  <c r="E133" i="10"/>
  <c r="I133" i="10"/>
  <c r="M133" i="10"/>
  <c r="Q133" i="10"/>
  <c r="F136" i="10"/>
  <c r="J136" i="10"/>
  <c r="N136" i="10"/>
  <c r="E137" i="10"/>
  <c r="I137" i="10"/>
  <c r="M137" i="10"/>
  <c r="Q137" i="10"/>
  <c r="F140" i="10"/>
  <c r="J140" i="10"/>
  <c r="N140" i="10"/>
  <c r="E141" i="10"/>
  <c r="I141" i="10"/>
  <c r="M141" i="10"/>
  <c r="Q141" i="10"/>
  <c r="F144" i="10"/>
  <c r="J144" i="10"/>
  <c r="N144" i="10"/>
  <c r="E145" i="10"/>
  <c r="I145" i="10"/>
  <c r="M145" i="10"/>
  <c r="Q145" i="10"/>
  <c r="F148" i="10"/>
  <c r="J148" i="10"/>
  <c r="N148" i="10"/>
  <c r="E149" i="10"/>
  <c r="I149" i="10"/>
  <c r="M149" i="10"/>
  <c r="Q149" i="10"/>
  <c r="F152" i="10"/>
  <c r="J152" i="10"/>
  <c r="N152" i="10"/>
  <c r="E153" i="10"/>
  <c r="I153" i="10"/>
  <c r="M153" i="10"/>
  <c r="Q153" i="10"/>
  <c r="C41" i="11"/>
  <c r="O16" i="12" s="1"/>
  <c r="C42" i="11"/>
  <c r="O17" i="12" s="1"/>
  <c r="C43" i="11"/>
  <c r="O18" i="12" s="1"/>
  <c r="C44" i="11"/>
  <c r="O19" i="12" s="1"/>
  <c r="C45" i="11"/>
  <c r="O20" i="12" s="1"/>
  <c r="C46" i="11"/>
  <c r="O21" i="12" s="1"/>
  <c r="C47" i="11"/>
  <c r="O22" i="12" s="1"/>
  <c r="C48" i="11"/>
  <c r="O23" i="12" s="1"/>
  <c r="C49" i="11"/>
  <c r="O24" i="12" s="1"/>
  <c r="C50" i="11"/>
  <c r="O25" i="12" s="1"/>
  <c r="C51" i="11"/>
  <c r="O26" i="12" s="1"/>
  <c r="C52" i="11"/>
  <c r="O27" i="12" s="1"/>
  <c r="C53" i="11"/>
  <c r="O28" i="12" s="1"/>
  <c r="C54" i="11"/>
  <c r="O29" i="12" s="1"/>
  <c r="C55" i="11"/>
  <c r="O30" i="12" s="1"/>
  <c r="C56" i="11"/>
  <c r="O31" i="12" s="1"/>
  <c r="C57" i="11"/>
  <c r="O32" i="12" s="1"/>
  <c r="C58" i="11"/>
  <c r="O33" i="12" s="1"/>
  <c r="C59" i="11"/>
  <c r="O34" i="12" s="1"/>
  <c r="C60" i="11"/>
  <c r="O35" i="12" s="1"/>
  <c r="C61" i="11"/>
  <c r="O36" i="12" s="1"/>
  <c r="C62" i="11"/>
  <c r="O37" i="12" s="1"/>
  <c r="C63" i="11"/>
  <c r="O38" i="12" s="1"/>
  <c r="C64" i="11"/>
  <c r="O39" i="12" s="1"/>
  <c r="C65" i="11"/>
  <c r="O40" i="12" s="1"/>
  <c r="C66" i="11"/>
  <c r="O41" i="12" s="1"/>
  <c r="C67" i="11"/>
  <c r="O42" i="12" s="1"/>
  <c r="C68" i="11"/>
  <c r="O43" i="12" s="1"/>
  <c r="C69" i="11"/>
  <c r="O44" i="12" s="1"/>
  <c r="C70" i="11"/>
  <c r="O45" i="12" s="1"/>
  <c r="C71" i="11"/>
  <c r="O46" i="12" s="1"/>
  <c r="C72" i="11"/>
  <c r="O47" i="12" s="1"/>
  <c r="C73" i="11"/>
  <c r="O48" i="12" s="1"/>
  <c r="C74" i="11"/>
  <c r="O49" i="12" s="1"/>
  <c r="C75" i="11"/>
  <c r="O50" i="12" s="1"/>
  <c r="C76" i="11"/>
  <c r="O51" i="12" s="1"/>
  <c r="C77" i="11"/>
  <c r="O52" i="12" s="1"/>
  <c r="C78" i="11"/>
  <c r="O53" i="12" s="1"/>
  <c r="C79" i="11"/>
  <c r="O54" i="12" s="1"/>
  <c r="C80" i="11"/>
  <c r="O55" i="12" s="1"/>
  <c r="C81" i="11"/>
  <c r="O56" i="12" s="1"/>
  <c r="C82" i="11"/>
  <c r="O57" i="12" s="1"/>
  <c r="C83" i="11"/>
  <c r="O58" i="12" s="1"/>
  <c r="C84" i="11"/>
  <c r="O59" i="12" s="1"/>
  <c r="C85" i="11"/>
  <c r="O60" i="12" s="1"/>
  <c r="C86" i="11"/>
  <c r="O61" i="12" s="1"/>
  <c r="C87" i="11"/>
  <c r="O62" i="12" s="1"/>
  <c r="C88" i="11"/>
  <c r="O63" i="12" s="1"/>
  <c r="C89" i="11"/>
  <c r="O64" i="12" s="1"/>
  <c r="C90" i="11"/>
  <c r="O65" i="12" s="1"/>
  <c r="C91" i="11"/>
  <c r="O66" i="12" s="1"/>
  <c r="C92" i="11"/>
  <c r="O67" i="12" s="1"/>
  <c r="C93" i="11"/>
  <c r="O68" i="12" s="1"/>
  <c r="C94" i="11"/>
  <c r="O69" i="12" s="1"/>
  <c r="C95" i="11"/>
  <c r="O70" i="12" s="1"/>
  <c r="C96" i="11"/>
  <c r="O71" i="12" s="1"/>
  <c r="C97" i="11"/>
  <c r="O72" i="12" s="1"/>
  <c r="C98" i="11"/>
  <c r="O73" i="12" s="1"/>
  <c r="C99" i="11"/>
  <c r="O74" i="12" s="1"/>
  <c r="C100" i="11"/>
  <c r="O75" i="12" s="1"/>
  <c r="C101" i="11"/>
  <c r="O76" i="12" s="1"/>
  <c r="C102" i="11"/>
  <c r="O77" i="12" s="1"/>
  <c r="C103" i="11"/>
  <c r="O78" i="12" s="1"/>
  <c r="C104" i="11"/>
  <c r="O79" i="12" s="1"/>
  <c r="C105" i="11"/>
  <c r="O80" i="12" s="1"/>
  <c r="C106" i="11"/>
  <c r="O81" i="12" s="1"/>
  <c r="C107" i="11"/>
  <c r="O82" i="12" s="1"/>
  <c r="C108" i="11"/>
  <c r="O83" i="12" s="1"/>
  <c r="C109" i="11"/>
  <c r="O84" i="12" s="1"/>
  <c r="C110" i="11"/>
  <c r="O85" i="12" s="1"/>
  <c r="C111" i="11"/>
  <c r="O86" i="12" s="1"/>
  <c r="C112" i="11"/>
  <c r="O87" i="12" s="1"/>
  <c r="C113" i="11"/>
  <c r="O88" i="12" s="1"/>
  <c r="C114" i="11"/>
  <c r="O89" i="12" s="1"/>
  <c r="C115" i="11"/>
  <c r="O90" i="12" s="1"/>
  <c r="C116" i="11"/>
  <c r="O91" i="12" s="1"/>
  <c r="C117" i="11"/>
  <c r="O92" i="12" s="1"/>
  <c r="C118" i="11"/>
  <c r="O93" i="12" s="1"/>
  <c r="C119" i="11"/>
  <c r="O94" i="12" s="1"/>
  <c r="C120" i="11"/>
  <c r="O95" i="12" s="1"/>
  <c r="C121" i="11"/>
  <c r="O96" i="12" s="1"/>
  <c r="C122" i="11"/>
  <c r="O97" i="12" s="1"/>
  <c r="C123" i="11"/>
  <c r="O98" i="12" s="1"/>
  <c r="C124" i="11"/>
  <c r="O99" i="12" s="1"/>
  <c r="C125" i="11"/>
  <c r="O100" i="12" s="1"/>
  <c r="C126" i="11"/>
  <c r="O101" i="12" s="1"/>
  <c r="C127" i="11"/>
  <c r="O102" i="12" s="1"/>
  <c r="C128" i="11"/>
  <c r="O103" i="12" s="1"/>
  <c r="C129" i="11"/>
  <c r="O104" i="12" s="1"/>
  <c r="C130" i="11"/>
  <c r="O105" i="12" s="1"/>
  <c r="C131" i="11"/>
  <c r="O106" i="12" s="1"/>
  <c r="C132" i="11"/>
  <c r="O107" i="12" s="1"/>
  <c r="C133" i="11"/>
  <c r="O108" i="12" s="1"/>
  <c r="C134" i="11"/>
  <c r="O109" i="12" s="1"/>
  <c r="C135" i="11"/>
  <c r="O110" i="12" s="1"/>
  <c r="C136" i="11"/>
  <c r="O111" i="12" s="1"/>
  <c r="C137" i="11"/>
  <c r="O112" i="12" s="1"/>
  <c r="C138" i="11"/>
  <c r="O113" i="12" s="1"/>
  <c r="C139" i="11"/>
  <c r="O114" i="12" s="1"/>
  <c r="C140" i="11"/>
  <c r="O115" i="12" s="1"/>
  <c r="C141" i="11"/>
  <c r="O116" i="12" s="1"/>
  <c r="C142" i="11"/>
  <c r="O117" i="12" s="1"/>
  <c r="C143" i="11"/>
  <c r="O118" i="12" s="1"/>
  <c r="C144" i="11"/>
  <c r="O119" i="12" s="1"/>
  <c r="C145" i="11"/>
  <c r="O120" i="12" s="1"/>
  <c r="N122" i="12"/>
  <c r="J147" i="11"/>
  <c r="E147" i="11"/>
  <c r="F147" i="11"/>
  <c r="D147" i="11"/>
  <c r="N23" i="12"/>
  <c r="N48" i="12"/>
  <c r="N63" i="12"/>
  <c r="N65" i="12"/>
  <c r="F101" i="10"/>
  <c r="J101" i="10"/>
  <c r="N101" i="10"/>
  <c r="F105" i="10"/>
  <c r="J105" i="10"/>
  <c r="N105" i="10"/>
  <c r="F109" i="10"/>
  <c r="J109" i="10"/>
  <c r="N109" i="10"/>
  <c r="F113" i="10"/>
  <c r="J113" i="10"/>
  <c r="N113" i="10"/>
  <c r="F117" i="10"/>
  <c r="J117" i="10"/>
  <c r="N117" i="10"/>
  <c r="F121" i="10"/>
  <c r="J121" i="10"/>
  <c r="N121" i="10"/>
  <c r="F125" i="10"/>
  <c r="J125" i="10"/>
  <c r="N125" i="10"/>
  <c r="F129" i="10"/>
  <c r="J129" i="10"/>
  <c r="N129" i="10"/>
  <c r="F133" i="10"/>
  <c r="J133" i="10"/>
  <c r="N133" i="10"/>
  <c r="F137" i="10"/>
  <c r="J137" i="10"/>
  <c r="N137" i="10"/>
  <c r="F141" i="10"/>
  <c r="J141" i="10"/>
  <c r="N141" i="10"/>
  <c r="F145" i="10"/>
  <c r="J145" i="10"/>
  <c r="N145" i="10"/>
  <c r="F149" i="10"/>
  <c r="J149" i="10"/>
  <c r="N149" i="10"/>
  <c r="F153" i="10"/>
  <c r="J153" i="10"/>
  <c r="N153" i="10"/>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G145" i="11"/>
  <c r="N124" i="12"/>
  <c r="J149" i="11"/>
  <c r="E149" i="11"/>
  <c r="F149" i="11"/>
  <c r="D149" i="11"/>
  <c r="N24" i="12"/>
  <c r="N52" i="12"/>
  <c r="H60" i="12"/>
  <c r="D60" i="12"/>
  <c r="E60" i="12"/>
  <c r="I60" i="12"/>
  <c r="B60" i="12"/>
  <c r="G60" i="12"/>
  <c r="F60" i="12"/>
  <c r="N77" i="12"/>
  <c r="I98" i="12"/>
  <c r="E98" i="12"/>
  <c r="F98" i="12"/>
  <c r="G98" i="12"/>
  <c r="D98" i="12"/>
  <c r="H98" i="12"/>
  <c r="N121" i="12"/>
  <c r="J146" i="11"/>
  <c r="E146" i="11"/>
  <c r="G146" i="11"/>
  <c r="N123" i="12"/>
  <c r="J148" i="11"/>
  <c r="E148" i="11"/>
  <c r="G148" i="11"/>
  <c r="N125" i="12"/>
  <c r="J150" i="11"/>
  <c r="E150" i="11"/>
  <c r="G150" i="11"/>
  <c r="G84" i="12"/>
  <c r="B84" i="12"/>
  <c r="E84" i="12"/>
  <c r="F84" i="12"/>
  <c r="D84" i="12"/>
  <c r="I84" i="12"/>
  <c r="B98" i="12"/>
  <c r="H64" i="12"/>
  <c r="D64" i="12"/>
  <c r="E64" i="12"/>
  <c r="I64" i="12"/>
  <c r="B64" i="12"/>
  <c r="H78" i="12"/>
  <c r="D78" i="12"/>
  <c r="E78" i="12"/>
  <c r="I78" i="12"/>
  <c r="B78" i="12"/>
  <c r="G78" i="12"/>
  <c r="F78" i="12"/>
  <c r="H84" i="12"/>
  <c r="I71" i="12"/>
  <c r="E71" i="12"/>
  <c r="H71" i="12"/>
  <c r="D71" i="12"/>
  <c r="H74" i="12"/>
  <c r="D74" i="12"/>
  <c r="F74" i="12"/>
  <c r="E74" i="12"/>
  <c r="H83" i="12"/>
  <c r="G83" i="12"/>
  <c r="B83" i="12"/>
  <c r="F83" i="12"/>
  <c r="E83" i="12"/>
  <c r="E28" i="14"/>
  <c r="F28" i="14" s="1"/>
  <c r="I18" i="14"/>
  <c r="E31" i="14" s="1"/>
  <c r="F31" i="14" s="1"/>
  <c r="G61" i="12"/>
  <c r="B61" i="12"/>
  <c r="H61" i="12"/>
  <c r="I63" i="12"/>
  <c r="E63" i="12"/>
  <c r="G63" i="12"/>
  <c r="G65" i="12"/>
  <c r="B65" i="12"/>
  <c r="H65" i="12"/>
  <c r="I67" i="12"/>
  <c r="E67" i="12"/>
  <c r="G67" i="12"/>
  <c r="G69" i="12"/>
  <c r="B69" i="12"/>
  <c r="H69" i="12"/>
  <c r="B71" i="12"/>
  <c r="B74" i="12"/>
  <c r="D83" i="12"/>
  <c r="I73" i="12"/>
  <c r="E73" i="12"/>
  <c r="G73" i="12"/>
  <c r="G75" i="12"/>
  <c r="B75" i="12"/>
  <c r="H75" i="12"/>
  <c r="I77" i="12"/>
  <c r="E77" i="12"/>
  <c r="G77" i="12"/>
  <c r="H82" i="12"/>
  <c r="D82" i="12"/>
  <c r="G82" i="12"/>
  <c r="I86" i="12"/>
  <c r="E86" i="12"/>
  <c r="D86" i="12"/>
  <c r="H86" i="12"/>
  <c r="H87" i="12"/>
  <c r="D87" i="12"/>
  <c r="F87" i="12"/>
  <c r="I87" i="12"/>
  <c r="G88" i="12"/>
  <c r="B88" i="12"/>
  <c r="I88" i="12"/>
  <c r="D88" i="12"/>
  <c r="I90" i="12"/>
  <c r="E90" i="12"/>
  <c r="H90" i="12"/>
  <c r="B90" i="12"/>
  <c r="G96" i="12"/>
  <c r="B96" i="12"/>
  <c r="F96" i="12"/>
  <c r="I96" i="12"/>
  <c r="B73" i="12"/>
  <c r="H73" i="12"/>
  <c r="D75" i="12"/>
  <c r="I75" i="12"/>
  <c r="B77" i="12"/>
  <c r="H77" i="12"/>
  <c r="G79" i="12"/>
  <c r="B79" i="12"/>
  <c r="H79" i="12"/>
  <c r="I81" i="12"/>
  <c r="E81" i="12"/>
  <c r="G81" i="12"/>
  <c r="B82" i="12"/>
  <c r="I82" i="12"/>
  <c r="B86" i="12"/>
  <c r="B87" i="12"/>
  <c r="E88" i="12"/>
  <c r="D90" i="12"/>
  <c r="H91" i="12"/>
  <c r="D91" i="12"/>
  <c r="E91" i="12"/>
  <c r="I91" i="12"/>
  <c r="H95" i="12"/>
  <c r="D95" i="12"/>
  <c r="I95" i="12"/>
  <c r="B95" i="12"/>
  <c r="D96" i="12"/>
  <c r="G92" i="12"/>
  <c r="B92" i="12"/>
  <c r="H92" i="12"/>
  <c r="I94" i="12"/>
  <c r="E94" i="12"/>
  <c r="G94" i="12"/>
  <c r="H99" i="12"/>
  <c r="D99" i="12"/>
  <c r="G99" i="12"/>
  <c r="M391" i="9" l="1"/>
  <c r="M375" i="9"/>
  <c r="M359" i="9"/>
  <c r="M343" i="9"/>
  <c r="M327" i="9"/>
  <c r="M311" i="9"/>
  <c r="M258" i="9"/>
  <c r="M242" i="9"/>
  <c r="G2" i="10"/>
  <c r="M2" i="10"/>
  <c r="E100" i="12"/>
  <c r="H2" i="10"/>
  <c r="M222" i="9"/>
  <c r="M174" i="9"/>
  <c r="M63" i="9"/>
  <c r="M47" i="9"/>
  <c r="M31" i="9"/>
  <c r="M15" i="9"/>
  <c r="O288" i="7"/>
  <c r="O256" i="7"/>
  <c r="O160" i="7"/>
  <c r="O128" i="7"/>
  <c r="O294" i="6"/>
  <c r="O230" i="6"/>
  <c r="O166" i="6"/>
  <c r="O236" i="7"/>
  <c r="O188" i="7"/>
  <c r="O108" i="7"/>
  <c r="O30" i="6"/>
  <c r="C18" i="11"/>
  <c r="O277" i="6"/>
  <c r="O261" i="6"/>
  <c r="O149" i="6"/>
  <c r="O189" i="6"/>
  <c r="P154" i="5"/>
  <c r="P90" i="5"/>
  <c r="P26" i="5"/>
  <c r="O115" i="5"/>
  <c r="O62" i="5"/>
  <c r="O51" i="5"/>
  <c r="O30" i="5"/>
  <c r="P206" i="5"/>
  <c r="P158" i="5"/>
  <c r="M398" i="9"/>
  <c r="L392" i="9"/>
  <c r="M382" i="9"/>
  <c r="L376" i="9"/>
  <c r="M366" i="9"/>
  <c r="L360" i="9"/>
  <c r="M350" i="9"/>
  <c r="L344" i="9"/>
  <c r="M334" i="9"/>
  <c r="L328" i="9"/>
  <c r="M318" i="9"/>
  <c r="L312" i="9"/>
  <c r="L288" i="9"/>
  <c r="L229" i="9"/>
  <c r="M229" i="9"/>
  <c r="L153" i="9"/>
  <c r="M153" i="9"/>
  <c r="M215" i="9"/>
  <c r="L141" i="9"/>
  <c r="M141" i="9"/>
  <c r="N275" i="7"/>
  <c r="O275" i="7"/>
  <c r="N189" i="7"/>
  <c r="O189" i="7"/>
  <c r="P279" i="6"/>
  <c r="P239" i="6"/>
  <c r="O247" i="6"/>
  <c r="P220" i="6"/>
  <c r="P156" i="6"/>
  <c r="O269" i="7"/>
  <c r="O100" i="6"/>
  <c r="P204" i="6"/>
  <c r="P152" i="6"/>
  <c r="P148" i="6"/>
  <c r="O84" i="6"/>
  <c r="O68" i="6"/>
  <c r="O237" i="7"/>
  <c r="P207" i="6"/>
  <c r="P72" i="6"/>
  <c r="O56" i="6"/>
  <c r="R2" i="10"/>
  <c r="Q2" i="10"/>
  <c r="M49" i="9"/>
  <c r="M33" i="9"/>
  <c r="M17" i="9"/>
  <c r="L216" i="9"/>
  <c r="L10" i="11"/>
  <c r="O22" i="6"/>
  <c r="P334" i="5"/>
  <c r="P302" i="5"/>
  <c r="P270" i="5"/>
  <c r="L396" i="9"/>
  <c r="L380" i="9"/>
  <c r="L364" i="9"/>
  <c r="L348" i="9"/>
  <c r="L332" i="9"/>
  <c r="L316" i="9"/>
  <c r="L394" i="9"/>
  <c r="L378" i="9"/>
  <c r="L362" i="9"/>
  <c r="L346" i="9"/>
  <c r="L330" i="9"/>
  <c r="L314" i="9"/>
  <c r="M253" i="9"/>
  <c r="M168" i="9"/>
  <c r="M237" i="9"/>
  <c r="L125" i="9"/>
  <c r="M125" i="9"/>
  <c r="N259" i="7"/>
  <c r="O259" i="7"/>
  <c r="O171" i="7"/>
  <c r="N301" i="7"/>
  <c r="O301" i="7"/>
  <c r="N253" i="7"/>
  <c r="O253" i="7"/>
  <c r="N133" i="7"/>
  <c r="O133" i="7"/>
  <c r="N117" i="7"/>
  <c r="O117" i="7"/>
  <c r="N101" i="7"/>
  <c r="O101" i="7"/>
  <c r="N85" i="7"/>
  <c r="O85" i="7"/>
  <c r="N69" i="7"/>
  <c r="O69" i="7"/>
  <c r="P252" i="6"/>
  <c r="O115" i="6"/>
  <c r="P71" i="6"/>
  <c r="O71" i="6"/>
  <c r="O375" i="5"/>
  <c r="P375" i="5"/>
  <c r="P44" i="6"/>
  <c r="O205" i="7"/>
  <c r="O43" i="6"/>
  <c r="O39" i="6"/>
  <c r="O15" i="6"/>
  <c r="P15" i="6"/>
  <c r="L2" i="10"/>
  <c r="B16" i="11"/>
  <c r="L6" i="11"/>
  <c r="I7" i="11"/>
  <c r="L261" i="9"/>
  <c r="M261" i="9"/>
  <c r="L137" i="9"/>
  <c r="M137" i="9"/>
  <c r="N139" i="7"/>
  <c r="O139" i="7"/>
  <c r="N123" i="7"/>
  <c r="O123" i="7"/>
  <c r="N107" i="7"/>
  <c r="O107" i="7"/>
  <c r="N91" i="7"/>
  <c r="O91" i="7"/>
  <c r="N75" i="7"/>
  <c r="O75" i="7"/>
  <c r="P303" i="6"/>
  <c r="P275" i="6"/>
  <c r="P284" i="6"/>
  <c r="O271" i="6"/>
  <c r="O243" i="6"/>
  <c r="P172" i="6"/>
  <c r="P87" i="6"/>
  <c r="O87" i="6"/>
  <c r="K2" i="10"/>
  <c r="O2" i="10"/>
  <c r="M270" i="9"/>
  <c r="M254" i="9"/>
  <c r="M238" i="9"/>
  <c r="Q2" i="9"/>
  <c r="I10" i="11"/>
  <c r="M155" i="9"/>
  <c r="M57" i="9"/>
  <c r="M41" i="9"/>
  <c r="M25" i="9"/>
  <c r="M9" i="9"/>
  <c r="O248" i="7"/>
  <c r="O216" i="7"/>
  <c r="O120" i="7"/>
  <c r="O88" i="7"/>
  <c r="O278" i="6"/>
  <c r="O214" i="6"/>
  <c r="O150" i="6"/>
  <c r="O284" i="7"/>
  <c r="O156" i="7"/>
  <c r="O249" i="6"/>
  <c r="O233" i="6"/>
  <c r="O130" i="6"/>
  <c r="O126" i="6"/>
  <c r="O122" i="6"/>
  <c r="O118" i="6"/>
  <c r="O114" i="6"/>
  <c r="O110" i="6"/>
  <c r="O106" i="6"/>
  <c r="O102" i="6"/>
  <c r="O98" i="6"/>
  <c r="O94" i="6"/>
  <c r="O90" i="6"/>
  <c r="O86" i="6"/>
  <c r="O82" i="6"/>
  <c r="O78" i="6"/>
  <c r="O74" i="6"/>
  <c r="O70" i="6"/>
  <c r="O66" i="6"/>
  <c r="O62" i="6"/>
  <c r="O58" i="6"/>
  <c r="O54" i="6"/>
  <c r="O50" i="6"/>
  <c r="O46" i="6"/>
  <c r="O42" i="6"/>
  <c r="O38" i="6"/>
  <c r="O34" i="6"/>
  <c r="P8" i="6"/>
  <c r="O289" i="6"/>
  <c r="O241" i="6"/>
  <c r="O161" i="6"/>
  <c r="O205" i="6"/>
  <c r="O221" i="6"/>
  <c r="O237" i="6"/>
  <c r="O17" i="6"/>
  <c r="P350" i="5"/>
  <c r="P318" i="5"/>
  <c r="P286" i="5"/>
  <c r="P162" i="5"/>
  <c r="P98" i="5"/>
  <c r="P34" i="5"/>
  <c r="P178" i="5"/>
  <c r="O91" i="5"/>
  <c r="O70" i="5"/>
  <c r="P10" i="5"/>
  <c r="P166" i="5"/>
  <c r="L388" i="9"/>
  <c r="L372" i="9"/>
  <c r="L356" i="9"/>
  <c r="L340" i="9"/>
  <c r="L324" i="9"/>
  <c r="L308" i="9"/>
  <c r="L296" i="9"/>
  <c r="L245" i="9"/>
  <c r="M245" i="9"/>
  <c r="M269" i="9"/>
  <c r="M129" i="9"/>
  <c r="L121" i="9"/>
  <c r="M121" i="9"/>
  <c r="M113" i="9"/>
  <c r="M97" i="9"/>
  <c r="M199" i="9"/>
  <c r="M133" i="9"/>
  <c r="M117" i="9"/>
  <c r="N291" i="7"/>
  <c r="O291" i="7"/>
  <c r="O155" i="7"/>
  <c r="M149" i="9"/>
  <c r="N221" i="7"/>
  <c r="O221" i="7"/>
  <c r="P188" i="6"/>
  <c r="P120" i="6"/>
  <c r="O144" i="5"/>
  <c r="P144" i="5"/>
  <c r="P140" i="6"/>
  <c r="O183" i="6"/>
  <c r="O179" i="6"/>
  <c r="O175" i="6"/>
  <c r="P47" i="6"/>
  <c r="O47" i="6"/>
  <c r="P28" i="6"/>
  <c r="P16" i="5"/>
  <c r="R66" i="12"/>
  <c r="Q66" i="12"/>
  <c r="P66" i="12"/>
  <c r="P56" i="12"/>
  <c r="R56" i="12"/>
  <c r="Q56" i="12"/>
  <c r="R38" i="12"/>
  <c r="P38" i="12"/>
  <c r="Q38" i="12"/>
  <c r="P32" i="12"/>
  <c r="R32" i="12"/>
  <c r="Q32" i="12"/>
  <c r="Q28" i="12"/>
  <c r="R28" i="12"/>
  <c r="P28" i="12"/>
  <c r="Q63" i="12"/>
  <c r="P63" i="12"/>
  <c r="R63" i="12"/>
  <c r="P16" i="12"/>
  <c r="R16" i="12"/>
  <c r="Q117" i="12"/>
  <c r="P117" i="12"/>
  <c r="R117" i="12"/>
  <c r="Q113" i="12"/>
  <c r="P113" i="12"/>
  <c r="R113" i="12"/>
  <c r="Q109" i="12"/>
  <c r="P109" i="12"/>
  <c r="R109" i="12"/>
  <c r="P105" i="12"/>
  <c r="Q105" i="12"/>
  <c r="R105" i="12"/>
  <c r="P101" i="12"/>
  <c r="R101" i="12"/>
  <c r="R97" i="12"/>
  <c r="P97" i="12"/>
  <c r="R93" i="12"/>
  <c r="P93" i="12"/>
  <c r="R89" i="12"/>
  <c r="P89" i="12"/>
  <c r="R85" i="12"/>
  <c r="P85" i="12"/>
  <c r="R80" i="12"/>
  <c r="P80" i="12"/>
  <c r="R75" i="12"/>
  <c r="Q75" i="12"/>
  <c r="P75" i="12"/>
  <c r="R71" i="12"/>
  <c r="Q71" i="12"/>
  <c r="P71" i="12"/>
  <c r="Q69" i="12"/>
  <c r="P69" i="12"/>
  <c r="R69" i="12"/>
  <c r="Q67" i="12"/>
  <c r="P67" i="12"/>
  <c r="R67" i="12"/>
  <c r="P57" i="12"/>
  <c r="R57" i="12"/>
  <c r="Q57" i="12"/>
  <c r="R50" i="12"/>
  <c r="Q50" i="12"/>
  <c r="P50" i="12"/>
  <c r="R43" i="12"/>
  <c r="Q43" i="12"/>
  <c r="P43" i="12"/>
  <c r="P39" i="12"/>
  <c r="R39" i="12"/>
  <c r="Q39" i="12"/>
  <c r="Q35" i="12"/>
  <c r="P35" i="12"/>
  <c r="R35" i="12"/>
  <c r="Q33" i="12"/>
  <c r="R33" i="12"/>
  <c r="P33" i="12"/>
  <c r="P18" i="12"/>
  <c r="R18" i="12"/>
  <c r="P14" i="12"/>
  <c r="R14" i="12"/>
  <c r="P10" i="12"/>
  <c r="R10" i="12"/>
  <c r="R6" i="12"/>
  <c r="P6" i="12"/>
  <c r="B19" i="11"/>
  <c r="O2" i="12"/>
  <c r="B20" i="11"/>
  <c r="R11" i="12"/>
  <c r="P11" i="12"/>
  <c r="R7" i="12"/>
  <c r="P7" i="12"/>
  <c r="R3" i="12"/>
  <c r="P3" i="12"/>
  <c r="L301" i="9"/>
  <c r="L293" i="9"/>
  <c r="L285" i="9"/>
  <c r="M397" i="9"/>
  <c r="M389" i="9"/>
  <c r="M381" i="9"/>
  <c r="M373" i="9"/>
  <c r="M365" i="9"/>
  <c r="M357" i="9"/>
  <c r="M349" i="9"/>
  <c r="M341" i="9"/>
  <c r="M333" i="9"/>
  <c r="M325" i="9"/>
  <c r="M317" i="9"/>
  <c r="M309" i="9"/>
  <c r="H10" i="12"/>
  <c r="H11" i="12"/>
  <c r="D11" i="12"/>
  <c r="D100" i="12"/>
  <c r="I100" i="12"/>
  <c r="L277" i="9"/>
  <c r="M277" i="9"/>
  <c r="P2" i="10"/>
  <c r="L178" i="9"/>
  <c r="M178" i="9"/>
  <c r="M214" i="9"/>
  <c r="M182" i="9"/>
  <c r="L182" i="9"/>
  <c r="M167" i="9"/>
  <c r="M206" i="9"/>
  <c r="M224" i="9"/>
  <c r="M150" i="9"/>
  <c r="L150" i="9"/>
  <c r="M142" i="9"/>
  <c r="L142" i="9"/>
  <c r="M134" i="9"/>
  <c r="L134" i="9"/>
  <c r="M126" i="9"/>
  <c r="L126" i="9"/>
  <c r="M118" i="9"/>
  <c r="L118" i="9"/>
  <c r="L110" i="9"/>
  <c r="M110" i="9"/>
  <c r="L102" i="9"/>
  <c r="M102" i="9"/>
  <c r="L94" i="9"/>
  <c r="M94" i="9"/>
  <c r="L86" i="9"/>
  <c r="M86" i="9"/>
  <c r="L78" i="9"/>
  <c r="M78" i="9"/>
  <c r="M190" i="9"/>
  <c r="L5" i="9"/>
  <c r="I2" i="9"/>
  <c r="B17" i="11"/>
  <c r="N290" i="7"/>
  <c r="O290" i="7"/>
  <c r="N258" i="7"/>
  <c r="O258" i="7"/>
  <c r="N226" i="7"/>
  <c r="O226" i="7"/>
  <c r="N194" i="7"/>
  <c r="O194" i="7"/>
  <c r="N162" i="7"/>
  <c r="O162" i="7"/>
  <c r="N130" i="7"/>
  <c r="O130" i="7"/>
  <c r="N98" i="7"/>
  <c r="O98" i="7"/>
  <c r="O286" i="7"/>
  <c r="N286" i="7"/>
  <c r="O254" i="7"/>
  <c r="N254" i="7"/>
  <c r="O222" i="7"/>
  <c r="N222" i="7"/>
  <c r="O190" i="7"/>
  <c r="N190" i="7"/>
  <c r="O158" i="7"/>
  <c r="N158" i="7"/>
  <c r="O126" i="7"/>
  <c r="N126" i="7"/>
  <c r="O94" i="7"/>
  <c r="N94" i="7"/>
  <c r="B18" i="11"/>
  <c r="D18" i="11" s="1"/>
  <c r="J2" i="7"/>
  <c r="P281" i="6"/>
  <c r="P217" i="6"/>
  <c r="P153" i="6"/>
  <c r="P245" i="6"/>
  <c r="P181" i="6"/>
  <c r="P257" i="6"/>
  <c r="P193" i="6"/>
  <c r="P10" i="6"/>
  <c r="O10" i="6"/>
  <c r="P393" i="5"/>
  <c r="O393" i="5"/>
  <c r="O377" i="5"/>
  <c r="P377" i="5"/>
  <c r="P157" i="6"/>
  <c r="P173" i="6"/>
  <c r="O14" i="6"/>
  <c r="J2" i="6"/>
  <c r="P263" i="5"/>
  <c r="O263" i="5"/>
  <c r="P259" i="5"/>
  <c r="O259" i="5"/>
  <c r="P255" i="5"/>
  <c r="O255" i="5"/>
  <c r="P251" i="5"/>
  <c r="O251" i="5"/>
  <c r="P247" i="5"/>
  <c r="O247" i="5"/>
  <c r="P243" i="5"/>
  <c r="O243" i="5"/>
  <c r="P239" i="5"/>
  <c r="O239" i="5"/>
  <c r="P235" i="5"/>
  <c r="O235" i="5"/>
  <c r="P231" i="5"/>
  <c r="O231" i="5"/>
  <c r="P227" i="5"/>
  <c r="O227" i="5"/>
  <c r="P223" i="5"/>
  <c r="O223" i="5"/>
  <c r="P219" i="5"/>
  <c r="O219" i="5"/>
  <c r="O215" i="5"/>
  <c r="P215" i="5"/>
  <c r="O207" i="5"/>
  <c r="P207" i="5"/>
  <c r="O199" i="5"/>
  <c r="P199" i="5"/>
  <c r="O191" i="5"/>
  <c r="P191" i="5"/>
  <c r="O183" i="5"/>
  <c r="P183" i="5"/>
  <c r="O175" i="5"/>
  <c r="P175" i="5"/>
  <c r="O167" i="5"/>
  <c r="P167" i="5"/>
  <c r="G12" i="11"/>
  <c r="C20" i="11" s="1"/>
  <c r="K2" i="4"/>
  <c r="P138" i="5"/>
  <c r="P106" i="5"/>
  <c r="P74" i="5"/>
  <c r="P42" i="5"/>
  <c r="P194" i="5"/>
  <c r="P150" i="5"/>
  <c r="P147" i="5"/>
  <c r="O147" i="5"/>
  <c r="P118" i="5"/>
  <c r="T2" i="5"/>
  <c r="P159" i="5"/>
  <c r="P119" i="5"/>
  <c r="P87" i="5"/>
  <c r="P55" i="5"/>
  <c r="P23" i="5"/>
  <c r="I6" i="11"/>
  <c r="P83" i="12"/>
  <c r="R83" i="12"/>
  <c r="Q53" i="12"/>
  <c r="P53" i="12"/>
  <c r="R53" i="12"/>
  <c r="R120" i="12"/>
  <c r="Q120" i="12"/>
  <c r="P120" i="12"/>
  <c r="R112" i="12"/>
  <c r="Q112" i="12"/>
  <c r="P112" i="12"/>
  <c r="P110" i="12"/>
  <c r="R110" i="12"/>
  <c r="Q110" i="12"/>
  <c r="R108" i="12"/>
  <c r="Q108" i="12"/>
  <c r="P108" i="12"/>
  <c r="P100" i="12"/>
  <c r="R100" i="12"/>
  <c r="R70" i="12"/>
  <c r="Q70" i="12"/>
  <c r="P70" i="12"/>
  <c r="P60" i="12"/>
  <c r="R60" i="12"/>
  <c r="Q60" i="12"/>
  <c r="R30" i="12"/>
  <c r="Q30" i="12"/>
  <c r="P30" i="12"/>
  <c r="A2" i="11"/>
  <c r="R13" i="12"/>
  <c r="P13" i="12"/>
  <c r="R5" i="12"/>
  <c r="P5" i="12"/>
  <c r="N2" i="10"/>
  <c r="H100" i="12"/>
  <c r="H13" i="12"/>
  <c r="D12" i="12"/>
  <c r="F100" i="12"/>
  <c r="L275" i="9"/>
  <c r="M275" i="9"/>
  <c r="E2" i="10"/>
  <c r="L188" i="9"/>
  <c r="M188" i="9"/>
  <c r="M169" i="9"/>
  <c r="L169" i="9"/>
  <c r="L198" i="9"/>
  <c r="M171" i="9"/>
  <c r="M157" i="9"/>
  <c r="L157" i="9"/>
  <c r="M148" i="9"/>
  <c r="L148" i="9"/>
  <c r="M140" i="9"/>
  <c r="L140" i="9"/>
  <c r="M132" i="9"/>
  <c r="L132" i="9"/>
  <c r="M124" i="9"/>
  <c r="L124" i="9"/>
  <c r="M116" i="9"/>
  <c r="L116" i="9"/>
  <c r="L108" i="9"/>
  <c r="M108" i="9"/>
  <c r="L100" i="9"/>
  <c r="M100" i="9"/>
  <c r="L92" i="9"/>
  <c r="M92" i="9"/>
  <c r="L84" i="9"/>
  <c r="M84" i="9"/>
  <c r="L76" i="9"/>
  <c r="M76" i="9"/>
  <c r="N298" i="7"/>
  <c r="O298" i="7"/>
  <c r="N266" i="7"/>
  <c r="O266" i="7"/>
  <c r="N234" i="7"/>
  <c r="O234" i="7"/>
  <c r="N202" i="7"/>
  <c r="O202" i="7"/>
  <c r="N170" i="7"/>
  <c r="O170" i="7"/>
  <c r="N138" i="7"/>
  <c r="O138" i="7"/>
  <c r="N106" i="7"/>
  <c r="O106" i="7"/>
  <c r="N74" i="7"/>
  <c r="O74" i="7"/>
  <c r="M2" i="8"/>
  <c r="O278" i="7"/>
  <c r="N278" i="7"/>
  <c r="O246" i="7"/>
  <c r="N246" i="7"/>
  <c r="O214" i="7"/>
  <c r="N214" i="7"/>
  <c r="O182" i="7"/>
  <c r="N182" i="7"/>
  <c r="O150" i="7"/>
  <c r="N150" i="7"/>
  <c r="O118" i="7"/>
  <c r="N118" i="7"/>
  <c r="O86" i="7"/>
  <c r="N86" i="7"/>
  <c r="P301" i="6"/>
  <c r="P265" i="6"/>
  <c r="P201" i="6"/>
  <c r="P137" i="6"/>
  <c r="C17" i="11" s="1"/>
  <c r="P18" i="6"/>
  <c r="O18" i="6"/>
  <c r="P293" i="6"/>
  <c r="P229" i="6"/>
  <c r="P165" i="6"/>
  <c r="P273" i="6"/>
  <c r="P209" i="6"/>
  <c r="P145" i="6"/>
  <c r="O389" i="5"/>
  <c r="P389" i="5"/>
  <c r="O373" i="5"/>
  <c r="P373" i="5"/>
  <c r="P269" i="6"/>
  <c r="P141" i="6"/>
  <c r="P253" i="6"/>
  <c r="P358" i="5"/>
  <c r="P354" i="5"/>
  <c r="P346" i="5"/>
  <c r="P330" i="5"/>
  <c r="P314" i="5"/>
  <c r="P298" i="5"/>
  <c r="P282" i="5"/>
  <c r="P266" i="5"/>
  <c r="D12" i="11"/>
  <c r="C19" i="11" s="1"/>
  <c r="Q2" i="6"/>
  <c r="K2" i="5"/>
  <c r="P190" i="5"/>
  <c r="P142" i="5"/>
  <c r="P139" i="5"/>
  <c r="O139" i="5"/>
  <c r="J7" i="11"/>
  <c r="P127" i="5"/>
  <c r="P111" i="5"/>
  <c r="P79" i="5"/>
  <c r="P47" i="5"/>
  <c r="P15" i="5"/>
  <c r="O170" i="5"/>
  <c r="J6" i="11"/>
  <c r="P48" i="12"/>
  <c r="R48" i="12"/>
  <c r="Q48" i="12"/>
  <c r="R116" i="12"/>
  <c r="Q116" i="12"/>
  <c r="P116" i="12"/>
  <c r="Q104" i="12"/>
  <c r="P104" i="12"/>
  <c r="R104" i="12"/>
  <c r="R88" i="12"/>
  <c r="P88" i="12"/>
  <c r="P84" i="12"/>
  <c r="R84" i="12"/>
  <c r="P74" i="12"/>
  <c r="R74" i="12"/>
  <c r="Q74" i="12"/>
  <c r="R42" i="12"/>
  <c r="Q42" i="12"/>
  <c r="P42" i="12"/>
  <c r="P8" i="12"/>
  <c r="R8" i="12"/>
  <c r="Q125" i="12"/>
  <c r="P125" i="12"/>
  <c r="R125" i="12"/>
  <c r="R123" i="12"/>
  <c r="Q123" i="12"/>
  <c r="P123" i="12"/>
  <c r="P24" i="12"/>
  <c r="R24" i="12"/>
  <c r="P23" i="12"/>
  <c r="R23" i="12"/>
  <c r="Q51" i="12"/>
  <c r="P51" i="12"/>
  <c r="R51" i="12"/>
  <c r="P99" i="12"/>
  <c r="R99" i="12"/>
  <c r="P95" i="12"/>
  <c r="R95" i="12"/>
  <c r="Q73" i="12"/>
  <c r="R73" i="12"/>
  <c r="P73" i="12"/>
  <c r="Q45" i="12"/>
  <c r="R45" i="12"/>
  <c r="P45" i="12"/>
  <c r="Q41" i="12"/>
  <c r="R41" i="12"/>
  <c r="P41" i="12"/>
  <c r="Q37" i="12"/>
  <c r="P37" i="12"/>
  <c r="R37" i="12"/>
  <c r="R31" i="12"/>
  <c r="Q31" i="12"/>
  <c r="P31" i="12"/>
  <c r="R29" i="12"/>
  <c r="Q29" i="12"/>
  <c r="P29" i="12"/>
  <c r="P27" i="12"/>
  <c r="R27" i="12"/>
  <c r="Q27" i="12"/>
  <c r="R25" i="12"/>
  <c r="P25" i="12"/>
  <c r="R20" i="12"/>
  <c r="P20" i="12"/>
  <c r="P126" i="12"/>
  <c r="R126" i="12"/>
  <c r="Q126" i="12"/>
  <c r="P2" i="12"/>
  <c r="R2" i="12"/>
  <c r="R15" i="12"/>
  <c r="P15" i="12"/>
  <c r="J2" i="10"/>
  <c r="L299" i="9"/>
  <c r="L291" i="9"/>
  <c r="L283" i="9"/>
  <c r="M403" i="9"/>
  <c r="M395" i="9"/>
  <c r="M387" i="9"/>
  <c r="M379" i="9"/>
  <c r="M371" i="9"/>
  <c r="M363" i="9"/>
  <c r="M355" i="9"/>
  <c r="M347" i="9"/>
  <c r="M339" i="9"/>
  <c r="M331" i="9"/>
  <c r="M323" i="9"/>
  <c r="M315" i="9"/>
  <c r="M307" i="9"/>
  <c r="F11" i="12"/>
  <c r="H12" i="12"/>
  <c r="F14" i="12"/>
  <c r="D13" i="12"/>
  <c r="G100" i="12"/>
  <c r="L281" i="9"/>
  <c r="M281" i="9"/>
  <c r="L273" i="9"/>
  <c r="M273" i="9"/>
  <c r="I2" i="10"/>
  <c r="L186" i="9"/>
  <c r="M186" i="9"/>
  <c r="M161" i="9"/>
  <c r="L161" i="9"/>
  <c r="M154" i="9"/>
  <c r="L154" i="9"/>
  <c r="M146" i="9"/>
  <c r="L146" i="9"/>
  <c r="M138" i="9"/>
  <c r="L138" i="9"/>
  <c r="M130" i="9"/>
  <c r="L130" i="9"/>
  <c r="M122" i="9"/>
  <c r="L122" i="9"/>
  <c r="M114" i="9"/>
  <c r="L114" i="9"/>
  <c r="L106" i="9"/>
  <c r="M106" i="9"/>
  <c r="L98" i="9"/>
  <c r="M98" i="9"/>
  <c r="L90" i="9"/>
  <c r="M90" i="9"/>
  <c r="L82" i="9"/>
  <c r="M82" i="9"/>
  <c r="L74" i="9"/>
  <c r="M74" i="9"/>
  <c r="M70" i="9"/>
  <c r="L70" i="9"/>
  <c r="M59" i="9"/>
  <c r="M51" i="9"/>
  <c r="M43" i="9"/>
  <c r="M35" i="9"/>
  <c r="M27" i="9"/>
  <c r="M19" i="9"/>
  <c r="M11" i="9"/>
  <c r="M66" i="9"/>
  <c r="L66" i="9"/>
  <c r="L9" i="11"/>
  <c r="I9" i="11"/>
  <c r="J9" i="11"/>
  <c r="R2" i="8"/>
  <c r="N274" i="7"/>
  <c r="O274" i="7"/>
  <c r="N242" i="7"/>
  <c r="O242" i="7"/>
  <c r="N210" i="7"/>
  <c r="O210" i="7"/>
  <c r="N178" i="7"/>
  <c r="O178" i="7"/>
  <c r="N146" i="7"/>
  <c r="O146" i="7"/>
  <c r="N114" i="7"/>
  <c r="O114" i="7"/>
  <c r="N82" i="7"/>
  <c r="O82" i="7"/>
  <c r="J10" i="11"/>
  <c r="K10" i="11" s="1"/>
  <c r="O302" i="7"/>
  <c r="N302" i="7"/>
  <c r="O292" i="7"/>
  <c r="O270" i="7"/>
  <c r="N270" i="7"/>
  <c r="O260" i="7"/>
  <c r="O238" i="7"/>
  <c r="N238" i="7"/>
  <c r="O228" i="7"/>
  <c r="O206" i="7"/>
  <c r="N206" i="7"/>
  <c r="O196" i="7"/>
  <c r="O174" i="7"/>
  <c r="N174" i="7"/>
  <c r="O164" i="7"/>
  <c r="O142" i="7"/>
  <c r="N142" i="7"/>
  <c r="O132" i="7"/>
  <c r="O110" i="7"/>
  <c r="N110" i="7"/>
  <c r="O100" i="7"/>
  <c r="O78" i="7"/>
  <c r="N78" i="7"/>
  <c r="O68" i="7"/>
  <c r="O65" i="7"/>
  <c r="O63" i="7"/>
  <c r="O61" i="7"/>
  <c r="O59" i="7"/>
  <c r="O57" i="7"/>
  <c r="O55" i="7"/>
  <c r="O53" i="7"/>
  <c r="O51" i="7"/>
  <c r="O49" i="7"/>
  <c r="O47" i="7"/>
  <c r="O45" i="7"/>
  <c r="O43" i="7"/>
  <c r="O41" i="7"/>
  <c r="O39" i="7"/>
  <c r="O37" i="7"/>
  <c r="O35" i="7"/>
  <c r="O33" i="7"/>
  <c r="O31" i="7"/>
  <c r="O29" i="7"/>
  <c r="O27" i="7"/>
  <c r="O25" i="7"/>
  <c r="O23" i="7"/>
  <c r="O21" i="7"/>
  <c r="O19" i="7"/>
  <c r="O17" i="7"/>
  <c r="O15" i="7"/>
  <c r="O13" i="7"/>
  <c r="O11" i="7"/>
  <c r="O9" i="7"/>
  <c r="O7" i="7"/>
  <c r="O5" i="7"/>
  <c r="O26" i="6"/>
  <c r="P401" i="5"/>
  <c r="O401" i="5"/>
  <c r="O385" i="5"/>
  <c r="P385" i="5"/>
  <c r="O369" i="5"/>
  <c r="P369" i="5"/>
  <c r="O4" i="6"/>
  <c r="P342" i="5"/>
  <c r="P326" i="5"/>
  <c r="P310" i="5"/>
  <c r="P294" i="5"/>
  <c r="P278" i="5"/>
  <c r="P262" i="5"/>
  <c r="P258" i="5"/>
  <c r="P254" i="5"/>
  <c r="P250" i="5"/>
  <c r="P246" i="5"/>
  <c r="P242" i="5"/>
  <c r="P238" i="5"/>
  <c r="P234" i="5"/>
  <c r="P230" i="5"/>
  <c r="P226" i="5"/>
  <c r="P222" i="5"/>
  <c r="P218" i="5"/>
  <c r="O211" i="5"/>
  <c r="P211" i="5"/>
  <c r="O203" i="5"/>
  <c r="P203" i="5"/>
  <c r="O195" i="5"/>
  <c r="P195" i="5"/>
  <c r="O187" i="5"/>
  <c r="P187" i="5"/>
  <c r="O179" i="5"/>
  <c r="P179" i="5"/>
  <c r="O171" i="5"/>
  <c r="P171" i="5"/>
  <c r="B12" i="11"/>
  <c r="H12" i="11"/>
  <c r="P163" i="5"/>
  <c r="O163" i="5"/>
  <c r="P131" i="5"/>
  <c r="O131" i="5"/>
  <c r="L7" i="11"/>
  <c r="O214" i="5"/>
  <c r="P103" i="5"/>
  <c r="P71" i="5"/>
  <c r="P39" i="5"/>
  <c r="P135" i="5"/>
  <c r="B21" i="11"/>
  <c r="D21" i="11" s="1"/>
  <c r="P77" i="12"/>
  <c r="R77" i="12"/>
  <c r="P52" i="12"/>
  <c r="Q52" i="12"/>
  <c r="R52" i="12"/>
  <c r="P96" i="12"/>
  <c r="R96" i="12"/>
  <c r="R92" i="12"/>
  <c r="P92" i="12"/>
  <c r="P79" i="12"/>
  <c r="R79" i="12"/>
  <c r="R46" i="12"/>
  <c r="Q46" i="12"/>
  <c r="P46" i="12"/>
  <c r="R34" i="12"/>
  <c r="Q34" i="12"/>
  <c r="P34" i="12"/>
  <c r="P12" i="12"/>
  <c r="R12" i="12"/>
  <c r="Q121" i="12"/>
  <c r="P121" i="12"/>
  <c r="R121" i="12"/>
  <c r="R119" i="12"/>
  <c r="Q119" i="12"/>
  <c r="P119" i="12"/>
  <c r="R115" i="12"/>
  <c r="Q115" i="12"/>
  <c r="P115" i="12"/>
  <c r="R111" i="12"/>
  <c r="Q111" i="12"/>
  <c r="P111" i="12"/>
  <c r="R107" i="12"/>
  <c r="Q107" i="12"/>
  <c r="P107" i="12"/>
  <c r="R103" i="12"/>
  <c r="P103" i="12"/>
  <c r="Q103" i="12"/>
  <c r="P91" i="12"/>
  <c r="R91" i="12"/>
  <c r="P87" i="12"/>
  <c r="R87" i="12"/>
  <c r="P82" i="12"/>
  <c r="R82" i="12"/>
  <c r="P78" i="12"/>
  <c r="R78" i="12"/>
  <c r="P64" i="12"/>
  <c r="R64" i="12"/>
  <c r="Q64" i="12"/>
  <c r="Q61" i="12"/>
  <c r="P61" i="12"/>
  <c r="R61" i="12"/>
  <c r="Q59" i="12"/>
  <c r="P59" i="12"/>
  <c r="R59" i="12"/>
  <c r="P55" i="12"/>
  <c r="R55" i="12"/>
  <c r="Q55" i="12"/>
  <c r="R124" i="12"/>
  <c r="Q124" i="12"/>
  <c r="P124" i="12"/>
  <c r="Q65" i="12"/>
  <c r="P65" i="12"/>
  <c r="R65" i="12"/>
  <c r="P122" i="12"/>
  <c r="Q122" i="12"/>
  <c r="R122" i="12"/>
  <c r="R22" i="12"/>
  <c r="P22" i="12"/>
  <c r="P118" i="12"/>
  <c r="R118" i="12"/>
  <c r="Q118" i="12"/>
  <c r="P114" i="12"/>
  <c r="R114" i="12"/>
  <c r="Q114" i="12"/>
  <c r="Q106" i="12"/>
  <c r="R106" i="12"/>
  <c r="P106" i="12"/>
  <c r="P102" i="12"/>
  <c r="R102" i="12"/>
  <c r="Q102" i="12"/>
  <c r="P98" i="12"/>
  <c r="R98" i="12"/>
  <c r="P94" i="12"/>
  <c r="R94" i="12"/>
  <c r="R90" i="12"/>
  <c r="P90" i="12"/>
  <c r="R86" i="12"/>
  <c r="P86" i="12"/>
  <c r="P81" i="12"/>
  <c r="R81" i="12"/>
  <c r="R76" i="12"/>
  <c r="P76" i="12"/>
  <c r="Q76" i="12"/>
  <c r="R72" i="12"/>
  <c r="P72" i="12"/>
  <c r="Q72" i="12"/>
  <c r="P68" i="12"/>
  <c r="R68" i="12"/>
  <c r="Q68" i="12"/>
  <c r="R62" i="12"/>
  <c r="Q62" i="12"/>
  <c r="P62" i="12"/>
  <c r="R58" i="12"/>
  <c r="P58" i="12"/>
  <c r="Q58" i="12"/>
  <c r="R54" i="12"/>
  <c r="P54" i="12"/>
  <c r="Q54" i="12"/>
  <c r="P44" i="12"/>
  <c r="R44" i="12"/>
  <c r="Q44" i="12"/>
  <c r="P40" i="12"/>
  <c r="R40" i="12"/>
  <c r="Q40" i="12"/>
  <c r="P36" i="12"/>
  <c r="Q36" i="12"/>
  <c r="R36" i="12"/>
  <c r="P26" i="12"/>
  <c r="R26" i="12"/>
  <c r="R21" i="12"/>
  <c r="P21" i="12"/>
  <c r="P19" i="12"/>
  <c r="R19" i="12"/>
  <c r="R17" i="12"/>
  <c r="P17" i="12"/>
  <c r="R4" i="12"/>
  <c r="P4" i="12"/>
  <c r="R9" i="12"/>
  <c r="P9" i="12"/>
  <c r="F2" i="10"/>
  <c r="M272" i="9"/>
  <c r="L272" i="9"/>
  <c r="M268" i="9"/>
  <c r="M264" i="9"/>
  <c r="M260" i="9"/>
  <c r="M256" i="9"/>
  <c r="M252" i="9"/>
  <c r="M248" i="9"/>
  <c r="M244" i="9"/>
  <c r="M240" i="9"/>
  <c r="M236" i="9"/>
  <c r="M232" i="9"/>
  <c r="M228" i="9"/>
  <c r="F13" i="12"/>
  <c r="H14" i="12"/>
  <c r="D10" i="12"/>
  <c r="D14" i="12"/>
  <c r="L279" i="9"/>
  <c r="M279" i="9"/>
  <c r="M226" i="9"/>
  <c r="M218" i="9"/>
  <c r="M210" i="9"/>
  <c r="M202" i="9"/>
  <c r="L196" i="9"/>
  <c r="M196" i="9"/>
  <c r="M194" i="9"/>
  <c r="L194" i="9"/>
  <c r="M208" i="9"/>
  <c r="L184" i="9"/>
  <c r="L180" i="9"/>
  <c r="M200" i="9"/>
  <c r="M165" i="9"/>
  <c r="L165" i="9"/>
  <c r="M163" i="9"/>
  <c r="M152" i="9"/>
  <c r="L152" i="9"/>
  <c r="M144" i="9"/>
  <c r="L144" i="9"/>
  <c r="M136" i="9"/>
  <c r="L136" i="9"/>
  <c r="M128" i="9"/>
  <c r="L128" i="9"/>
  <c r="M120" i="9"/>
  <c r="L120" i="9"/>
  <c r="M112" i="9"/>
  <c r="L112" i="9"/>
  <c r="L104" i="9"/>
  <c r="M104" i="9"/>
  <c r="L96" i="9"/>
  <c r="M96" i="9"/>
  <c r="L88" i="9"/>
  <c r="M88" i="9"/>
  <c r="L80" i="9"/>
  <c r="M80" i="9"/>
  <c r="L72" i="9"/>
  <c r="M72" i="9"/>
  <c r="M61" i="9"/>
  <c r="M53" i="9"/>
  <c r="M45" i="9"/>
  <c r="M37" i="9"/>
  <c r="M29" i="9"/>
  <c r="M21" i="9"/>
  <c r="M13" i="9"/>
  <c r="M5" i="9"/>
  <c r="N282" i="7"/>
  <c r="O282" i="7"/>
  <c r="N250" i="7"/>
  <c r="O250" i="7"/>
  <c r="N218" i="7"/>
  <c r="O218" i="7"/>
  <c r="N186" i="7"/>
  <c r="O186" i="7"/>
  <c r="N154" i="7"/>
  <c r="O154" i="7"/>
  <c r="N122" i="7"/>
  <c r="O122" i="7"/>
  <c r="N90" i="7"/>
  <c r="O90" i="7"/>
  <c r="O302" i="6"/>
  <c r="O286" i="6"/>
  <c r="O270" i="6"/>
  <c r="O254" i="6"/>
  <c r="O238" i="6"/>
  <c r="O222" i="6"/>
  <c r="O206" i="6"/>
  <c r="O190" i="6"/>
  <c r="O174" i="6"/>
  <c r="O158" i="6"/>
  <c r="O142" i="6"/>
  <c r="O294" i="7"/>
  <c r="N294" i="7"/>
  <c r="O262" i="7"/>
  <c r="N262" i="7"/>
  <c r="O230" i="7"/>
  <c r="N230" i="7"/>
  <c r="O198" i="7"/>
  <c r="N198" i="7"/>
  <c r="O166" i="7"/>
  <c r="N166" i="7"/>
  <c r="O134" i="7"/>
  <c r="N134" i="7"/>
  <c r="O102" i="7"/>
  <c r="N102" i="7"/>
  <c r="O70" i="7"/>
  <c r="N70" i="7"/>
  <c r="J8" i="11"/>
  <c r="I8" i="11"/>
  <c r="L8" i="11"/>
  <c r="S2" i="7"/>
  <c r="P397" i="5"/>
  <c r="O397" i="5"/>
  <c r="O381" i="5"/>
  <c r="P381" i="5"/>
  <c r="O365" i="5"/>
  <c r="P365" i="5"/>
  <c r="O6" i="6"/>
  <c r="I11" i="11"/>
  <c r="L11" i="11"/>
  <c r="J11" i="11"/>
  <c r="T2" i="6"/>
  <c r="P2" i="6"/>
  <c r="P338" i="5"/>
  <c r="P322" i="5"/>
  <c r="P306" i="5"/>
  <c r="P290" i="5"/>
  <c r="P274" i="5"/>
  <c r="E12" i="11"/>
  <c r="P182" i="5"/>
  <c r="P146" i="5"/>
  <c r="P114" i="5"/>
  <c r="P82" i="5"/>
  <c r="P50" i="5"/>
  <c r="P18" i="5"/>
  <c r="P155" i="5"/>
  <c r="O155" i="5"/>
  <c r="P123" i="5"/>
  <c r="O123" i="5"/>
  <c r="O5" i="5"/>
  <c r="P151" i="5"/>
  <c r="P95" i="5"/>
  <c r="P63" i="5"/>
  <c r="P31" i="5"/>
  <c r="P143" i="5"/>
  <c r="P2" i="4"/>
  <c r="M2" i="9" l="1"/>
  <c r="L12" i="11"/>
  <c r="K8" i="11"/>
  <c r="O2" i="7"/>
  <c r="P2" i="5"/>
  <c r="N2" i="7"/>
  <c r="K7" i="11"/>
  <c r="K9" i="11"/>
  <c r="L2" i="9"/>
  <c r="K11" i="11"/>
  <c r="J12" i="11"/>
  <c r="D19" i="11"/>
  <c r="O2" i="5"/>
  <c r="C16" i="11"/>
  <c r="D16" i="11" s="1"/>
  <c r="O2" i="6"/>
  <c r="A56" i="12"/>
  <c r="A52" i="12"/>
  <c r="A48" i="12"/>
  <c r="A44" i="12"/>
  <c r="A40" i="12"/>
  <c r="A36" i="12"/>
  <c r="A32" i="12"/>
  <c r="A47" i="12"/>
  <c r="A46" i="12"/>
  <c r="A45" i="12"/>
  <c r="A31" i="12"/>
  <c r="A43" i="12"/>
  <c r="A42" i="12"/>
  <c r="A41" i="12"/>
  <c r="A27" i="12"/>
  <c r="A23" i="12"/>
  <c r="A19" i="12"/>
  <c r="A55" i="12"/>
  <c r="A54" i="12"/>
  <c r="A53" i="12"/>
  <c r="A22" i="12"/>
  <c r="A21" i="12"/>
  <c r="A51" i="12"/>
  <c r="A50" i="12"/>
  <c r="A49" i="12"/>
  <c r="A30" i="12"/>
  <c r="A29" i="12"/>
  <c r="A28" i="12"/>
  <c r="A20" i="12"/>
  <c r="A39" i="12"/>
  <c r="A37" i="12"/>
  <c r="A26" i="12"/>
  <c r="A25" i="12"/>
  <c r="A35" i="12"/>
  <c r="A33" i="12"/>
  <c r="A38" i="12"/>
  <c r="A24" i="12"/>
  <c r="A18" i="12"/>
  <c r="A17" i="12"/>
  <c r="A34" i="12"/>
  <c r="D17" i="11"/>
  <c r="K6" i="11"/>
  <c r="K12" i="11" s="1"/>
  <c r="I12" i="11"/>
  <c r="D20" i="11"/>
  <c r="F39" i="12" l="1"/>
  <c r="E39" i="12"/>
  <c r="B39" i="12"/>
  <c r="H39" i="12"/>
  <c r="G39" i="12"/>
  <c r="E38" i="12"/>
  <c r="F38" i="12"/>
  <c r="B38" i="12"/>
  <c r="H38" i="12"/>
  <c r="G38" i="12"/>
  <c r="H28" i="12"/>
  <c r="B28" i="12"/>
  <c r="E28" i="12"/>
  <c r="G28" i="12"/>
  <c r="F28" i="12"/>
  <c r="H53" i="12"/>
  <c r="B53" i="12"/>
  <c r="F53" i="12"/>
  <c r="E53" i="12"/>
  <c r="G53" i="12"/>
  <c r="F43" i="12"/>
  <c r="B43" i="12"/>
  <c r="H43" i="12"/>
  <c r="G43" i="12"/>
  <c r="E43" i="12"/>
  <c r="G44" i="12"/>
  <c r="B44" i="12"/>
  <c r="H44" i="12"/>
  <c r="F44" i="12"/>
  <c r="E44" i="12"/>
  <c r="F18" i="12"/>
  <c r="E18" i="12"/>
  <c r="B18" i="12"/>
  <c r="H18" i="12"/>
  <c r="G18" i="12"/>
  <c r="E30" i="12"/>
  <c r="G30" i="12"/>
  <c r="B30" i="12"/>
  <c r="H30" i="12"/>
  <c r="F30" i="12"/>
  <c r="E34" i="12"/>
  <c r="G34" i="12"/>
  <c r="F34" i="12"/>
  <c r="H34" i="12"/>
  <c r="B34" i="12"/>
  <c r="F26" i="12"/>
  <c r="E26" i="12"/>
  <c r="B26" i="12"/>
  <c r="H26" i="12"/>
  <c r="G26" i="12"/>
  <c r="E50" i="12"/>
  <c r="G50" i="12"/>
  <c r="F50" i="12"/>
  <c r="B50" i="12"/>
  <c r="H50" i="12"/>
  <c r="G23" i="12"/>
  <c r="H23" i="12"/>
  <c r="F23" i="12"/>
  <c r="E23" i="12"/>
  <c r="B23" i="12"/>
  <c r="F47" i="12"/>
  <c r="H47" i="12"/>
  <c r="G47" i="12"/>
  <c r="E47" i="12"/>
  <c r="B47" i="12"/>
  <c r="E17" i="12"/>
  <c r="F17" i="12"/>
  <c r="B17" i="12"/>
  <c r="H17" i="12"/>
  <c r="G17" i="12"/>
  <c r="H33" i="12"/>
  <c r="B33" i="12"/>
  <c r="G33" i="12"/>
  <c r="F33" i="12"/>
  <c r="E33" i="12"/>
  <c r="H37" i="12"/>
  <c r="B37" i="12"/>
  <c r="F37" i="12"/>
  <c r="E37" i="12"/>
  <c r="G37" i="12"/>
  <c r="E29" i="12"/>
  <c r="B29" i="12"/>
  <c r="H29" i="12"/>
  <c r="G29" i="12"/>
  <c r="F29" i="12"/>
  <c r="F51" i="12"/>
  <c r="G51" i="12"/>
  <c r="E51" i="12"/>
  <c r="B51" i="12"/>
  <c r="H51" i="12"/>
  <c r="E54" i="12"/>
  <c r="F54" i="12"/>
  <c r="B54" i="12"/>
  <c r="H54" i="12"/>
  <c r="G54" i="12"/>
  <c r="G27" i="12"/>
  <c r="E27" i="12"/>
  <c r="B27" i="12"/>
  <c r="H27" i="12"/>
  <c r="F27" i="12"/>
  <c r="F31" i="12"/>
  <c r="H31" i="12"/>
  <c r="G31" i="12"/>
  <c r="E31" i="12"/>
  <c r="B31" i="12"/>
  <c r="G32" i="12"/>
  <c r="H32" i="12"/>
  <c r="F32" i="12"/>
  <c r="E32" i="12"/>
  <c r="B32" i="12"/>
  <c r="G48" i="12"/>
  <c r="H48" i="12"/>
  <c r="F48" i="12"/>
  <c r="E48" i="12"/>
  <c r="B48" i="12"/>
  <c r="F35" i="12"/>
  <c r="G35" i="12"/>
  <c r="E35" i="12"/>
  <c r="H35" i="12"/>
  <c r="B35" i="12"/>
  <c r="E21" i="12"/>
  <c r="H21" i="12"/>
  <c r="G21" i="12"/>
  <c r="F21" i="12"/>
  <c r="B21" i="12"/>
  <c r="F55" i="12"/>
  <c r="E55" i="12"/>
  <c r="B55" i="12"/>
  <c r="H55" i="12"/>
  <c r="G55" i="12"/>
  <c r="H41" i="12"/>
  <c r="B41" i="12"/>
  <c r="E41" i="12"/>
  <c r="G41" i="12"/>
  <c r="F41" i="12"/>
  <c r="H45" i="12"/>
  <c r="B45" i="12"/>
  <c r="G45" i="12"/>
  <c r="F45" i="12"/>
  <c r="E45" i="12"/>
  <c r="G36" i="12"/>
  <c r="F36" i="12"/>
  <c r="E36" i="12"/>
  <c r="H36" i="12"/>
  <c r="B36" i="12"/>
  <c r="G52" i="12"/>
  <c r="F52" i="12"/>
  <c r="E52" i="12"/>
  <c r="B52" i="12"/>
  <c r="H52" i="12"/>
  <c r="H24" i="12"/>
  <c r="B24" i="12"/>
  <c r="G24" i="12"/>
  <c r="F24" i="12"/>
  <c r="E24" i="12"/>
  <c r="E25" i="12"/>
  <c r="F25" i="12"/>
  <c r="B25" i="12"/>
  <c r="H25" i="12"/>
  <c r="G25" i="12"/>
  <c r="H20" i="12"/>
  <c r="B20" i="12"/>
  <c r="E20" i="12"/>
  <c r="G20" i="12"/>
  <c r="F20" i="12"/>
  <c r="H49" i="12"/>
  <c r="B49" i="12"/>
  <c r="G49" i="12"/>
  <c r="F49" i="12"/>
  <c r="E49" i="12"/>
  <c r="F22" i="12"/>
  <c r="H22" i="12"/>
  <c r="G22" i="12"/>
  <c r="B22" i="12"/>
  <c r="E22" i="12"/>
  <c r="G19" i="12"/>
  <c r="E19" i="12"/>
  <c r="B19" i="12"/>
  <c r="H19" i="12"/>
  <c r="F19" i="12"/>
  <c r="E42" i="12"/>
  <c r="B42" i="12"/>
  <c r="H42" i="12"/>
  <c r="G42" i="12"/>
  <c r="F42" i="12"/>
  <c r="E46" i="12"/>
  <c r="H46" i="12"/>
  <c r="G46" i="12"/>
  <c r="F46" i="12"/>
  <c r="B46" i="12"/>
  <c r="G40" i="12"/>
  <c r="E40" i="12"/>
  <c r="B40" i="12"/>
  <c r="H40" i="12"/>
  <c r="F40" i="12"/>
  <c r="G56" i="12"/>
  <c r="E56" i="12"/>
  <c r="B56" i="12"/>
  <c r="H56" i="12"/>
  <c r="F56" i="12"/>
</calcChain>
</file>

<file path=xl/sharedStrings.xml><?xml version="1.0" encoding="utf-8"?>
<sst xmlns="http://schemas.openxmlformats.org/spreadsheetml/2006/main" count="806" uniqueCount="343">
  <si>
    <t>تعليمات استخدام ملف حصر كميات التشطيبات (Quantity Takeoff &amp; BOQ)</t>
  </si>
  <si>
    <t>دلالة الألوان</t>
  </si>
  <si>
    <t>خلايا صفراء فاتحة = خلايا إدخال (اكتب أو اختر من القائمة المنسدلة).</t>
  </si>
  <si>
    <t>خلايا زرقاء فاتحة = معادلات تلقائية (مقفلة — لا تكتب فيها).</t>
  </si>
  <si>
    <t>الصف الثاني في كل ورقة حصر = إجمالي الصفوف الظاهرة بعد الفلتر، لوحدة واحدة فقط (لا تُجمع وحدات مختلفة).</t>
  </si>
  <si>
    <t>ترتيب العمل</t>
  </si>
  <si>
    <t>1</t>
  </si>
  <si>
    <t>املأ ورقة «بيانات المشروع».</t>
  </si>
  <si>
    <t>2</t>
  </si>
  <si>
    <t>سجّل كل غرفة/فراغ في «سجل الفراغات» بكود فريد (مثال: G-01 للدور الأرضي). الكود هو مفتاح الربط بين كل الأوراق.</t>
  </si>
  <si>
    <t>3</t>
  </si>
  <si>
    <t>راجع ورقة «القوائم»: أضف أي خامة أو بند جديد في الخانات الصفراء الفارغة مع وحدته، فيظهر تلقائيًا في القوائم المنسدلة والملخصات. تجنب الرمزين * و ? في أسماء الخامات (استخدم × بدلًا من *).</t>
  </si>
  <si>
    <t>4</t>
  </si>
  <si>
    <t>الأرضيات والأسقف: صف لكل جزء. أدخل الطول × العرض × التكرار، أو أدخل «المساحة المباشرة» المقاسة على الطبيعة (تُقدَّم على الأبعاد وتُضرب في التكرار؛ التكرار الفارغ = 1). الغرفة غير المنتظمة تُقسَّم إلى عدة صفوف بنفس كود الفراغ والخامة، وعمود «إجمالي الفراغ لنفس الخامة» يجمعها.</t>
  </si>
  <si>
    <t>5</t>
  </si>
  <si>
    <t>الحوائط: صف مستقل لكل حائط أو قطاع حائط بكود حائط (W1, W2 ...). المساحة تُحسب تلقائيًا = الطول × الارتفاع × التكرار. لإدخال مساحة مقاسة مباشرة اختر «يدوي» في عمود «طريقة الحساب» ثم اكتبها في «المساحة المباشرة» (لا تُستخدم مع «تلقائي»). إذا كان على الحائط أكثر من خامة (سيراميك سفلي + دهان علوي) فسجّل كل خامة في صف مستقل بنفس كود الحائط وبأبعادها الفعلية. عمود «خصم الفتحات من هذا السجل؟» = «لا» يوقف خصم الفتحات عن هذا السجل حسب طريقة الحصر المعتمدة.</t>
  </si>
  <si>
    <t>6</t>
  </si>
  <si>
    <t>الفتحات: صف لكل فتحة بكود فريد، مع كود الفراغ وكود الحائط الواقعة عليه. حدّد بوضوح (نعم/لا) هل تُخصم من: تشطيب الحوائط / اللياسة / الوزرات. الخانة الفارغة = لا تُخصم.</t>
  </si>
  <si>
    <t>7</t>
  </si>
  <si>
    <t>الوزرات والبنود الطولية: أدخل الطول المقاس مباشرة (أو محيط الفراغ)، أو أدخل طول وعرض الفراغ ليُحسب المحيط = 2×(الطول+العرض). اختر «نعم» في عمود الخصم التلقائي ليُخصم عرض الفتحات المحدد لها «خصم من الوزرات = نعم» في نفس الفراغ.</t>
  </si>
  <si>
    <t>8</t>
  </si>
  <si>
    <t>اللياسة والمحارة: صف لكل حائط مع عدد الأوجه (فارغ = 1). خصم الفتحة = مساحتها × عدد الأوجه.</t>
  </si>
  <si>
    <t>9</t>
  </si>
  <si>
    <t>راجع عمود «الحالة» في كل ورقة ثم الملخصين. استخدم الفلاتر في صف العناوين للبحث والتصفية.</t>
  </si>
  <si>
    <t>قواعد الخصم (لمنع تكرار الخصم)</t>
  </si>
  <si>
    <t>•</t>
  </si>
  <si>
    <t>الفتحة تُخصم من الحائط المطابق لها في كود الفراغ وكود الحائط معًا فقط، ولا تؤثر على الأرضيات أو الأسقف أو أي حائط آخر.</t>
  </si>
  <si>
    <t>إذا كان للحائط سجل تشطيب واحد تُخصم منه الفتحة مباشرة. إذا كان له أكثر من خامة فيجب اختيار «الخامة المخصوم منها» في سجل الفتحة، وإلا لا تُخصم ويظهر تنبيه. الفتحة الممتدة على خامتين تُسجَّل كجزأين بكودين (مثال: D1-a و D1-b) بارتفاع كل جزء.</t>
  </si>
  <si>
    <t>النوافذ لا تُخصم من الوزرات إلا إذا اخترت «نعم» صراحةً في عمود «خصم من الوزرات». الخصم التلقائي للوزرات يُطبَّق على أول سجل فقط في كل فراغ؛ وأي سجل آخر يُستخدم له «خصومات أخرى (يدوي)».</t>
  </si>
  <si>
    <t>أعمدة «مخصوم فعليًا» في ورقة الفتحات تبيّن أين طُبِّق الخصم. وفحوص التطابق في ورقة ملخص البند والخامة تتأكد أن مجموع الخصومات = مجموع المخصوم فعليًا.</t>
  </si>
  <si>
    <t>منع التكرار</t>
  </si>
  <si>
    <t>الصف المكرر (نفس الفراغ والخامة والوصف والأبعاد في الأرضيات/الأسقف/البنود الطولية، أو نفس الفراغ وكود الحائط والخامة في الحوائط/اللياسة، أو نفس كود الفتحة) لا يُحتسب وتظهر حالته «تكرار — غير محتسب». للأجزاء المتماثلة استخدم «عدد التكرارات» أو وصفًا مختلفًا.</t>
  </si>
  <si>
    <t>للأجزاء المتداخلة: اختر «لا» في عمود «يُحتسب؟» لاستبعاد الجزء دون حذفه، واكتب السبب في الملاحظات، أو اختر «نعم» في «يحتاج مراجعة؟».</t>
  </si>
  <si>
    <t>حالات السجل</t>
  </si>
  <si>
    <t>مكتمل / ناقص قياس / ناقص بيانات / يحتاج مراجعة / تكرار — غير محتسب / تنبيه خصم / خطأ خصم / مستبعد من الحصر. عدد السجلات غير المكتملة يظهر أعلى كل ورقة وفي الملخصات.</t>
  </si>
  <si>
    <t>الأسعار (اختياري)</t>
  </si>
  <si>
    <t>في ورقة «ملخص الكميات حسب البند والخامة» أدخل سعر الوحدة لأي خامة ليُحسب إجمالي التكلفة. ترك السعر فارغًا لا يؤثر على الحصر الكمي.</t>
  </si>
  <si>
    <t>ملاحظات عامة</t>
  </si>
  <si>
    <t>أوراق الحصر محمية بدون كلمة مرور لحماية المعادلات فقط. لإلغاء الحماية: مراجعة ← إلغاء حماية الورقة.</t>
  </si>
  <si>
    <t>ورقة «مثال توضيحي» منفصلة تمامًا ولا تدخل في أي إجمالي. أوراق الحصر فارغة ولا تحتوي أي كميات افتراضية.</t>
  </si>
  <si>
    <t>كل الأبعاد بالمتر. الصفوف المجهزة: 150 فراغًا، 300 صف للأرضيات/الفتحات/البنود الطولية/الأسقف، 400 صف للحوائط/اللياسة.</t>
  </si>
  <si>
    <t>بيانات المشروع</t>
  </si>
  <si>
    <t>اسم المشروع</t>
  </si>
  <si>
    <t>المالك / العميل</t>
  </si>
  <si>
    <t>الموقع</t>
  </si>
  <si>
    <t>تاريخ الحصر</t>
  </si>
  <si>
    <t>القائم بالحصر</t>
  </si>
  <si>
    <t>المراجع / المعتمد</t>
  </si>
  <si>
    <t>طريقة الحصر</t>
  </si>
  <si>
    <t>رقم الإصدار / المراجعة</t>
  </si>
  <si>
    <t>العملة (للأسعار الاختيارية)</t>
  </si>
  <si>
    <t>سجل الفراغات — كود واسم كل غرفة أو فراغ</t>
  </si>
  <si>
    <t>م</t>
  </si>
  <si>
    <t>كود الفراغ
(فريد)</t>
  </si>
  <si>
    <t>اسم الفراغ</t>
  </si>
  <si>
    <t>الدور</t>
  </si>
  <si>
    <t>ملاحظات</t>
  </si>
  <si>
    <t>الحالة</t>
  </si>
  <si>
    <t>حصر الأرضيات — صف لكل جزء من أرضية الفراغ (الوحدة الأساسية: م²)</t>
  </si>
  <si>
    <t>إجمالي الصفوف الظاهرة بعد الفلتر (م² فقط) ←</t>
  </si>
  <si>
    <t>كود الفراغ</t>
  </si>
  <si>
    <t>نوع الخامة</t>
  </si>
  <si>
    <t>وصف الجزء</t>
  </si>
  <si>
    <t>الطول
(م)</t>
  </si>
  <si>
    <t>العرض
(م)</t>
  </si>
  <si>
    <t>عدد التكرارات
(فارغ = 1)</t>
  </si>
  <si>
    <t>المساحة المباشرة
(اختياري)</t>
  </si>
  <si>
    <t>يُحتسب؟
(فارغ = نعم)</t>
  </si>
  <si>
    <t>المساحة المحسوبة</t>
  </si>
  <si>
    <t>إجمالي الفراغ
لنفس الخامة</t>
  </si>
  <si>
    <t>الوحدة</t>
  </si>
  <si>
    <t>يحتاج مراجعة؟</t>
  </si>
  <si>
    <t>مفتاح</t>
  </si>
  <si>
    <t>تكرار</t>
  </si>
  <si>
    <t>حصر الحوائط والتشطيبات الرأسية — صف لكل حائط/قطاع ولكل خامة</t>
  </si>
  <si>
    <t>كود الحائط
أو القطاع</t>
  </si>
  <si>
    <t>نوع الخامة / التشطيب</t>
  </si>
  <si>
    <t>طول الحائط
(م)</t>
  </si>
  <si>
    <t>ارتفاع التشطيب
(م)</t>
  </si>
  <si>
    <t>طريقة الحساب
(فارغ = تلقائي)</t>
  </si>
  <si>
    <t>المساحة المباشرة
(للطريقة اليدوية)</t>
  </si>
  <si>
    <t>المساحة الإجمالية
(محسوبة)</t>
  </si>
  <si>
    <t>خصم الفتحات من هذا السجل؟
(فارغ = نعم)</t>
  </si>
  <si>
    <t>خصم فتحات هذا الحائط
(تلقائي)</t>
  </si>
  <si>
    <t>خصومات أخرى
(يدوي)</t>
  </si>
  <si>
    <t>إجمالي الخصومات</t>
  </si>
  <si>
    <t>المساحة الصافية</t>
  </si>
  <si>
    <t>عدد سجلات الحائط</t>
  </si>
  <si>
    <t>الخصم مفعل</t>
  </si>
  <si>
    <t>حصر الفتحات والخصومات — صف لكل فتحة، وتُخصم من الحائط المحدد لها فقط</t>
  </si>
  <si>
    <t>إجمالي الصفوف الظاهرة بعد الفلتر ←</t>
  </si>
  <si>
    <t>كود الفتحة
(فريد)</t>
  </si>
  <si>
    <t>كود الحائط
الواقعة عليه</t>
  </si>
  <si>
    <t>نوع الفتحة</t>
  </si>
  <si>
    <t>الارتفاع
(م)</t>
  </si>
  <si>
    <t>العدد
(فارغ = 1)</t>
  </si>
  <si>
    <t>مساحة الفتحة
(م²)</t>
  </si>
  <si>
    <t>خصم من تشطيب الحوائط؟</t>
  </si>
  <si>
    <t>الخامة المخصوم منها
(عند تعدد خامات الحائط)</t>
  </si>
  <si>
    <t>خصم من اللياسة؟</t>
  </si>
  <si>
    <t>خصم من الوزرات؟</t>
  </si>
  <si>
    <t>مخصوم فعليًا من التشطيب (م²)</t>
  </si>
  <si>
    <t>مخصوم فعليًا من اللياسة (م²)</t>
  </si>
  <si>
    <t>مخصوم فعليًا من الوزرات (م.ط)</t>
  </si>
  <si>
    <t>عرض إجمالي</t>
  </si>
  <si>
    <t>بدأ</t>
  </si>
  <si>
    <t>حصر الوزرات والنعلات والبنود الطولية (الوحدة الأساسية: م.ط)</t>
  </si>
  <si>
    <t>إجمالي الصفوف الظاهرة بعد الفلتر (م.ط فقط) ←</t>
  </si>
  <si>
    <t>نوع البند / الخامة</t>
  </si>
  <si>
    <t>الوصف / الموضع</t>
  </si>
  <si>
    <t>طول الفراغ (م)
لحساب المحيط</t>
  </si>
  <si>
    <t>عرض الفراغ (م)
لحساب المحيط</t>
  </si>
  <si>
    <t>الطول المقاس مباشرة
أو المحيط (م)</t>
  </si>
  <si>
    <t>الطول الإجمالي</t>
  </si>
  <si>
    <t>خصم فتحات الفراغ تلقائيًا؟</t>
  </si>
  <si>
    <t>خصم الفتحات
(تلقائي)</t>
  </si>
  <si>
    <t>الطول الصافي</t>
  </si>
  <si>
    <t>ملاحظات الموقع</t>
  </si>
  <si>
    <t>خصم فعال</t>
  </si>
  <si>
    <t>حصر الأسقف — صف لكل جزء من سقف الفراغ (الوحدة الأساسية: م²)</t>
  </si>
  <si>
    <t>نوع السقف</t>
  </si>
  <si>
    <t>الخامة / المواصفة</t>
  </si>
  <si>
    <t>حالة السقف</t>
  </si>
  <si>
    <t>حصر اللياسة والمحارة — صف لكل حائط (الخصم = مساحة الفتحة × عدد الأوجه)</t>
  </si>
  <si>
    <t>كود الحائط</t>
  </si>
  <si>
    <t>نوع البند</t>
  </si>
  <si>
    <t>ارتفاع اللياسة
(م)</t>
  </si>
  <si>
    <t>عدد الأوجه
(فارغ = 1)</t>
  </si>
  <si>
    <t>المساحة الإجمالية</t>
  </si>
  <si>
    <t>أوجه فعالة</t>
  </si>
  <si>
    <t>ملخص الكميات حسب الفراغ — كل عمود بوحدة واحدة ولا تُجمع الوحدات المختلفة</t>
  </si>
  <si>
    <t>إجمالي الصفوف الظاهرة ←</t>
  </si>
  <si>
    <t>الأرضيات
(م²)</t>
  </si>
  <si>
    <t>الحوائط — إجمالي
(م²)</t>
  </si>
  <si>
    <t>الحوائط — خصومات
(م²)</t>
  </si>
  <si>
    <t>الحوائط — صافي
(م²)</t>
  </si>
  <si>
    <t>الأسقف
(م²)</t>
  </si>
  <si>
    <t>اللياسة — إجمالي
(م²)</t>
  </si>
  <si>
    <t>اللياسة — خصومات
(م²)</t>
  </si>
  <si>
    <t>اللياسة — صافي
(م²)</t>
  </si>
  <si>
    <t>بنود طولية — إجمالي
(م.ط)</t>
  </si>
  <si>
    <t>بنود طولية — خصومات
(م.ط)</t>
  </si>
  <si>
    <t>بنود طولية — صافي
(م.ط)</t>
  </si>
  <si>
    <t>بنود بالعدد
(عدد)</t>
  </si>
  <si>
    <t>عدد سجلات
الفتحات</t>
  </si>
  <si>
    <t>سجلات ناقصة أو
تحتاج مراجعة</t>
  </si>
  <si>
    <t>ملخص الكميات حسب البند والخامة (BOQ)</t>
  </si>
  <si>
    <t>أولًا: إجماليات المشروع حسب البند — كل وحدة في أعمدة مستقلة</t>
  </si>
  <si>
    <t>البند</t>
  </si>
  <si>
    <t>إجمالي
(م²)</t>
  </si>
  <si>
    <t>خصومات
(م²)</t>
  </si>
  <si>
    <t>صافي
(م²)</t>
  </si>
  <si>
    <t>إجمالي
(م.ط)</t>
  </si>
  <si>
    <t>خصومات
(م.ط)</t>
  </si>
  <si>
    <t>صافي
(م.ط)</t>
  </si>
  <si>
    <t>صافي
(عدد)</t>
  </si>
  <si>
    <t>عدد السجلات</t>
  </si>
  <si>
    <t>ناقص قياس
أو بيانات</t>
  </si>
  <si>
    <t>تحتاج مراجعة
أو تنبيه</t>
  </si>
  <si>
    <t>مكتمل</t>
  </si>
  <si>
    <t>الأرضيات</t>
  </si>
  <si>
    <t>تشطيبات الحوائط</t>
  </si>
  <si>
    <t>الوزرات والبنود الطولية</t>
  </si>
  <si>
    <t>الأسقف</t>
  </si>
  <si>
    <t>اللياسة والمحارة</t>
  </si>
  <si>
    <t>الفتحات (للعلم — لا تُجمع مع الكميات)</t>
  </si>
  <si>
    <t>—</t>
  </si>
  <si>
    <t>إجمالي المشروع</t>
  </si>
  <si>
    <t>ثانيًا: فحوص التطابق (للتأكد من عدم تكرار أو فقد أي خصم)</t>
  </si>
  <si>
    <t>الفحص</t>
  </si>
  <si>
    <t>القيمة الأولى</t>
  </si>
  <si>
    <t>القيمة الثانية</t>
  </si>
  <si>
    <t>النتيجة</t>
  </si>
  <si>
    <t>خصم الفتحات في الحوائط = المخصوم فعليًا بجدول الفتحات</t>
  </si>
  <si>
    <t>خصم الفتحات في اللياسة = المخصوم فعليًا بجدول الفتحات</t>
  </si>
  <si>
    <t>خصم الفتحات في الوزرات = المخصوم فعليًا بجدول الفتحات</t>
  </si>
  <si>
    <t>صافي م² في تفصيل الخامات = صافي م² في إجمالي البنود</t>
  </si>
  <si>
    <t>صافي م.ط في تفصيل الخامات = صافي م.ط في إجمالي البنود</t>
  </si>
  <si>
    <t>عدد السجلات المرتبطة بفراغ غير مسجل (المطلوب = 0)</t>
  </si>
  <si>
    <t>ثالثًا: تفصيل الكميات حسب البند والخامة على مستوى المشروع (مع كمية كل خامة في فراغ تختاره)</t>
  </si>
  <si>
    <t>اختر كود الفراغ لعرض كمياته ←</t>
  </si>
  <si>
    <t>لإخفاء صفوف الخامات غير المستخدمة: استخدم فلتر عمود «عدد السجلات» وألغِ اختيار 0 والفارغ.</t>
  </si>
  <si>
    <t>الخامة / النوع</t>
  </si>
  <si>
    <t>الإجمالي</t>
  </si>
  <si>
    <t>الخصومات</t>
  </si>
  <si>
    <t>الصافي</t>
  </si>
  <si>
    <t>صافي الفراغ المختار</t>
  </si>
  <si>
    <t>سعر الوحدة
(اختياري)</t>
  </si>
  <si>
    <t>إجمالي التكلفة</t>
  </si>
  <si>
    <t>تقرير حصر كميات التشطيبات</t>
  </si>
  <si>
    <t>اختر الدور ←</t>
  </si>
  <si>
    <t>تُختار من القائمة فيتحدّث التقرير كله تلقائيًا</t>
  </si>
  <si>
    <t>المشروع</t>
  </si>
  <si>
    <t>عدد الفراغات</t>
  </si>
  <si>
    <t>حالة التقرير</t>
  </si>
  <si>
    <t>أولًا: إجماليات الدور حسب البند</t>
  </si>
  <si>
    <t>م²</t>
  </si>
  <si>
    <t>م.ط</t>
  </si>
  <si>
    <t>ثانيًا: كميات الدور حسب البند والخامة</t>
  </si>
  <si>
    <t>ثالثًا: تفصيل فراغات الدور (الكميات الصافية)</t>
  </si>
  <si>
    <t>الحوائط
(م²)</t>
  </si>
  <si>
    <t>اللياسة
(م²)</t>
  </si>
  <si>
    <t>بنود طولية
(م.ط)</t>
  </si>
  <si>
    <t>بنود
تُراجع</t>
  </si>
  <si>
    <t>إجمالي الدور</t>
  </si>
  <si>
    <t>الكميات محسوبة تلقائيًا من أوراق الحصر. البنود المعلّمة «تُراجع» تُؤكد من الموقع قبل الاعتماد النهائي.</t>
  </si>
  <si>
    <t>إعداد</t>
  </si>
  <si>
    <t>مراجعة</t>
  </si>
  <si>
    <t>اعتماد</t>
  </si>
  <si>
    <t>قوائم الخامات والبنود ووحدات القياس — أضف الجديد في الخانات الصفراء الفارغة</t>
  </si>
  <si>
    <t>كل خامة لها وحدة واحدة (الخانة الفارغة = الوحدة الأساسية للورقة). الوحدات الثلاث الأولى (م² / م.ط / عدد) ثابتة لأن الملخصات تعتمد عليها. لا تستخدم * أو ? في الأسماء، ولا تغيّر اسم خامة بعد استخدامها في الحصر.</t>
  </si>
  <si>
    <t>خامات الأرضيات</t>
  </si>
  <si>
    <t>خامات تشطيب الحوائط</t>
  </si>
  <si>
    <t>أنواع الأسقف</t>
  </si>
  <si>
    <t>بنود اللياسة والمحارة</t>
  </si>
  <si>
    <t>أنواع الفتحات</t>
  </si>
  <si>
    <t>وحدات القياس</t>
  </si>
  <si>
    <t>نعم / لا</t>
  </si>
  <si>
    <t>الأدوار</t>
  </si>
  <si>
    <t>أسماء فراغات شائعة</t>
  </si>
  <si>
    <t>سيراميك أرضيات</t>
  </si>
  <si>
    <t>سيراميك حوائط الحمامات</t>
  </si>
  <si>
    <t>وزرات سيراميك</t>
  </si>
  <si>
    <t>دهانات أسقف</t>
  </si>
  <si>
    <t>لياسة أسمنتية — حوائط داخلية</t>
  </si>
  <si>
    <t>باب</t>
  </si>
  <si>
    <t>نعم</t>
  </si>
  <si>
    <t>بدروم</t>
  </si>
  <si>
    <t>جيدة</t>
  </si>
  <si>
    <t>صالة</t>
  </si>
  <si>
    <t>رفع من الطبيعة</t>
  </si>
  <si>
    <t>بورسلين</t>
  </si>
  <si>
    <t>سيراميك حوائط المطابخ</t>
  </si>
  <si>
    <t>وزرات بورسلين</t>
  </si>
  <si>
    <t>سقف جبس بورد</t>
  </si>
  <si>
    <t>لياسة أسمنتية — حوائط خارجية</t>
  </si>
  <si>
    <t>نافذة</t>
  </si>
  <si>
    <t>لا</t>
  </si>
  <si>
    <t>أرضي</t>
  </si>
  <si>
    <t>متوسطة — تحتاج صيانة</t>
  </si>
  <si>
    <t>مجلس</t>
  </si>
  <si>
    <t>من اللوحات</t>
  </si>
  <si>
    <t>رخام</t>
  </si>
  <si>
    <t>سيراميك حوائط عادي</t>
  </si>
  <si>
    <t>وزرات رخام</t>
  </si>
  <si>
    <t>سقف جبسي</t>
  </si>
  <si>
    <t>محارة جبسية — حوائط</t>
  </si>
  <si>
    <t>باب شرفة</t>
  </si>
  <si>
    <t>عدد</t>
  </si>
  <si>
    <t>أول</t>
  </si>
  <si>
    <t>سيئة — تحتاج استبدال</t>
  </si>
  <si>
    <t>غرفة طعام</t>
  </si>
  <si>
    <t>مختلط</t>
  </si>
  <si>
    <t>جرانيت</t>
  </si>
  <si>
    <t>سيراميك حوائط ديكوري</t>
  </si>
  <si>
    <t>وزرات جرانيت</t>
  </si>
  <si>
    <t>بلاطات معلقة</t>
  </si>
  <si>
    <t>فتحة معمارية بدون حلق</t>
  </si>
  <si>
    <t>ثاني</t>
  </si>
  <si>
    <t>غير موجود — مطلوب تنفيذه</t>
  </si>
  <si>
    <t>غرفة نوم رئيسية</t>
  </si>
  <si>
    <t>موزايكو</t>
  </si>
  <si>
    <t>موزايكو حوائط</t>
  </si>
  <si>
    <t>وزرات خشبية</t>
  </si>
  <si>
    <t>سقف معدني</t>
  </si>
  <si>
    <t>فتحة تكييف</t>
  </si>
  <si>
    <t>ملحق علوي</t>
  </si>
  <si>
    <t>غرفة نوم</t>
  </si>
  <si>
    <t>تيرازو</t>
  </si>
  <si>
    <t>رخام حوائط</t>
  </si>
  <si>
    <t>نعلات رخام</t>
  </si>
  <si>
    <t>كسوات سقفية أخرى</t>
  </si>
  <si>
    <t>فتحة أخرى</t>
  </si>
  <si>
    <t>سطح</t>
  </si>
  <si>
    <t>مطبخ</t>
  </si>
  <si>
    <t>باركيه</t>
  </si>
  <si>
    <t>جرانيت حوائط</t>
  </si>
  <si>
    <t>نعلات جرانيت</t>
  </si>
  <si>
    <t>خارجي</t>
  </si>
  <si>
    <t>حمام</t>
  </si>
  <si>
    <t>فينيل</t>
  </si>
  <si>
    <t>دهانات</t>
  </si>
  <si>
    <t>نعلات أخرى</t>
  </si>
  <si>
    <t>دورة مياه</t>
  </si>
  <si>
    <t>موكيت</t>
  </si>
  <si>
    <t>ورق حائط</t>
  </si>
  <si>
    <t>رخام كعنصر طولي</t>
  </si>
  <si>
    <t>ممر</t>
  </si>
  <si>
    <t>أرضيات إيبوكسي</t>
  </si>
  <si>
    <t>كسوات خشبية</t>
  </si>
  <si>
    <t>فواصل انتقال بين الأرضيات</t>
  </si>
  <si>
    <t>مدخل</t>
  </si>
  <si>
    <t>كسوات حجرية</t>
  </si>
  <si>
    <t>شرائح ستانلس ستيل</t>
  </si>
  <si>
    <t>درج</t>
  </si>
  <si>
    <t>ألواح وكسوات أخرى</t>
  </si>
  <si>
    <t>نائمة درج</t>
  </si>
  <si>
    <t>مخزن</t>
  </si>
  <si>
    <t>قائمة درج</t>
  </si>
  <si>
    <t>غرفة غسيل</t>
  </si>
  <si>
    <t>وزرة درج</t>
  </si>
  <si>
    <t>شرفة</t>
  </si>
  <si>
    <t>زوايا ستانلس للحوائط</t>
  </si>
  <si>
    <t>غرفة سائق</t>
  </si>
  <si>
    <t>غرفة خادمة</t>
  </si>
  <si>
    <t>مثال توضيحي فقط — بيانات غير حقيقية ولا تدخل في أي إجمالي أو ملخص</t>
  </si>
  <si>
    <t>هذه الورقة مستقلة تمامًا عن أوراق الحصر، وتستخدم نفس منطق المعادلات لتوضيح طريقة الحساب والتحقق من النتائج المتوقعة.</t>
  </si>
  <si>
    <t>1) أرضية مكونة من جزأين غير متداخلين</t>
  </si>
  <si>
    <t>الخامة</t>
  </si>
  <si>
    <t>الطول (م)</t>
  </si>
  <si>
    <t>العرض (م)</t>
  </si>
  <si>
    <t>التكرار</t>
  </si>
  <si>
    <t>مساحة مباشرة</t>
  </si>
  <si>
    <t>EX-R1</t>
  </si>
  <si>
    <t>الجزء الرئيسي</t>
  </si>
  <si>
    <t>جزء المدخل</t>
  </si>
  <si>
    <t>إجمالي أرضية الفراغ</t>
  </si>
  <si>
    <t>2) الفتحات — المساحة = العرض × الارتفاع × العدد</t>
  </si>
  <si>
    <t>كود الفتحة</t>
  </si>
  <si>
    <t>النوع</t>
  </si>
  <si>
    <t>الارتفاع (م)</t>
  </si>
  <si>
    <t>العدد</t>
  </si>
  <si>
    <t>مساحة الفتحة (م²)</t>
  </si>
  <si>
    <t>خصم من التشطيب؟</t>
  </si>
  <si>
    <t>D1</t>
  </si>
  <si>
    <t>W1</t>
  </si>
  <si>
    <t>N1</t>
  </si>
  <si>
    <t>3) الحائط — تُخصم فقط الفتحات المرتبطة بنفس كود الفراغ وكود الحائط والمحدد لها «نعم»</t>
  </si>
  <si>
    <t>خصم الفتحات</t>
  </si>
  <si>
    <t>4) الوزرة من محيط الفراغ مع خصم عروض الفتحات التي لا توجد أسفلها وزرة</t>
  </si>
  <si>
    <t>المحيط (م)</t>
  </si>
  <si>
    <t>الطول الصافي (م.ط)</t>
  </si>
  <si>
    <t>5) جدول التحقق من النتائج</t>
  </si>
  <si>
    <t>الاختبار</t>
  </si>
  <si>
    <t>المتوقع</t>
  </si>
  <si>
    <t>المحسوب</t>
  </si>
  <si>
    <t>غرفة 5 × 4 م: مساحة الأرضية</t>
  </si>
  <si>
    <t>أرضية من جزأين 20 + 1.90</t>
  </si>
  <si>
    <t>حائط 17.60 × 2.80 م: المساحة الإجمالية</t>
  </si>
  <si>
    <t>باب 0.80 × 2.35 م</t>
  </si>
  <si>
    <t>نافذتان 0.70 × 2.55 م</t>
  </si>
  <si>
    <t>صافي الحائط بعد خصم الباب والنافذتين</t>
  </si>
  <si>
    <t>وزرة: محيط 17.60 − (0.80 + 2 × 0.70)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</si>
</sst>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yyyy\-mm\-dd"/>
    <numFmt numFmtId="165" formatCode="#,##0.00;\-#,##0.00;&quot;-&quot;"/>
    <numFmt numFmtId="166" formatCode="0;\-0;&quot;-&quot;"/>
  </numFmts>
  <fonts count="17" x14ac:knownFonts="1">
    <font>
      <sz val="11"/>
      <color theme="1"/>
      <name val="Calibri"/>
      <family val="2"/>
      <scheme val="minor"/>
    </font>
    <font>
      <b/>
      <sz val="14"/>
      <color rgb="FFFFFFFF"/>
      <name val="Arial"/>
    </font>
    <font>
      <b/>
      <sz val="11"/>
      <color rgb="FFFFFFFF"/>
      <name val="Arial"/>
    </font>
    <font>
      <sz val="11"/>
      <name val="Arial"/>
    </font>
    <font>
      <b/>
      <sz val="11"/>
      <name val="Arial"/>
    </font>
    <font>
      <i/>
      <sz val="10"/>
      <color rgb="FF595959"/>
      <name val="Arial"/>
    </font>
    <font>
      <b/>
      <sz val="14"/>
      <color rgb="FFFFFFFF"/>
      <name val="Arial"/>
    </font>
    <font>
      <b/>
      <sz val="11"/>
      <color rgb="FFFFFFFF"/>
      <name val="Arial"/>
    </font>
    <font>
      <b/>
      <sz val="18"/>
      <color rgb="FFFFFFFF"/>
      <name val="Arial"/>
    </font>
    <font>
      <b/>
      <sz val="13"/>
      <color rgb="FF16365C"/>
      <name val="Arial"/>
    </font>
    <font>
      <sz val="10"/>
      <color rgb="FF595959"/>
      <name val="Arial"/>
    </font>
    <font>
      <b/>
      <sz val="12"/>
      <name val="Arial"/>
    </font>
    <font>
      <b/>
      <sz val="11"/>
      <color rgb="FF1B2430"/>
      <name val="Arial"/>
    </font>
    <font>
      <b/>
      <sz val="12"/>
      <color rgb="FF16365C"/>
      <name val="Arial"/>
    </font>
    <font>
      <b/>
      <sz val="10"/>
      <color rgb="FFFFFFFF"/>
      <name val="Arial"/>
    </font>
    <font>
      <b/>
      <sz val="10"/>
      <name val="Arial"/>
    </font>
    <font>
      <sz val="10"/>
      <name val="Arial"/>
    </font>
  </fonts>
  <fills count="20">
    <fill>
      <patternFill patternType="none"/>
    </fill>
    <fill>
      <patternFill patternType="gray125"/>
    </fill>
    <fill>
      <patternFill patternType="solid">
        <fgColor rgb="FF16365C"/>
      </patternFill>
    </fill>
    <fill>
      <patternFill patternType="solid">
        <fgColor rgb="FF2E75B6"/>
      </patternFill>
    </fill>
    <fill>
      <patternFill patternType="solid">
        <fgColor rgb="FFFFF8DC"/>
      </patternFill>
    </fill>
    <fill>
      <patternFill patternType="solid">
        <fgColor rgb="FFE9EFF7"/>
      </patternFill>
    </fill>
    <fill>
      <patternFill patternType="solid">
        <fgColor rgb="FFD9E1F2"/>
      </patternFill>
    </fill>
    <fill>
      <patternFill patternType="solid">
        <fgColor rgb="FF1F4E78"/>
      </patternFill>
    </fill>
    <fill>
      <patternFill patternType="solid">
        <fgColor rgb="FFC55A11"/>
      </patternFill>
    </fill>
    <fill>
      <patternFill patternType="solid">
        <fgColor rgb="FFFCE4D6"/>
      </patternFill>
    </fill>
    <fill>
      <patternFill patternType="solid">
        <fgColor rgb="FF16365C"/>
      </patternFill>
    </fill>
    <fill>
      <patternFill patternType="solid">
        <fgColor rgb="FFD9E1F2"/>
      </patternFill>
    </fill>
    <fill>
      <patternFill patternType="solid">
        <fgColor rgb="FF1F4E78"/>
      </patternFill>
    </fill>
    <fill>
      <patternFill patternType="solid">
        <fgColor rgb="FFE9EFF7"/>
      </patternFill>
    </fill>
    <fill>
      <patternFill patternType="solid">
        <fgColor rgb="FFFFF8DC"/>
      </patternFill>
    </fill>
    <fill>
      <patternFill patternType="solid">
        <fgColor rgb="FF16365C"/>
      </patternFill>
    </fill>
    <fill>
      <patternFill patternType="solid">
        <fgColor rgb="FFDCE6F1"/>
      </patternFill>
    </fill>
    <fill>
      <patternFill patternType="solid">
        <fgColor rgb="FFFFF8DC"/>
      </patternFill>
    </fill>
    <fill>
      <patternFill patternType="solid">
        <fgColor rgb="FF1F4E78"/>
      </patternFill>
    </fill>
    <fill>
      <patternFill patternType="solid">
        <fgColor rgb="FFF3F6FA"/>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
      <left/>
      <right/>
      <top/>
      <bottom style="medium">
        <color rgb="FF16365C"/>
      </bottom>
      <diagonal/>
    </border>
    <border>
      <left/>
      <right/>
      <top style="hair">
        <color rgb="FFA6A6A6"/>
      </top>
      <bottom style="hair">
        <color rgb="FFA6A6A6"/>
      </bottom>
      <diagonal/>
    </border>
    <border>
      <left/>
      <right/>
      <top style="medium">
        <color rgb="FF16365C"/>
      </top>
      <bottom/>
      <diagonal/>
    </border>
    <border>
      <left/>
      <right/>
      <top/>
      <bottom style="thin">
        <color rgb="FF7F7F7F"/>
      </bottom>
      <diagonal/>
    </border>
  </borders>
  <cellStyleXfs count="1">
    <xf numFmtId="0" fontId="0" fillId="0" borderId="0"/>
  </cellStyleXfs>
  <cellXfs count="90">
    <xf numFmtId="0" fontId="0" fillId="0" borderId="0" xfId="0"/>
    <xf numFmtId="0" fontId="4" fillId="4" borderId="1" xfId="0" applyFont="1" applyFill="1" applyBorder="1" applyAlignment="1">
      <alignment horizontal="center" vertical="center" wrapText="1" readingOrder="2"/>
    </xf>
    <xf numFmtId="0" fontId="3" fillId="0" borderId="0" xfId="0" applyFont="1" applyAlignment="1">
      <alignment horizontal="right" vertical="center" wrapText="1" readingOrder="2"/>
    </xf>
    <xf numFmtId="0" fontId="4" fillId="5" borderId="1" xfId="0" applyFont="1" applyFill="1" applyBorder="1" applyAlignment="1">
      <alignment horizontal="center" vertical="center" wrapText="1" readingOrder="2"/>
    </xf>
    <xf numFmtId="0" fontId="4" fillId="0" borderId="1" xfId="0" applyFont="1" applyBorder="1" applyAlignment="1">
      <alignment horizontal="center" vertical="center" wrapText="1" readingOrder="2"/>
    </xf>
    <xf numFmtId="0" fontId="2" fillId="7" borderId="1" xfId="0" applyFont="1" applyFill="1" applyBorder="1" applyAlignment="1">
      <alignment horizontal="right" vertical="center" wrapText="1" readingOrder="2"/>
    </xf>
    <xf numFmtId="164" fontId="3" fillId="4" borderId="1" xfId="0" applyNumberFormat="1" applyFont="1" applyFill="1" applyBorder="1" applyAlignment="1" applyProtection="1">
      <alignment horizontal="right" vertical="center" wrapText="1" readingOrder="2"/>
      <protection locked="0"/>
    </xf>
    <xf numFmtId="0" fontId="3" fillId="4" borderId="1" xfId="0" applyFont="1" applyFill="1" applyBorder="1" applyAlignment="1" applyProtection="1">
      <alignment horizontal="right" vertical="top" wrapText="1" readingOrder="2"/>
      <protection locked="0"/>
    </xf>
    <xf numFmtId="0" fontId="3" fillId="5" borderId="1" xfId="0" applyFont="1" applyFill="1" applyBorder="1" applyAlignment="1">
      <alignment horizontal="center" vertical="center" wrapText="1" readingOrder="2"/>
    </xf>
    <xf numFmtId="0" fontId="3" fillId="4" borderId="1" xfId="0" applyFont="1" applyFill="1" applyBorder="1" applyAlignment="1" applyProtection="1">
      <alignment horizontal="center" vertical="center" wrapText="1" readingOrder="2"/>
      <protection locked="0"/>
    </xf>
    <xf numFmtId="4" fontId="4" fillId="6" borderId="1" xfId="0" applyNumberFormat="1" applyFont="1" applyFill="1" applyBorder="1" applyAlignment="1">
      <alignment horizontal="center" vertical="center" wrapText="1" readingOrder="2"/>
    </xf>
    <xf numFmtId="4" fontId="3" fillId="4" borderId="1" xfId="0" applyNumberFormat="1" applyFont="1" applyFill="1" applyBorder="1" applyAlignment="1" applyProtection="1">
      <alignment horizontal="center" vertical="center" wrapText="1" readingOrder="2"/>
      <protection locked="0"/>
    </xf>
    <xf numFmtId="4" fontId="3" fillId="5" borderId="1" xfId="0" applyNumberFormat="1" applyFont="1" applyFill="1" applyBorder="1" applyAlignment="1">
      <alignment horizontal="center" vertical="center" wrapText="1" readingOrder="2"/>
    </xf>
    <xf numFmtId="1" fontId="4" fillId="6" borderId="1" xfId="0" applyNumberFormat="1" applyFont="1" applyFill="1" applyBorder="1" applyAlignment="1">
      <alignment horizontal="center" vertical="center" wrapText="1" readingOrder="2"/>
    </xf>
    <xf numFmtId="165" fontId="3" fillId="5" borderId="1" xfId="0" applyNumberFormat="1" applyFont="1" applyFill="1" applyBorder="1" applyAlignment="1">
      <alignment horizontal="center" vertical="center" wrapText="1" readingOrder="2"/>
    </xf>
    <xf numFmtId="166" fontId="3" fillId="5" borderId="1" xfId="0" applyNumberFormat="1" applyFont="1" applyFill="1" applyBorder="1" applyAlignment="1">
      <alignment horizontal="center" vertical="center" wrapText="1" readingOrder="2"/>
    </xf>
    <xf numFmtId="166" fontId="4" fillId="5" borderId="1" xfId="0" applyNumberFormat="1" applyFont="1" applyFill="1" applyBorder="1" applyAlignment="1">
      <alignment horizontal="right" vertical="center" wrapText="1" readingOrder="2"/>
    </xf>
    <xf numFmtId="166" fontId="3" fillId="5" borderId="1" xfId="0" applyNumberFormat="1" applyFont="1" applyFill="1" applyBorder="1" applyAlignment="1">
      <alignment horizontal="right" vertical="center" wrapText="1" readingOrder="2"/>
    </xf>
    <xf numFmtId="166" fontId="4" fillId="6" borderId="1" xfId="0" applyNumberFormat="1" applyFont="1" applyFill="1" applyBorder="1" applyAlignment="1">
      <alignment horizontal="right" vertical="center" wrapText="1" readingOrder="2"/>
    </xf>
    <xf numFmtId="165" fontId="4" fillId="6" borderId="1" xfId="0" applyNumberFormat="1" applyFont="1" applyFill="1" applyBorder="1" applyAlignment="1">
      <alignment horizontal="center" vertical="center" wrapText="1" readingOrder="2"/>
    </xf>
    <xf numFmtId="166" fontId="4" fillId="6" borderId="1" xfId="0" applyNumberFormat="1" applyFont="1" applyFill="1" applyBorder="1" applyAlignment="1">
      <alignment horizontal="center" vertical="center" wrapText="1" readingOrder="2"/>
    </xf>
    <xf numFmtId="0" fontId="4" fillId="9" borderId="1" xfId="0" applyFont="1" applyFill="1" applyBorder="1" applyAlignment="1">
      <alignment horizontal="center" vertical="center" wrapText="1" readingOrder="2"/>
    </xf>
    <xf numFmtId="4" fontId="4" fillId="11" borderId="2" xfId="0" applyNumberFormat="1" applyFont="1" applyFill="1" applyBorder="1" applyAlignment="1">
      <alignment horizontal="center" vertical="center" wrapText="1" readingOrder="2"/>
    </xf>
    <xf numFmtId="0" fontId="7" fillId="12" borderId="2" xfId="0" applyFont="1" applyFill="1" applyBorder="1" applyAlignment="1">
      <alignment horizontal="center" vertical="center" wrapText="1" readingOrder="2"/>
    </xf>
    <xf numFmtId="0" fontId="3" fillId="13" borderId="2" xfId="0" applyFont="1" applyFill="1" applyBorder="1" applyAlignment="1">
      <alignment horizontal="center" vertical="center" wrapText="1" readingOrder="2"/>
    </xf>
    <xf numFmtId="0" fontId="3" fillId="14" borderId="2" xfId="0" applyFont="1" applyFill="1" applyBorder="1" applyAlignment="1" applyProtection="1">
      <alignment horizontal="center" vertical="center" wrapText="1" readingOrder="2"/>
      <protection locked="0"/>
    </xf>
    <xf numFmtId="0" fontId="3" fillId="13" borderId="2" xfId="0" applyFont="1" applyFill="1" applyBorder="1" applyAlignment="1">
      <alignment horizontal="right" vertical="center" wrapText="1" readingOrder="2"/>
    </xf>
    <xf numFmtId="0" fontId="3" fillId="14" borderId="2" xfId="0" applyFont="1" applyFill="1" applyBorder="1" applyAlignment="1" applyProtection="1">
      <alignment horizontal="right" vertical="center" wrapText="1" readingOrder="2"/>
      <protection locked="0"/>
    </xf>
    <xf numFmtId="4" fontId="3" fillId="14" borderId="2" xfId="0" applyNumberFormat="1" applyFont="1" applyFill="1" applyBorder="1" applyAlignment="1" applyProtection="1">
      <alignment horizontal="center" vertical="center" wrapText="1" readingOrder="2"/>
      <protection locked="0"/>
    </xf>
    <xf numFmtId="4" fontId="3" fillId="13" borderId="2" xfId="0" applyNumberFormat="1" applyFont="1" applyFill="1" applyBorder="1" applyAlignment="1">
      <alignment horizontal="center" vertical="center" wrapText="1" readingOrder="2"/>
    </xf>
    <xf numFmtId="0" fontId="4" fillId="6" borderId="1" xfId="0" applyFont="1" applyFill="1" applyBorder="1" applyAlignment="1">
      <alignment horizontal="center" vertical="center" wrapText="1" readingOrder="2"/>
    </xf>
    <xf numFmtId="0" fontId="3" fillId="4" borderId="1" xfId="0" applyFont="1" applyFill="1" applyBorder="1" applyAlignment="1" applyProtection="1">
      <alignment horizontal="right" vertical="center" wrapText="1" readingOrder="2"/>
      <protection locked="0"/>
    </xf>
    <xf numFmtId="0" fontId="2" fillId="7" borderId="1" xfId="0" applyFont="1" applyFill="1" applyBorder="1" applyAlignment="1">
      <alignment horizontal="center" vertical="center" wrapText="1" readingOrder="2"/>
    </xf>
    <xf numFmtId="0" fontId="3" fillId="5" borderId="1" xfId="0" applyFont="1" applyFill="1" applyBorder="1" applyAlignment="1">
      <alignment horizontal="right" vertical="center" wrapText="1" readingOrder="2"/>
    </xf>
    <xf numFmtId="0" fontId="0" fillId="0" borderId="0" xfId="0"/>
    <xf numFmtId="0" fontId="4" fillId="11" borderId="2" xfId="0" applyFont="1" applyFill="1" applyBorder="1" applyAlignment="1">
      <alignment horizontal="center" vertical="center" wrapText="1" readingOrder="2"/>
    </xf>
    <xf numFmtId="0" fontId="4" fillId="0" borderId="0" xfId="0" applyFont="1" applyAlignment="1">
      <alignment horizontal="right" vertical="center" wrapText="1" readingOrder="2"/>
    </xf>
    <xf numFmtId="0" fontId="10" fillId="0" borderId="0" xfId="0" applyFont="1" applyAlignment="1">
      <alignment horizontal="right" vertical="center" wrapText="1" readingOrder="2"/>
    </xf>
    <xf numFmtId="0" fontId="11" fillId="17" borderId="5" xfId="0" applyFont="1" applyFill="1" applyBorder="1" applyAlignment="1" applyProtection="1">
      <alignment horizontal="center" vertical="center" wrapText="1" readingOrder="2"/>
      <protection locked="0"/>
    </xf>
    <xf numFmtId="0" fontId="10" fillId="16" borderId="5" xfId="0" applyFont="1" applyFill="1" applyBorder="1" applyAlignment="1">
      <alignment horizontal="right" vertical="center" wrapText="1" readingOrder="2"/>
    </xf>
    <xf numFmtId="0" fontId="14" fillId="18" borderId="0" xfId="0" applyFont="1" applyFill="1" applyAlignment="1">
      <alignment horizontal="center" vertical="center" wrapText="1" readingOrder="2"/>
    </xf>
    <xf numFmtId="0" fontId="16" fillId="0" borderId="7" xfId="0" applyFont="1" applyBorder="1" applyAlignment="1">
      <alignment horizontal="center" vertical="center" wrapText="1" readingOrder="2"/>
    </xf>
    <xf numFmtId="0" fontId="16" fillId="19" borderId="7" xfId="0" applyFont="1" applyFill="1" applyBorder="1" applyAlignment="1">
      <alignment horizontal="center" vertical="center" wrapText="1" readingOrder="2"/>
    </xf>
    <xf numFmtId="0" fontId="16" fillId="0" borderId="0" xfId="0" applyFont="1" applyAlignment="1">
      <alignment horizontal="right" vertical="center" wrapText="1" readingOrder="2"/>
    </xf>
    <xf numFmtId="0" fontId="16" fillId="0" borderId="0" xfId="0" applyFont="1" applyAlignment="1">
      <alignment horizontal="center" vertical="center" wrapText="1" readingOrder="2"/>
    </xf>
    <xf numFmtId="165" fontId="16" fillId="0" borderId="0" xfId="0" applyNumberFormat="1" applyFont="1" applyAlignment="1">
      <alignment horizontal="center" vertical="center" wrapText="1" readingOrder="2"/>
    </xf>
    <xf numFmtId="0" fontId="15" fillId="0" borderId="0" xfId="0" applyFont="1" applyAlignment="1">
      <alignment horizontal="center" vertical="center" wrapText="1" readingOrder="2"/>
    </xf>
    <xf numFmtId="166" fontId="16" fillId="0" borderId="0" xfId="0" applyNumberFormat="1" applyFont="1" applyAlignment="1">
      <alignment horizontal="center" vertical="center" wrapText="1" readingOrder="2"/>
    </xf>
    <xf numFmtId="165" fontId="15" fillId="16" borderId="8" xfId="0" applyNumberFormat="1" applyFont="1" applyFill="1" applyBorder="1" applyAlignment="1">
      <alignment horizontal="center" vertical="center" wrapText="1" readingOrder="2"/>
    </xf>
    <xf numFmtId="166" fontId="15" fillId="16" borderId="8" xfId="0" applyNumberFormat="1" applyFont="1" applyFill="1" applyBorder="1" applyAlignment="1">
      <alignment horizontal="center" vertical="center" wrapText="1" readingOrder="2"/>
    </xf>
    <xf numFmtId="0" fontId="2" fillId="3" borderId="0" xfId="0" applyFont="1" applyFill="1" applyAlignment="1">
      <alignment horizontal="right" vertical="center" wrapText="1" readingOrder="2"/>
    </xf>
    <xf numFmtId="0" fontId="0" fillId="0" borderId="0" xfId="0"/>
    <xf numFmtId="0" fontId="1" fillId="2" borderId="0" xfId="0" applyFont="1" applyFill="1" applyAlignment="1">
      <alignment horizontal="center" vertical="center" wrapText="1" readingOrder="2"/>
    </xf>
    <xf numFmtId="0" fontId="4" fillId="6" borderId="2" xfId="0" applyFont="1" applyFill="1" applyBorder="1" applyAlignment="1">
      <alignment horizontal="center" vertical="center" wrapText="1" readingOrder="2"/>
    </xf>
    <xf numFmtId="0" fontId="0" fillId="0" borderId="3" xfId="0" applyBorder="1"/>
    <xf numFmtId="0" fontId="0" fillId="0" borderId="4" xfId="0" applyBorder="1"/>
    <xf numFmtId="0" fontId="6" fillId="10" borderId="0" xfId="0" applyFont="1" applyFill="1" applyAlignment="1">
      <alignment horizontal="center" vertical="center" wrapText="1" readingOrder="2"/>
    </xf>
    <xf numFmtId="0" fontId="4" fillId="11" borderId="2" xfId="0" applyFont="1" applyFill="1" applyBorder="1" applyAlignment="1">
      <alignment horizontal="center" vertical="center" wrapText="1" readingOrder="2"/>
    </xf>
    <xf numFmtId="0" fontId="3" fillId="4" borderId="2" xfId="0" applyFont="1" applyFill="1" applyBorder="1" applyAlignment="1" applyProtection="1">
      <alignment horizontal="right" vertical="center" wrapText="1" readingOrder="2"/>
      <protection locked="0"/>
    </xf>
    <xf numFmtId="0" fontId="0" fillId="0" borderId="4" xfId="0" applyBorder="1" applyProtection="1">
      <protection locked="0"/>
    </xf>
    <xf numFmtId="0" fontId="2" fillId="7" borderId="2" xfId="0" applyFont="1" applyFill="1" applyBorder="1" applyAlignment="1">
      <alignment horizontal="center" vertical="center" wrapText="1" readingOrder="2"/>
    </xf>
    <xf numFmtId="0" fontId="5" fillId="0" borderId="0" xfId="0" applyFont="1" applyAlignment="1">
      <alignment horizontal="right" vertical="center" wrapText="1" readingOrder="2"/>
    </xf>
    <xf numFmtId="0" fontId="4" fillId="6" borderId="0" xfId="0" applyFont="1" applyFill="1" applyAlignment="1">
      <alignment horizontal="center" vertical="center" wrapText="1" readingOrder="2"/>
    </xf>
    <xf numFmtId="0" fontId="16" fillId="0" borderId="0" xfId="0" applyFont="1" applyAlignment="1">
      <alignment horizontal="right" vertical="center" wrapText="1" readingOrder="2"/>
    </xf>
    <xf numFmtId="0" fontId="15" fillId="0" borderId="0" xfId="0" applyFont="1" applyAlignment="1">
      <alignment horizontal="right" vertical="center" wrapText="1" readingOrder="2"/>
    </xf>
    <xf numFmtId="165" fontId="15" fillId="0" borderId="0" xfId="0" applyNumberFormat="1" applyFont="1" applyAlignment="1">
      <alignment horizontal="center" vertical="center" wrapText="1" readingOrder="2"/>
    </xf>
    <xf numFmtId="165" fontId="15" fillId="0" borderId="7" xfId="0" applyNumberFormat="1" applyFont="1" applyBorder="1" applyAlignment="1">
      <alignment horizontal="center" vertical="center" wrapText="1" readingOrder="2"/>
    </xf>
    <xf numFmtId="0" fontId="0" fillId="0" borderId="7" xfId="0" applyBorder="1"/>
    <xf numFmtId="0" fontId="16" fillId="0" borderId="9" xfId="0" applyFont="1" applyBorder="1" applyAlignment="1">
      <alignment horizontal="center" vertical="center" wrapText="1" readingOrder="2"/>
    </xf>
    <xf numFmtId="0" fontId="0" fillId="0" borderId="9" xfId="0" applyBorder="1"/>
    <xf numFmtId="0" fontId="14" fillId="18" borderId="0" xfId="0" applyFont="1" applyFill="1" applyAlignment="1">
      <alignment horizontal="center" vertical="center" wrapText="1" readingOrder="2"/>
    </xf>
    <xf numFmtId="0" fontId="0" fillId="18" borderId="0" xfId="0" applyFill="1"/>
    <xf numFmtId="0" fontId="9" fillId="16" borderId="0" xfId="0" applyFont="1" applyFill="1" applyAlignment="1">
      <alignment horizontal="center" vertical="center" wrapText="1" readingOrder="2"/>
    </xf>
    <xf numFmtId="0" fontId="10" fillId="0" borderId="0" xfId="0" applyFont="1" applyAlignment="1">
      <alignment horizontal="center" vertical="center" wrapText="1" readingOrder="2"/>
    </xf>
    <xf numFmtId="0" fontId="10" fillId="0" borderId="0" xfId="0" applyFont="1" applyAlignment="1">
      <alignment horizontal="right" vertical="center" wrapText="1" readingOrder="2"/>
    </xf>
    <xf numFmtId="165" fontId="16" fillId="19" borderId="7" xfId="0" applyNumberFormat="1" applyFont="1" applyFill="1" applyBorder="1" applyAlignment="1">
      <alignment horizontal="center" vertical="center" wrapText="1" readingOrder="2"/>
    </xf>
    <xf numFmtId="165" fontId="15" fillId="19" borderId="7" xfId="0" applyNumberFormat="1" applyFont="1" applyFill="1" applyBorder="1" applyAlignment="1">
      <alignment horizontal="center" vertical="center" wrapText="1" readingOrder="2"/>
    </xf>
    <xf numFmtId="165" fontId="16" fillId="0" borderId="7" xfId="0" applyNumberFormat="1" applyFont="1" applyBorder="1" applyAlignment="1">
      <alignment horizontal="center" vertical="center" wrapText="1" readingOrder="2"/>
    </xf>
    <xf numFmtId="0" fontId="15" fillId="19" borderId="7" xfId="0" applyFont="1" applyFill="1" applyBorder="1" applyAlignment="1">
      <alignment horizontal="right" vertical="center" wrapText="1" readingOrder="2"/>
    </xf>
    <xf numFmtId="0" fontId="12" fillId="0" borderId="5" xfId="0" applyFont="1" applyBorder="1" applyAlignment="1">
      <alignment horizontal="center" vertical="center" wrapText="1" readingOrder="2"/>
    </xf>
    <xf numFmtId="0" fontId="0" fillId="0" borderId="5" xfId="0" applyBorder="1"/>
    <xf numFmtId="0" fontId="13" fillId="0" borderId="6" xfId="0" applyFont="1" applyBorder="1" applyAlignment="1">
      <alignment horizontal="right" vertical="center" wrapText="1" readingOrder="2"/>
    </xf>
    <xf numFmtId="0" fontId="0" fillId="0" borderId="6" xfId="0" applyBorder="1"/>
    <xf numFmtId="0" fontId="15" fillId="0" borderId="7" xfId="0" applyFont="1" applyBorder="1" applyAlignment="1">
      <alignment horizontal="right" vertical="center" wrapText="1" readingOrder="2"/>
    </xf>
    <xf numFmtId="0" fontId="8" fillId="15" borderId="0" xfId="0" applyFont="1" applyFill="1" applyAlignment="1">
      <alignment horizontal="center" vertical="center" wrapText="1" readingOrder="2"/>
    </xf>
    <xf numFmtId="0" fontId="15" fillId="16" borderId="8" xfId="0" applyFont="1" applyFill="1" applyBorder="1" applyAlignment="1">
      <alignment horizontal="right" vertical="center" wrapText="1" readingOrder="2"/>
    </xf>
    <xf numFmtId="0" fontId="0" fillId="0" borderId="8" xfId="0" applyBorder="1"/>
    <xf numFmtId="0" fontId="1" fillId="8" borderId="0" xfId="0" applyFont="1" applyFill="1" applyAlignment="1">
      <alignment horizontal="center" vertical="center" wrapText="1" readingOrder="2"/>
    </xf>
    <xf numFmtId="0" fontId="3" fillId="5" borderId="2" xfId="0" applyFont="1" applyFill="1" applyBorder="1" applyAlignment="1">
      <alignment horizontal="right" vertical="center" wrapText="1" readingOrder="2"/>
    </xf>
    <xf numFmtId="0" fontId="2" fillId="8" borderId="0" xfId="0" applyFont="1" applyFill="1" applyAlignment="1">
      <alignment horizontal="right" vertical="center" wrapText="1" readingOrder="2"/>
    </xf>
  </cellXfs>
  <cellStyles count="1">
    <cellStyle name="Normal" xfId="0" builtinId="0"/>
  </cellStyles>
  <dxfs count="36">
    <dxf>
      <fill>
        <patternFill patternType="solid">
          <bgColor rgb="FFFFC7CE"/>
        </patternFill>
      </fill>
    </dxf>
    <dxf>
      <fill>
        <patternFill patternType="solid">
          <bgColor rgb="FFC6EFCE"/>
        </patternFill>
      </fill>
    </dxf>
    <dxf>
      <font>
        <b/>
        <sz val="10"/>
        <name val="Arial"/>
      </font>
      <fill>
        <patternFill patternType="solid">
          <bgColor rgb="FFFFE699"/>
        </patternFill>
      </fill>
    </dxf>
    <dxf>
      <border>
        <top style="hair">
          <color rgb="FFA6A6A6"/>
        </top>
        <bottom style="hair">
          <color rgb="FFA6A6A6"/>
        </bottom>
      </border>
    </dxf>
    <dxf>
      <fill>
        <patternFill patternType="solid">
          <bgColor rgb="FFF3F6FA"/>
        </patternFill>
      </fill>
      <border>
        <top style="hair">
          <color rgb="FFA6A6A6"/>
        </top>
        <bottom style="hair">
          <color rgb="FFA6A6A6"/>
        </bottom>
      </border>
    </dxf>
    <dxf>
      <border>
        <top style="hair">
          <color rgb="FFA6A6A6"/>
        </top>
        <bottom style="hair">
          <color rgb="FFA6A6A6"/>
        </bottom>
      </border>
    </dxf>
    <dxf>
      <fill>
        <patternFill patternType="solid">
          <bgColor rgb="FFF3F6FA"/>
        </patternFill>
      </fill>
      <border>
        <top style="hair">
          <color rgb="FFA6A6A6"/>
        </top>
        <bottom style="hair">
          <color rgb="FFA6A6A6"/>
        </bottom>
      </border>
    </dxf>
    <dxf>
      <fill>
        <patternFill patternType="solid">
          <bgColor rgb="FFC6EFCE"/>
        </patternFill>
      </fill>
    </dxf>
    <dxf>
      <fill>
        <patternFill patternType="solid">
          <bgColor rgb="FFFFE699"/>
        </patternFill>
      </fill>
    </dxf>
    <dxf>
      <fill>
        <patternFill patternType="solid">
          <bgColor rgb="FFFFC7CE"/>
        </patternFill>
      </fill>
    </dxf>
    <dxf>
      <fill>
        <patternFill patternType="solid">
          <bgColor rgb="FFC6EFCE"/>
        </patternFill>
      </fill>
    </dxf>
    <dxf>
      <fill>
        <patternFill patternType="solid">
          <bgColor rgb="FFFFE699"/>
        </patternFill>
      </fill>
    </dxf>
    <dxf>
      <fill>
        <patternFill patternType="solid">
          <bgColor rgb="FFFFE699"/>
        </patternFill>
      </fill>
    </dxf>
    <dxf>
      <fill>
        <patternFill patternType="solid">
          <bgColor rgb="FFFFE699"/>
        </patternFill>
      </fill>
    </dxf>
    <dxf>
      <fill>
        <patternFill patternType="solid">
          <bgColor rgb="FFFFC7CE"/>
        </patternFill>
      </fill>
    </dxf>
    <dxf>
      <fill>
        <patternFill patternType="solid">
          <bgColor rgb="FFC6EFCE"/>
        </patternFill>
      </fill>
    </dxf>
    <dxf>
      <fill>
        <patternFill patternType="solid">
          <bgColor rgb="FFFFE699"/>
        </patternFill>
      </fill>
    </dxf>
    <dxf>
      <fill>
        <patternFill patternType="solid">
          <bgColor rgb="FFFFC7CE"/>
        </patternFill>
      </fill>
    </dxf>
    <dxf>
      <fill>
        <patternFill patternType="solid">
          <bgColor rgb="FFC6EFCE"/>
        </patternFill>
      </fill>
    </dxf>
    <dxf>
      <fill>
        <patternFill patternType="solid">
          <bgColor rgb="FFFFE699"/>
        </patternFill>
      </fill>
    </dxf>
    <dxf>
      <fill>
        <patternFill patternType="solid">
          <bgColor rgb="FFFFC7CE"/>
        </patternFill>
      </fill>
    </dxf>
    <dxf>
      <fill>
        <patternFill patternType="solid">
          <bgColor rgb="FFC6EFCE"/>
        </patternFill>
      </fill>
    </dxf>
    <dxf>
      <fill>
        <patternFill patternType="solid">
          <bgColor rgb="FFFFE699"/>
        </patternFill>
      </fill>
    </dxf>
    <dxf>
      <fill>
        <patternFill patternType="solid">
          <bgColor rgb="FFFFC7CE"/>
        </patternFill>
      </fill>
    </dxf>
    <dxf>
      <fill>
        <patternFill patternType="solid">
          <bgColor rgb="FFC6EFCE"/>
        </patternFill>
      </fill>
    </dxf>
    <dxf>
      <font>
        <strike/>
        <sz val="11"/>
        <color rgb="FFA6A6A6"/>
        <name val="Arial"/>
      </font>
    </dxf>
    <dxf>
      <font>
        <strike/>
        <sz val="11"/>
        <color rgb="FFA6A6A6"/>
        <name val="Arial"/>
      </font>
    </dxf>
    <dxf>
      <fill>
        <patternFill patternType="solid">
          <bgColor rgb="FFFFE699"/>
        </patternFill>
      </fill>
    </dxf>
    <dxf>
      <fill>
        <patternFill patternType="solid">
          <bgColor rgb="FFFFC7CE"/>
        </patternFill>
      </fill>
    </dxf>
    <dxf>
      <fill>
        <patternFill patternType="solid">
          <bgColor rgb="FFC6EFCE"/>
        </patternFill>
      </fill>
    </dxf>
    <dxf>
      <fill>
        <patternFill patternType="solid">
          <bgColor rgb="FFFFE699"/>
        </patternFill>
      </fill>
    </dxf>
    <dxf>
      <fill>
        <patternFill patternType="solid">
          <bgColor rgb="FFFFC7CE"/>
        </patternFill>
      </fill>
    </dxf>
    <dxf>
      <fill>
        <patternFill patternType="solid">
          <bgColor rgb="FFC6EFCE"/>
        </patternFill>
      </fill>
    </dxf>
    <dxf>
      <fill>
        <patternFill patternType="solid">
          <bgColor rgb="FFFFE699"/>
        </patternFill>
      </fill>
    </dxf>
    <dxf>
      <fill>
        <patternFill patternType="solid">
          <bgColor rgb="FFFFC7CE"/>
        </patternFill>
      </fill>
    </dxf>
    <dxf>
      <fill>
        <patternFill patternType="solid">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pageSetUpPr fitToPage="1"/>
  </sheetPr>
  <dimension ref="A1:B32"/>
  <sheetViews>
    <sheetView rightToLeft="1" tabSelected="1" workbookViewId="0">
      <selection sqref="A1:B1"/>
    </sheetView>
  </sheetViews>
  <sheetFormatPr defaultRowHeight="15" x14ac:dyDescent="0.25"/>
  <cols>
    <col min="1" max="1" width="6" style="34" customWidth="1"/>
    <col min="2" max="2" width="120" style="34" customWidth="1"/>
  </cols>
  <sheetData>
    <row r="1" spans="1:2" ht="32.1" customHeight="1" x14ac:dyDescent="0.25">
      <c r="A1" s="52" t="s">
        <v>0</v>
      </c>
      <c r="B1" s="51"/>
    </row>
    <row r="3" spans="1:2" ht="21.95" customHeight="1" x14ac:dyDescent="0.25">
      <c r="A3" s="50" t="s">
        <v>1</v>
      </c>
      <c r="B3" s="51"/>
    </row>
    <row r="4" spans="1:2" ht="18" customHeight="1" x14ac:dyDescent="0.25">
      <c r="A4" s="1"/>
      <c r="B4" s="2" t="s">
        <v>2</v>
      </c>
    </row>
    <row r="5" spans="1:2" ht="18" customHeight="1" x14ac:dyDescent="0.25">
      <c r="A5" s="3"/>
      <c r="B5" s="2" t="s">
        <v>3</v>
      </c>
    </row>
    <row r="6" spans="1:2" ht="18" customHeight="1" x14ac:dyDescent="0.25">
      <c r="A6" s="30"/>
      <c r="B6" s="2" t="s">
        <v>4</v>
      </c>
    </row>
    <row r="7" spans="1:2" ht="21.95" customHeight="1" x14ac:dyDescent="0.25">
      <c r="A7" s="50" t="s">
        <v>5</v>
      </c>
      <c r="B7" s="51"/>
    </row>
    <row r="8" spans="1:2" ht="18" customHeight="1" x14ac:dyDescent="0.25">
      <c r="A8" s="4" t="s">
        <v>6</v>
      </c>
      <c r="B8" s="2" t="s">
        <v>7</v>
      </c>
    </row>
    <row r="9" spans="1:2" ht="36" customHeight="1" x14ac:dyDescent="0.25">
      <c r="A9" s="4" t="s">
        <v>8</v>
      </c>
      <c r="B9" s="2" t="s">
        <v>9</v>
      </c>
    </row>
    <row r="10" spans="1:2" ht="36" customHeight="1" x14ac:dyDescent="0.25">
      <c r="A10" s="4" t="s">
        <v>10</v>
      </c>
      <c r="B10" s="2" t="s">
        <v>11</v>
      </c>
    </row>
    <row r="11" spans="1:2" ht="54" customHeight="1" x14ac:dyDescent="0.25">
      <c r="A11" s="4" t="s">
        <v>12</v>
      </c>
      <c r="B11" s="2" t="s">
        <v>13</v>
      </c>
    </row>
    <row r="12" spans="1:2" ht="90" customHeight="1" x14ac:dyDescent="0.25">
      <c r="A12" s="4" t="s">
        <v>14</v>
      </c>
      <c r="B12" s="2" t="s">
        <v>15</v>
      </c>
    </row>
    <row r="13" spans="1:2" ht="36" customHeight="1" x14ac:dyDescent="0.25">
      <c r="A13" s="4" t="s">
        <v>16</v>
      </c>
      <c r="B13" s="2" t="s">
        <v>17</v>
      </c>
    </row>
    <row r="14" spans="1:2" ht="54" customHeight="1" x14ac:dyDescent="0.25">
      <c r="A14" s="4" t="s">
        <v>18</v>
      </c>
      <c r="B14" s="2" t="s">
        <v>19</v>
      </c>
    </row>
    <row r="15" spans="1:2" ht="18" customHeight="1" x14ac:dyDescent="0.25">
      <c r="A15" s="4" t="s">
        <v>20</v>
      </c>
      <c r="B15" s="2" t="s">
        <v>21</v>
      </c>
    </row>
    <row r="16" spans="1:2" ht="18" customHeight="1" x14ac:dyDescent="0.25">
      <c r="A16" s="4" t="s">
        <v>22</v>
      </c>
      <c r="B16" s="2" t="s">
        <v>23</v>
      </c>
    </row>
    <row r="17" spans="1:2" ht="21.95" customHeight="1" x14ac:dyDescent="0.25">
      <c r="A17" s="50" t="s">
        <v>24</v>
      </c>
      <c r="B17" s="51"/>
    </row>
    <row r="18" spans="1:2" ht="36" customHeight="1" x14ac:dyDescent="0.25">
      <c r="A18" s="4" t="s">
        <v>25</v>
      </c>
      <c r="B18" s="2" t="s">
        <v>26</v>
      </c>
    </row>
    <row r="19" spans="1:2" ht="54" customHeight="1" x14ac:dyDescent="0.25">
      <c r="A19" s="4" t="s">
        <v>25</v>
      </c>
      <c r="B19" s="2" t="s">
        <v>27</v>
      </c>
    </row>
    <row r="20" spans="1:2" ht="36" customHeight="1" x14ac:dyDescent="0.25">
      <c r="A20" s="4" t="s">
        <v>25</v>
      </c>
      <c r="B20" s="2" t="s">
        <v>28</v>
      </c>
    </row>
    <row r="21" spans="1:2" ht="36" customHeight="1" x14ac:dyDescent="0.25">
      <c r="A21" s="4" t="s">
        <v>25</v>
      </c>
      <c r="B21" s="2" t="s">
        <v>29</v>
      </c>
    </row>
    <row r="22" spans="1:2" ht="21.95" customHeight="1" x14ac:dyDescent="0.25">
      <c r="A22" s="50" t="s">
        <v>30</v>
      </c>
      <c r="B22" s="51"/>
    </row>
    <row r="23" spans="1:2" ht="54" customHeight="1" x14ac:dyDescent="0.25">
      <c r="A23" s="4" t="s">
        <v>25</v>
      </c>
      <c r="B23" s="2" t="s">
        <v>31</v>
      </c>
    </row>
    <row r="24" spans="1:2" ht="36" customHeight="1" x14ac:dyDescent="0.25">
      <c r="A24" s="4" t="s">
        <v>25</v>
      </c>
      <c r="B24" s="2" t="s">
        <v>32</v>
      </c>
    </row>
    <row r="25" spans="1:2" ht="21.95" customHeight="1" x14ac:dyDescent="0.25">
      <c r="A25" s="50" t="s">
        <v>33</v>
      </c>
      <c r="B25" s="51"/>
    </row>
    <row r="26" spans="1:2" ht="36" customHeight="1" x14ac:dyDescent="0.25">
      <c r="A26" s="4" t="s">
        <v>25</v>
      </c>
      <c r="B26" s="2" t="s">
        <v>34</v>
      </c>
    </row>
    <row r="27" spans="1:2" ht="21.95" customHeight="1" x14ac:dyDescent="0.25">
      <c r="A27" s="50" t="s">
        <v>35</v>
      </c>
      <c r="B27" s="51"/>
    </row>
    <row r="28" spans="1:2" ht="36" customHeight="1" x14ac:dyDescent="0.25">
      <c r="A28" s="4" t="s">
        <v>25</v>
      </c>
      <c r="B28" s="2" t="s">
        <v>36</v>
      </c>
    </row>
    <row r="29" spans="1:2" ht="21.95" customHeight="1" x14ac:dyDescent="0.25">
      <c r="A29" s="50" t="s">
        <v>37</v>
      </c>
      <c r="B29" s="51"/>
    </row>
    <row r="30" spans="1:2" ht="18" customHeight="1" x14ac:dyDescent="0.25">
      <c r="A30" s="4" t="s">
        <v>25</v>
      </c>
      <c r="B30" s="2" t="s">
        <v>38</v>
      </c>
    </row>
    <row r="31" spans="1:2" ht="18" customHeight="1" x14ac:dyDescent="0.25">
      <c r="A31" s="4" t="s">
        <v>25</v>
      </c>
      <c r="B31" s="2" t="s">
        <v>39</v>
      </c>
    </row>
    <row r="32" spans="1:2" ht="36" customHeight="1" x14ac:dyDescent="0.25">
      <c r="A32" s="4" t="s">
        <v>25</v>
      </c>
      <c r="B32" s="2" t="s">
        <v>40</v>
      </c>
    </row>
  </sheetData>
  <mergeCells count="8">
    <mergeCell ref="A29:B29"/>
    <mergeCell ref="A7:B7"/>
    <mergeCell ref="A25:B25"/>
    <mergeCell ref="A1:B1"/>
    <mergeCell ref="A17:B17"/>
    <mergeCell ref="A27:B27"/>
    <mergeCell ref="A3:B3"/>
    <mergeCell ref="A22:B22"/>
  </mergeCells>
  <pageMargins left="0.4" right="0.4" top="0.5" bottom="0.5"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pageSetUpPr fitToPage="1"/>
  </sheetPr>
  <dimension ref="A1:B12"/>
  <sheetViews>
    <sheetView rightToLeft="1" workbookViewId="0"/>
  </sheetViews>
  <sheetFormatPr defaultRowHeight="15" x14ac:dyDescent="0.25"/>
  <cols>
    <col min="1" max="1" width="30" style="34" customWidth="1"/>
    <col min="2" max="2" width="60" style="34" customWidth="1"/>
  </cols>
  <sheetData>
    <row r="1" spans="1:2" ht="30" customHeight="1" x14ac:dyDescent="0.25">
      <c r="A1" s="52" t="s">
        <v>41</v>
      </c>
      <c r="B1" s="51"/>
    </row>
    <row r="3" spans="1:2" ht="24" customHeight="1" x14ac:dyDescent="0.25">
      <c r="A3" s="5" t="s">
        <v>42</v>
      </c>
      <c r="B3" s="31"/>
    </row>
    <row r="4" spans="1:2" ht="24" customHeight="1" x14ac:dyDescent="0.25">
      <c r="A4" s="5" t="s">
        <v>43</v>
      </c>
      <c r="B4" s="31"/>
    </row>
    <row r="5" spans="1:2" ht="24" customHeight="1" x14ac:dyDescent="0.25">
      <c r="A5" s="5" t="s">
        <v>44</v>
      </c>
      <c r="B5" s="31"/>
    </row>
    <row r="6" spans="1:2" ht="24" customHeight="1" x14ac:dyDescent="0.25">
      <c r="A6" s="5" t="s">
        <v>45</v>
      </c>
      <c r="B6" s="6"/>
    </row>
    <row r="7" spans="1:2" ht="24" customHeight="1" x14ac:dyDescent="0.25">
      <c r="A7" s="5" t="s">
        <v>46</v>
      </c>
      <c r="B7" s="31"/>
    </row>
    <row r="8" spans="1:2" ht="24" customHeight="1" x14ac:dyDescent="0.25">
      <c r="A8" s="5" t="s">
        <v>47</v>
      </c>
      <c r="B8" s="31"/>
    </row>
    <row r="9" spans="1:2" ht="24" customHeight="1" x14ac:dyDescent="0.25">
      <c r="A9" s="5" t="s">
        <v>48</v>
      </c>
      <c r="B9" s="31"/>
    </row>
    <row r="10" spans="1:2" ht="24" customHeight="1" x14ac:dyDescent="0.25">
      <c r="A10" s="5" t="s">
        <v>49</v>
      </c>
      <c r="B10" s="31"/>
    </row>
    <row r="11" spans="1:2" ht="24" customHeight="1" x14ac:dyDescent="0.25">
      <c r="A11" s="5" t="s">
        <v>50</v>
      </c>
      <c r="B11" s="31"/>
    </row>
    <row r="12" spans="1:2" ht="110.1" customHeight="1" x14ac:dyDescent="0.25">
      <c r="A12" s="5" t="s">
        <v>37</v>
      </c>
      <c r="B12" s="7"/>
    </row>
  </sheetData>
  <mergeCells count="1">
    <mergeCell ref="A1:B1"/>
  </mergeCells>
  <dataValidations count="1">
    <dataValidation type="list" errorStyle="warning" allowBlank="1" showErrorMessage="1" errorTitle="قيمة غير موجودة بالقائمة" error="اختر قيمة من القائمة المنسدلة." sqref="B9">
      <formula1>Method</formula1>
    </dataValidation>
  </dataValidations>
  <pageMargins left="0.4" right="0.4" top="0.5" bottom="0.5"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pageSetUpPr fitToPage="1"/>
  </sheetPr>
  <dimension ref="A1:F153"/>
  <sheetViews>
    <sheetView rightToLeft="1" workbookViewId="0">
      <pane ySplit="3" topLeftCell="A4" activePane="bottomLeft" state="frozen"/>
      <selection pane="bottomLeft"/>
    </sheetView>
  </sheetViews>
  <sheetFormatPr defaultRowHeight="15" x14ac:dyDescent="0.25"/>
  <cols>
    <col min="1" max="1" width="5" style="34" customWidth="1"/>
    <col min="2" max="2" width="14" style="34" customWidth="1"/>
    <col min="3" max="3" width="26" style="34" customWidth="1"/>
    <col min="4" max="4" width="14" style="34" customWidth="1"/>
    <col min="5" max="5" width="40" style="34" customWidth="1"/>
    <col min="6" max="6" width="16" style="34" customWidth="1"/>
  </cols>
  <sheetData>
    <row r="1" spans="1:6" ht="30" customHeight="1" x14ac:dyDescent="0.25">
      <c r="A1" s="52" t="s">
        <v>51</v>
      </c>
      <c r="B1" s="51"/>
      <c r="C1" s="51"/>
      <c r="D1" s="51"/>
      <c r="E1" s="51"/>
      <c r="F1" s="51"/>
    </row>
    <row r="2" spans="1:6" ht="24" customHeight="1" x14ac:dyDescent="0.25">
      <c r="A2" s="53" t="str">
        <f>"عدد الفراغات المسجلة: "&amp;COUNTA(B4:B153)</f>
        <v>عدد الفراغات المسجلة: 0</v>
      </c>
      <c r="B2" s="54"/>
      <c r="C2" s="54"/>
      <c r="D2" s="54"/>
      <c r="E2" s="54"/>
      <c r="F2" s="55"/>
    </row>
    <row r="3" spans="1:6" ht="48" customHeight="1" x14ac:dyDescent="0.25">
      <c r="A3" s="32" t="s">
        <v>52</v>
      </c>
      <c r="B3" s="32" t="s">
        <v>53</v>
      </c>
      <c r="C3" s="32" t="s">
        <v>54</v>
      </c>
      <c r="D3" s="32" t="s">
        <v>55</v>
      </c>
      <c r="E3" s="32" t="s">
        <v>56</v>
      </c>
      <c r="F3" s="32" t="s">
        <v>57</v>
      </c>
    </row>
    <row r="4" spans="1:6" x14ac:dyDescent="0.25">
      <c r="A4" s="8">
        <v>1</v>
      </c>
      <c r="B4" s="9"/>
      <c r="C4" s="31"/>
      <c r="D4" s="9"/>
      <c r="E4" s="31"/>
      <c r="F4" s="8" t="str">
        <f t="shared" ref="F4:F35" si="0">IF(COUNTA(B4:E4)=0,"",IF(B4="","ناقص: الكود",IF(COUNTIF(SpaceCodes,B4)&gt;1,"كود مكرر",IF(C4="","ناقص: الاسم","مسجل"))))</f>
        <v/>
      </c>
    </row>
    <row r="5" spans="1:6" x14ac:dyDescent="0.25">
      <c r="A5" s="8">
        <v>2</v>
      </c>
      <c r="B5" s="9"/>
      <c r="C5" s="31"/>
      <c r="D5" s="9"/>
      <c r="E5" s="31"/>
      <c r="F5" s="8" t="str">
        <f t="shared" si="0"/>
        <v/>
      </c>
    </row>
    <row r="6" spans="1:6" x14ac:dyDescent="0.25">
      <c r="A6" s="8">
        <v>3</v>
      </c>
      <c r="B6" s="9"/>
      <c r="C6" s="31"/>
      <c r="D6" s="9"/>
      <c r="E6" s="31"/>
      <c r="F6" s="8" t="str">
        <f t="shared" si="0"/>
        <v/>
      </c>
    </row>
    <row r="7" spans="1:6" x14ac:dyDescent="0.25">
      <c r="A7" s="8">
        <v>4</v>
      </c>
      <c r="B7" s="9"/>
      <c r="C7" s="31"/>
      <c r="D7" s="9"/>
      <c r="E7" s="31"/>
      <c r="F7" s="8" t="str">
        <f t="shared" si="0"/>
        <v/>
      </c>
    </row>
    <row r="8" spans="1:6" x14ac:dyDescent="0.25">
      <c r="A8" s="8">
        <v>5</v>
      </c>
      <c r="B8" s="9"/>
      <c r="C8" s="31"/>
      <c r="D8" s="9"/>
      <c r="E8" s="31"/>
      <c r="F8" s="8" t="str">
        <f t="shared" si="0"/>
        <v/>
      </c>
    </row>
    <row r="9" spans="1:6" x14ac:dyDescent="0.25">
      <c r="A9" s="8">
        <v>6</v>
      </c>
      <c r="B9" s="9"/>
      <c r="C9" s="31"/>
      <c r="D9" s="9"/>
      <c r="E9" s="31"/>
      <c r="F9" s="8" t="str">
        <f t="shared" si="0"/>
        <v/>
      </c>
    </row>
    <row r="10" spans="1:6" x14ac:dyDescent="0.25">
      <c r="A10" s="8">
        <v>7</v>
      </c>
      <c r="B10" s="9"/>
      <c r="C10" s="31"/>
      <c r="D10" s="9"/>
      <c r="E10" s="31"/>
      <c r="F10" s="8" t="str">
        <f t="shared" si="0"/>
        <v/>
      </c>
    </row>
    <row r="11" spans="1:6" x14ac:dyDescent="0.25">
      <c r="A11" s="8">
        <v>8</v>
      </c>
      <c r="B11" s="9"/>
      <c r="C11" s="31"/>
      <c r="D11" s="9"/>
      <c r="E11" s="31"/>
      <c r="F11" s="8" t="str">
        <f t="shared" si="0"/>
        <v/>
      </c>
    </row>
    <row r="12" spans="1:6" x14ac:dyDescent="0.25">
      <c r="A12" s="8">
        <v>9</v>
      </c>
      <c r="B12" s="9"/>
      <c r="C12" s="31"/>
      <c r="D12" s="9"/>
      <c r="E12" s="31"/>
      <c r="F12" s="8" t="str">
        <f t="shared" si="0"/>
        <v/>
      </c>
    </row>
    <row r="13" spans="1:6" x14ac:dyDescent="0.25">
      <c r="A13" s="8">
        <v>10</v>
      </c>
      <c r="B13" s="9"/>
      <c r="C13" s="31"/>
      <c r="D13" s="9"/>
      <c r="E13" s="31"/>
      <c r="F13" s="8" t="str">
        <f t="shared" si="0"/>
        <v/>
      </c>
    </row>
    <row r="14" spans="1:6" x14ac:dyDescent="0.25">
      <c r="A14" s="8">
        <v>11</v>
      </c>
      <c r="B14" s="9"/>
      <c r="C14" s="31"/>
      <c r="D14" s="9"/>
      <c r="E14" s="31"/>
      <c r="F14" s="8" t="str">
        <f t="shared" si="0"/>
        <v/>
      </c>
    </row>
    <row r="15" spans="1:6" x14ac:dyDescent="0.25">
      <c r="A15" s="8">
        <v>12</v>
      </c>
      <c r="B15" s="9"/>
      <c r="C15" s="31"/>
      <c r="D15" s="9"/>
      <c r="E15" s="31"/>
      <c r="F15" s="8" t="str">
        <f t="shared" si="0"/>
        <v/>
      </c>
    </row>
    <row r="16" spans="1:6" x14ac:dyDescent="0.25">
      <c r="A16" s="8">
        <v>13</v>
      </c>
      <c r="B16" s="9"/>
      <c r="C16" s="31"/>
      <c r="D16" s="9"/>
      <c r="E16" s="31"/>
      <c r="F16" s="8" t="str">
        <f t="shared" si="0"/>
        <v/>
      </c>
    </row>
    <row r="17" spans="1:6" x14ac:dyDescent="0.25">
      <c r="A17" s="8">
        <v>14</v>
      </c>
      <c r="B17" s="9"/>
      <c r="C17" s="31"/>
      <c r="D17" s="9"/>
      <c r="E17" s="31"/>
      <c r="F17" s="8" t="str">
        <f t="shared" si="0"/>
        <v/>
      </c>
    </row>
    <row r="18" spans="1:6" x14ac:dyDescent="0.25">
      <c r="A18" s="8">
        <v>15</v>
      </c>
      <c r="B18" s="9"/>
      <c r="C18" s="31"/>
      <c r="D18" s="9"/>
      <c r="E18" s="31"/>
      <c r="F18" s="8" t="str">
        <f t="shared" si="0"/>
        <v/>
      </c>
    </row>
    <row r="19" spans="1:6" x14ac:dyDescent="0.25">
      <c r="A19" s="8">
        <v>16</v>
      </c>
      <c r="B19" s="9"/>
      <c r="C19" s="31"/>
      <c r="D19" s="9"/>
      <c r="E19" s="31"/>
      <c r="F19" s="8" t="str">
        <f t="shared" si="0"/>
        <v/>
      </c>
    </row>
    <row r="20" spans="1:6" x14ac:dyDescent="0.25">
      <c r="A20" s="8">
        <v>17</v>
      </c>
      <c r="B20" s="9"/>
      <c r="C20" s="31"/>
      <c r="D20" s="9"/>
      <c r="E20" s="31"/>
      <c r="F20" s="8" t="str">
        <f t="shared" si="0"/>
        <v/>
      </c>
    </row>
    <row r="21" spans="1:6" x14ac:dyDescent="0.25">
      <c r="A21" s="8">
        <v>18</v>
      </c>
      <c r="B21" s="9"/>
      <c r="C21" s="31"/>
      <c r="D21" s="9"/>
      <c r="E21" s="31"/>
      <c r="F21" s="8" t="str">
        <f t="shared" si="0"/>
        <v/>
      </c>
    </row>
    <row r="22" spans="1:6" x14ac:dyDescent="0.25">
      <c r="A22" s="8">
        <v>19</v>
      </c>
      <c r="B22" s="9"/>
      <c r="C22" s="31"/>
      <c r="D22" s="9"/>
      <c r="E22" s="31"/>
      <c r="F22" s="8" t="str">
        <f t="shared" si="0"/>
        <v/>
      </c>
    </row>
    <row r="23" spans="1:6" x14ac:dyDescent="0.25">
      <c r="A23" s="8">
        <v>20</v>
      </c>
      <c r="B23" s="9"/>
      <c r="C23" s="31"/>
      <c r="D23" s="9"/>
      <c r="E23" s="31"/>
      <c r="F23" s="8" t="str">
        <f t="shared" si="0"/>
        <v/>
      </c>
    </row>
    <row r="24" spans="1:6" x14ac:dyDescent="0.25">
      <c r="A24" s="8">
        <v>21</v>
      </c>
      <c r="B24" s="9"/>
      <c r="C24" s="31"/>
      <c r="D24" s="9"/>
      <c r="E24" s="31"/>
      <c r="F24" s="8" t="str">
        <f t="shared" si="0"/>
        <v/>
      </c>
    </row>
    <row r="25" spans="1:6" x14ac:dyDescent="0.25">
      <c r="A25" s="8">
        <v>22</v>
      </c>
      <c r="B25" s="9"/>
      <c r="C25" s="31"/>
      <c r="D25" s="9"/>
      <c r="E25" s="31"/>
      <c r="F25" s="8" t="str">
        <f t="shared" si="0"/>
        <v/>
      </c>
    </row>
    <row r="26" spans="1:6" x14ac:dyDescent="0.25">
      <c r="A26" s="8">
        <v>23</v>
      </c>
      <c r="B26" s="9"/>
      <c r="C26" s="31"/>
      <c r="D26" s="9"/>
      <c r="E26" s="31"/>
      <c r="F26" s="8" t="str">
        <f t="shared" si="0"/>
        <v/>
      </c>
    </row>
    <row r="27" spans="1:6" x14ac:dyDescent="0.25">
      <c r="A27" s="8">
        <v>24</v>
      </c>
      <c r="B27" s="9"/>
      <c r="C27" s="31"/>
      <c r="D27" s="9"/>
      <c r="E27" s="31"/>
      <c r="F27" s="8" t="str">
        <f t="shared" si="0"/>
        <v/>
      </c>
    </row>
    <row r="28" spans="1:6" x14ac:dyDescent="0.25">
      <c r="A28" s="8">
        <v>25</v>
      </c>
      <c r="B28" s="9"/>
      <c r="C28" s="31"/>
      <c r="D28" s="9"/>
      <c r="E28" s="31"/>
      <c r="F28" s="8" t="str">
        <f t="shared" si="0"/>
        <v/>
      </c>
    </row>
    <row r="29" spans="1:6" x14ac:dyDescent="0.25">
      <c r="A29" s="8">
        <v>26</v>
      </c>
      <c r="B29" s="9"/>
      <c r="C29" s="31"/>
      <c r="D29" s="9"/>
      <c r="E29" s="31"/>
      <c r="F29" s="8" t="str">
        <f t="shared" si="0"/>
        <v/>
      </c>
    </row>
    <row r="30" spans="1:6" x14ac:dyDescent="0.25">
      <c r="A30" s="8">
        <v>27</v>
      </c>
      <c r="B30" s="9"/>
      <c r="C30" s="31"/>
      <c r="D30" s="9"/>
      <c r="E30" s="31"/>
      <c r="F30" s="8" t="str">
        <f t="shared" si="0"/>
        <v/>
      </c>
    </row>
    <row r="31" spans="1:6" x14ac:dyDescent="0.25">
      <c r="A31" s="8">
        <v>28</v>
      </c>
      <c r="B31" s="9"/>
      <c r="C31" s="31"/>
      <c r="D31" s="9"/>
      <c r="E31" s="31"/>
      <c r="F31" s="8" t="str">
        <f t="shared" si="0"/>
        <v/>
      </c>
    </row>
    <row r="32" spans="1:6" x14ac:dyDescent="0.25">
      <c r="A32" s="8">
        <v>29</v>
      </c>
      <c r="B32" s="9"/>
      <c r="C32" s="31"/>
      <c r="D32" s="9"/>
      <c r="E32" s="31"/>
      <c r="F32" s="8" t="str">
        <f t="shared" si="0"/>
        <v/>
      </c>
    </row>
    <row r="33" spans="1:6" x14ac:dyDescent="0.25">
      <c r="A33" s="8">
        <v>30</v>
      </c>
      <c r="B33" s="9"/>
      <c r="C33" s="31"/>
      <c r="D33" s="9"/>
      <c r="E33" s="31"/>
      <c r="F33" s="8" t="str">
        <f t="shared" si="0"/>
        <v/>
      </c>
    </row>
    <row r="34" spans="1:6" x14ac:dyDescent="0.25">
      <c r="A34" s="8">
        <v>31</v>
      </c>
      <c r="B34" s="9"/>
      <c r="C34" s="31"/>
      <c r="D34" s="9"/>
      <c r="E34" s="31"/>
      <c r="F34" s="8" t="str">
        <f t="shared" si="0"/>
        <v/>
      </c>
    </row>
    <row r="35" spans="1:6" x14ac:dyDescent="0.25">
      <c r="A35" s="8">
        <v>32</v>
      </c>
      <c r="B35" s="9"/>
      <c r="C35" s="31"/>
      <c r="D35" s="9"/>
      <c r="E35" s="31"/>
      <c r="F35" s="8" t="str">
        <f t="shared" si="0"/>
        <v/>
      </c>
    </row>
    <row r="36" spans="1:6" x14ac:dyDescent="0.25">
      <c r="A36" s="8">
        <v>33</v>
      </c>
      <c r="B36" s="9"/>
      <c r="C36" s="31"/>
      <c r="D36" s="9"/>
      <c r="E36" s="31"/>
      <c r="F36" s="8" t="str">
        <f t="shared" ref="F36:F67" si="1">IF(COUNTA(B36:E36)=0,"",IF(B36="","ناقص: الكود",IF(COUNTIF(SpaceCodes,B36)&gt;1,"كود مكرر",IF(C36="","ناقص: الاسم","مسجل"))))</f>
        <v/>
      </c>
    </row>
    <row r="37" spans="1:6" x14ac:dyDescent="0.25">
      <c r="A37" s="8">
        <v>34</v>
      </c>
      <c r="B37" s="9"/>
      <c r="C37" s="31"/>
      <c r="D37" s="9"/>
      <c r="E37" s="31"/>
      <c r="F37" s="8" t="str">
        <f t="shared" si="1"/>
        <v/>
      </c>
    </row>
    <row r="38" spans="1:6" x14ac:dyDescent="0.25">
      <c r="A38" s="8">
        <v>35</v>
      </c>
      <c r="B38" s="9"/>
      <c r="C38" s="31"/>
      <c r="D38" s="9"/>
      <c r="E38" s="31"/>
      <c r="F38" s="8" t="str">
        <f t="shared" si="1"/>
        <v/>
      </c>
    </row>
    <row r="39" spans="1:6" x14ac:dyDescent="0.25">
      <c r="A39" s="8">
        <v>36</v>
      </c>
      <c r="B39" s="9"/>
      <c r="C39" s="31"/>
      <c r="D39" s="9"/>
      <c r="E39" s="31"/>
      <c r="F39" s="8" t="str">
        <f t="shared" si="1"/>
        <v/>
      </c>
    </row>
    <row r="40" spans="1:6" x14ac:dyDescent="0.25">
      <c r="A40" s="8">
        <v>37</v>
      </c>
      <c r="B40" s="9"/>
      <c r="C40" s="31"/>
      <c r="D40" s="9"/>
      <c r="E40" s="31"/>
      <c r="F40" s="8" t="str">
        <f t="shared" si="1"/>
        <v/>
      </c>
    </row>
    <row r="41" spans="1:6" x14ac:dyDescent="0.25">
      <c r="A41" s="8">
        <v>38</v>
      </c>
      <c r="B41" s="9"/>
      <c r="C41" s="31"/>
      <c r="D41" s="9"/>
      <c r="E41" s="31"/>
      <c r="F41" s="8" t="str">
        <f t="shared" si="1"/>
        <v/>
      </c>
    </row>
    <row r="42" spans="1:6" x14ac:dyDescent="0.25">
      <c r="A42" s="8">
        <v>39</v>
      </c>
      <c r="B42" s="9"/>
      <c r="C42" s="31"/>
      <c r="D42" s="9"/>
      <c r="E42" s="31"/>
      <c r="F42" s="8" t="str">
        <f t="shared" si="1"/>
        <v/>
      </c>
    </row>
    <row r="43" spans="1:6" x14ac:dyDescent="0.25">
      <c r="A43" s="8">
        <v>40</v>
      </c>
      <c r="B43" s="9"/>
      <c r="C43" s="31"/>
      <c r="D43" s="9"/>
      <c r="E43" s="31"/>
      <c r="F43" s="8" t="str">
        <f t="shared" si="1"/>
        <v/>
      </c>
    </row>
    <row r="44" spans="1:6" x14ac:dyDescent="0.25">
      <c r="A44" s="8">
        <v>41</v>
      </c>
      <c r="B44" s="9"/>
      <c r="C44" s="31"/>
      <c r="D44" s="9"/>
      <c r="E44" s="31"/>
      <c r="F44" s="8" t="str">
        <f t="shared" si="1"/>
        <v/>
      </c>
    </row>
    <row r="45" spans="1:6" x14ac:dyDescent="0.25">
      <c r="A45" s="8">
        <v>42</v>
      </c>
      <c r="B45" s="9"/>
      <c r="C45" s="31"/>
      <c r="D45" s="9"/>
      <c r="E45" s="31"/>
      <c r="F45" s="8" t="str">
        <f t="shared" si="1"/>
        <v/>
      </c>
    </row>
    <row r="46" spans="1:6" x14ac:dyDescent="0.25">
      <c r="A46" s="8">
        <v>43</v>
      </c>
      <c r="B46" s="9"/>
      <c r="C46" s="31"/>
      <c r="D46" s="9"/>
      <c r="E46" s="31"/>
      <c r="F46" s="8" t="str">
        <f t="shared" si="1"/>
        <v/>
      </c>
    </row>
    <row r="47" spans="1:6" x14ac:dyDescent="0.25">
      <c r="A47" s="8">
        <v>44</v>
      </c>
      <c r="B47" s="9"/>
      <c r="C47" s="31"/>
      <c r="D47" s="9"/>
      <c r="E47" s="31"/>
      <c r="F47" s="8" t="str">
        <f t="shared" si="1"/>
        <v/>
      </c>
    </row>
    <row r="48" spans="1:6" x14ac:dyDescent="0.25">
      <c r="A48" s="8">
        <v>45</v>
      </c>
      <c r="B48" s="9"/>
      <c r="C48" s="31"/>
      <c r="D48" s="9"/>
      <c r="E48" s="31"/>
      <c r="F48" s="8" t="str">
        <f t="shared" si="1"/>
        <v/>
      </c>
    </row>
    <row r="49" spans="1:6" x14ac:dyDescent="0.25">
      <c r="A49" s="8">
        <v>46</v>
      </c>
      <c r="B49" s="9"/>
      <c r="C49" s="31"/>
      <c r="D49" s="9"/>
      <c r="E49" s="31"/>
      <c r="F49" s="8" t="str">
        <f t="shared" si="1"/>
        <v/>
      </c>
    </row>
    <row r="50" spans="1:6" x14ac:dyDescent="0.25">
      <c r="A50" s="8">
        <v>47</v>
      </c>
      <c r="B50" s="9"/>
      <c r="C50" s="31"/>
      <c r="D50" s="9"/>
      <c r="E50" s="31"/>
      <c r="F50" s="8" t="str">
        <f t="shared" si="1"/>
        <v/>
      </c>
    </row>
    <row r="51" spans="1:6" x14ac:dyDescent="0.25">
      <c r="A51" s="8">
        <v>48</v>
      </c>
      <c r="B51" s="9"/>
      <c r="C51" s="31"/>
      <c r="D51" s="9"/>
      <c r="E51" s="31"/>
      <c r="F51" s="8" t="str">
        <f t="shared" si="1"/>
        <v/>
      </c>
    </row>
    <row r="52" spans="1:6" x14ac:dyDescent="0.25">
      <c r="A52" s="8">
        <v>49</v>
      </c>
      <c r="B52" s="9"/>
      <c r="C52" s="31"/>
      <c r="D52" s="9"/>
      <c r="E52" s="31"/>
      <c r="F52" s="8" t="str">
        <f t="shared" si="1"/>
        <v/>
      </c>
    </row>
    <row r="53" spans="1:6" x14ac:dyDescent="0.25">
      <c r="A53" s="8">
        <v>50</v>
      </c>
      <c r="B53" s="9"/>
      <c r="C53" s="31"/>
      <c r="D53" s="9"/>
      <c r="E53" s="31"/>
      <c r="F53" s="8" t="str">
        <f t="shared" si="1"/>
        <v/>
      </c>
    </row>
    <row r="54" spans="1:6" x14ac:dyDescent="0.25">
      <c r="A54" s="8">
        <v>51</v>
      </c>
      <c r="B54" s="9"/>
      <c r="C54" s="31"/>
      <c r="D54" s="9"/>
      <c r="E54" s="31"/>
      <c r="F54" s="8" t="str">
        <f t="shared" si="1"/>
        <v/>
      </c>
    </row>
    <row r="55" spans="1:6" x14ac:dyDescent="0.25">
      <c r="A55" s="8">
        <v>52</v>
      </c>
      <c r="B55" s="9"/>
      <c r="C55" s="31"/>
      <c r="D55" s="9"/>
      <c r="E55" s="31"/>
      <c r="F55" s="8" t="str">
        <f t="shared" si="1"/>
        <v/>
      </c>
    </row>
    <row r="56" spans="1:6" x14ac:dyDescent="0.25">
      <c r="A56" s="8">
        <v>53</v>
      </c>
      <c r="B56" s="9"/>
      <c r="C56" s="31"/>
      <c r="D56" s="9"/>
      <c r="E56" s="31"/>
      <c r="F56" s="8" t="str">
        <f t="shared" si="1"/>
        <v/>
      </c>
    </row>
    <row r="57" spans="1:6" x14ac:dyDescent="0.25">
      <c r="A57" s="8">
        <v>54</v>
      </c>
      <c r="B57" s="9"/>
      <c r="C57" s="31"/>
      <c r="D57" s="9"/>
      <c r="E57" s="31"/>
      <c r="F57" s="8" t="str">
        <f t="shared" si="1"/>
        <v/>
      </c>
    </row>
    <row r="58" spans="1:6" x14ac:dyDescent="0.25">
      <c r="A58" s="8">
        <v>55</v>
      </c>
      <c r="B58" s="9"/>
      <c r="C58" s="31"/>
      <c r="D58" s="9"/>
      <c r="E58" s="31"/>
      <c r="F58" s="8" t="str">
        <f t="shared" si="1"/>
        <v/>
      </c>
    </row>
    <row r="59" spans="1:6" x14ac:dyDescent="0.25">
      <c r="A59" s="8">
        <v>56</v>
      </c>
      <c r="B59" s="9"/>
      <c r="C59" s="31"/>
      <c r="D59" s="9"/>
      <c r="E59" s="31"/>
      <c r="F59" s="8" t="str">
        <f t="shared" si="1"/>
        <v/>
      </c>
    </row>
    <row r="60" spans="1:6" x14ac:dyDescent="0.25">
      <c r="A60" s="8">
        <v>57</v>
      </c>
      <c r="B60" s="9"/>
      <c r="C60" s="31"/>
      <c r="D60" s="9"/>
      <c r="E60" s="31"/>
      <c r="F60" s="8" t="str">
        <f t="shared" si="1"/>
        <v/>
      </c>
    </row>
    <row r="61" spans="1:6" x14ac:dyDescent="0.25">
      <c r="A61" s="8">
        <v>58</v>
      </c>
      <c r="B61" s="9"/>
      <c r="C61" s="31"/>
      <c r="D61" s="9"/>
      <c r="E61" s="31"/>
      <c r="F61" s="8" t="str">
        <f t="shared" si="1"/>
        <v/>
      </c>
    </row>
    <row r="62" spans="1:6" x14ac:dyDescent="0.25">
      <c r="A62" s="8">
        <v>59</v>
      </c>
      <c r="B62" s="9"/>
      <c r="C62" s="31"/>
      <c r="D62" s="9"/>
      <c r="E62" s="31"/>
      <c r="F62" s="8" t="str">
        <f t="shared" si="1"/>
        <v/>
      </c>
    </row>
    <row r="63" spans="1:6" x14ac:dyDescent="0.25">
      <c r="A63" s="8">
        <v>60</v>
      </c>
      <c r="B63" s="9"/>
      <c r="C63" s="31"/>
      <c r="D63" s="9"/>
      <c r="E63" s="31"/>
      <c r="F63" s="8" t="str">
        <f t="shared" si="1"/>
        <v/>
      </c>
    </row>
    <row r="64" spans="1:6" x14ac:dyDescent="0.25">
      <c r="A64" s="8">
        <v>61</v>
      </c>
      <c r="B64" s="9"/>
      <c r="C64" s="31"/>
      <c r="D64" s="9"/>
      <c r="E64" s="31"/>
      <c r="F64" s="8" t="str">
        <f t="shared" si="1"/>
        <v/>
      </c>
    </row>
    <row r="65" spans="1:6" x14ac:dyDescent="0.25">
      <c r="A65" s="8">
        <v>62</v>
      </c>
      <c r="B65" s="9"/>
      <c r="C65" s="31"/>
      <c r="D65" s="9"/>
      <c r="E65" s="31"/>
      <c r="F65" s="8" t="str">
        <f t="shared" si="1"/>
        <v/>
      </c>
    </row>
    <row r="66" spans="1:6" x14ac:dyDescent="0.25">
      <c r="A66" s="8">
        <v>63</v>
      </c>
      <c r="B66" s="9"/>
      <c r="C66" s="31"/>
      <c r="D66" s="9"/>
      <c r="E66" s="31"/>
      <c r="F66" s="8" t="str">
        <f t="shared" si="1"/>
        <v/>
      </c>
    </row>
    <row r="67" spans="1:6" x14ac:dyDescent="0.25">
      <c r="A67" s="8">
        <v>64</v>
      </c>
      <c r="B67" s="9"/>
      <c r="C67" s="31"/>
      <c r="D67" s="9"/>
      <c r="E67" s="31"/>
      <c r="F67" s="8" t="str">
        <f t="shared" si="1"/>
        <v/>
      </c>
    </row>
    <row r="68" spans="1:6" x14ac:dyDescent="0.25">
      <c r="A68" s="8">
        <v>65</v>
      </c>
      <c r="B68" s="9"/>
      <c r="C68" s="31"/>
      <c r="D68" s="9"/>
      <c r="E68" s="31"/>
      <c r="F68" s="8" t="str">
        <f t="shared" ref="F68:F99" si="2">IF(COUNTA(B68:E68)=0,"",IF(B68="","ناقص: الكود",IF(COUNTIF(SpaceCodes,B68)&gt;1,"كود مكرر",IF(C68="","ناقص: الاسم","مسجل"))))</f>
        <v/>
      </c>
    </row>
    <row r="69" spans="1:6" x14ac:dyDescent="0.25">
      <c r="A69" s="8">
        <v>66</v>
      </c>
      <c r="B69" s="9"/>
      <c r="C69" s="31"/>
      <c r="D69" s="9"/>
      <c r="E69" s="31"/>
      <c r="F69" s="8" t="str">
        <f t="shared" si="2"/>
        <v/>
      </c>
    </row>
    <row r="70" spans="1:6" x14ac:dyDescent="0.25">
      <c r="A70" s="8">
        <v>67</v>
      </c>
      <c r="B70" s="9"/>
      <c r="C70" s="31"/>
      <c r="D70" s="9"/>
      <c r="E70" s="31"/>
      <c r="F70" s="8" t="str">
        <f t="shared" si="2"/>
        <v/>
      </c>
    </row>
    <row r="71" spans="1:6" x14ac:dyDescent="0.25">
      <c r="A71" s="8">
        <v>68</v>
      </c>
      <c r="B71" s="9"/>
      <c r="C71" s="31"/>
      <c r="D71" s="9"/>
      <c r="E71" s="31"/>
      <c r="F71" s="8" t="str">
        <f t="shared" si="2"/>
        <v/>
      </c>
    </row>
    <row r="72" spans="1:6" x14ac:dyDescent="0.25">
      <c r="A72" s="8">
        <v>69</v>
      </c>
      <c r="B72" s="9"/>
      <c r="C72" s="31"/>
      <c r="D72" s="9"/>
      <c r="E72" s="31"/>
      <c r="F72" s="8" t="str">
        <f t="shared" si="2"/>
        <v/>
      </c>
    </row>
    <row r="73" spans="1:6" x14ac:dyDescent="0.25">
      <c r="A73" s="8">
        <v>70</v>
      </c>
      <c r="B73" s="9"/>
      <c r="C73" s="31"/>
      <c r="D73" s="9"/>
      <c r="E73" s="31"/>
      <c r="F73" s="8" t="str">
        <f t="shared" si="2"/>
        <v/>
      </c>
    </row>
    <row r="74" spans="1:6" x14ac:dyDescent="0.25">
      <c r="A74" s="8">
        <v>71</v>
      </c>
      <c r="B74" s="9"/>
      <c r="C74" s="31"/>
      <c r="D74" s="9"/>
      <c r="E74" s="31"/>
      <c r="F74" s="8" t="str">
        <f t="shared" si="2"/>
        <v/>
      </c>
    </row>
    <row r="75" spans="1:6" x14ac:dyDescent="0.25">
      <c r="A75" s="8">
        <v>72</v>
      </c>
      <c r="B75" s="9"/>
      <c r="C75" s="31"/>
      <c r="D75" s="9"/>
      <c r="E75" s="31"/>
      <c r="F75" s="8" t="str">
        <f t="shared" si="2"/>
        <v/>
      </c>
    </row>
    <row r="76" spans="1:6" x14ac:dyDescent="0.25">
      <c r="A76" s="8">
        <v>73</v>
      </c>
      <c r="B76" s="9"/>
      <c r="C76" s="31"/>
      <c r="D76" s="9"/>
      <c r="E76" s="31"/>
      <c r="F76" s="8" t="str">
        <f t="shared" si="2"/>
        <v/>
      </c>
    </row>
    <row r="77" spans="1:6" x14ac:dyDescent="0.25">
      <c r="A77" s="8">
        <v>74</v>
      </c>
      <c r="B77" s="9"/>
      <c r="C77" s="31"/>
      <c r="D77" s="9"/>
      <c r="E77" s="31"/>
      <c r="F77" s="8" t="str">
        <f t="shared" si="2"/>
        <v/>
      </c>
    </row>
    <row r="78" spans="1:6" x14ac:dyDescent="0.25">
      <c r="A78" s="8">
        <v>75</v>
      </c>
      <c r="B78" s="9"/>
      <c r="C78" s="31"/>
      <c r="D78" s="9"/>
      <c r="E78" s="31"/>
      <c r="F78" s="8" t="str">
        <f t="shared" si="2"/>
        <v/>
      </c>
    </row>
    <row r="79" spans="1:6" x14ac:dyDescent="0.25">
      <c r="A79" s="8">
        <v>76</v>
      </c>
      <c r="B79" s="9"/>
      <c r="C79" s="31"/>
      <c r="D79" s="9"/>
      <c r="E79" s="31"/>
      <c r="F79" s="8" t="str">
        <f t="shared" si="2"/>
        <v/>
      </c>
    </row>
    <row r="80" spans="1:6" x14ac:dyDescent="0.25">
      <c r="A80" s="8">
        <v>77</v>
      </c>
      <c r="B80" s="9"/>
      <c r="C80" s="31"/>
      <c r="D80" s="9"/>
      <c r="E80" s="31"/>
      <c r="F80" s="8" t="str">
        <f t="shared" si="2"/>
        <v/>
      </c>
    </row>
    <row r="81" spans="1:6" x14ac:dyDescent="0.25">
      <c r="A81" s="8">
        <v>78</v>
      </c>
      <c r="B81" s="9"/>
      <c r="C81" s="31"/>
      <c r="D81" s="9"/>
      <c r="E81" s="31"/>
      <c r="F81" s="8" t="str">
        <f t="shared" si="2"/>
        <v/>
      </c>
    </row>
    <row r="82" spans="1:6" x14ac:dyDescent="0.25">
      <c r="A82" s="8">
        <v>79</v>
      </c>
      <c r="B82" s="9"/>
      <c r="C82" s="31"/>
      <c r="D82" s="9"/>
      <c r="E82" s="31"/>
      <c r="F82" s="8" t="str">
        <f t="shared" si="2"/>
        <v/>
      </c>
    </row>
    <row r="83" spans="1:6" x14ac:dyDescent="0.25">
      <c r="A83" s="8">
        <v>80</v>
      </c>
      <c r="B83" s="9"/>
      <c r="C83" s="31"/>
      <c r="D83" s="9"/>
      <c r="E83" s="31"/>
      <c r="F83" s="8" t="str">
        <f t="shared" si="2"/>
        <v/>
      </c>
    </row>
    <row r="84" spans="1:6" x14ac:dyDescent="0.25">
      <c r="A84" s="8">
        <v>81</v>
      </c>
      <c r="B84" s="9"/>
      <c r="C84" s="31"/>
      <c r="D84" s="9"/>
      <c r="E84" s="31"/>
      <c r="F84" s="8" t="str">
        <f t="shared" si="2"/>
        <v/>
      </c>
    </row>
    <row r="85" spans="1:6" x14ac:dyDescent="0.25">
      <c r="A85" s="8">
        <v>82</v>
      </c>
      <c r="B85" s="9"/>
      <c r="C85" s="31"/>
      <c r="D85" s="9"/>
      <c r="E85" s="31"/>
      <c r="F85" s="8" t="str">
        <f t="shared" si="2"/>
        <v/>
      </c>
    </row>
    <row r="86" spans="1:6" x14ac:dyDescent="0.25">
      <c r="A86" s="8">
        <v>83</v>
      </c>
      <c r="B86" s="9"/>
      <c r="C86" s="31"/>
      <c r="D86" s="9"/>
      <c r="E86" s="31"/>
      <c r="F86" s="8" t="str">
        <f t="shared" si="2"/>
        <v/>
      </c>
    </row>
    <row r="87" spans="1:6" x14ac:dyDescent="0.25">
      <c r="A87" s="8">
        <v>84</v>
      </c>
      <c r="B87" s="9"/>
      <c r="C87" s="31"/>
      <c r="D87" s="9"/>
      <c r="E87" s="31"/>
      <c r="F87" s="8" t="str">
        <f t="shared" si="2"/>
        <v/>
      </c>
    </row>
    <row r="88" spans="1:6" x14ac:dyDescent="0.25">
      <c r="A88" s="8">
        <v>85</v>
      </c>
      <c r="B88" s="9"/>
      <c r="C88" s="31"/>
      <c r="D88" s="9"/>
      <c r="E88" s="31"/>
      <c r="F88" s="8" t="str">
        <f t="shared" si="2"/>
        <v/>
      </c>
    </row>
    <row r="89" spans="1:6" x14ac:dyDescent="0.25">
      <c r="A89" s="8">
        <v>86</v>
      </c>
      <c r="B89" s="9"/>
      <c r="C89" s="31"/>
      <c r="D89" s="9"/>
      <c r="E89" s="31"/>
      <c r="F89" s="8" t="str">
        <f t="shared" si="2"/>
        <v/>
      </c>
    </row>
    <row r="90" spans="1:6" x14ac:dyDescent="0.25">
      <c r="A90" s="8">
        <v>87</v>
      </c>
      <c r="B90" s="9"/>
      <c r="C90" s="31"/>
      <c r="D90" s="9"/>
      <c r="E90" s="31"/>
      <c r="F90" s="8" t="str">
        <f t="shared" si="2"/>
        <v/>
      </c>
    </row>
    <row r="91" spans="1:6" x14ac:dyDescent="0.25">
      <c r="A91" s="8">
        <v>88</v>
      </c>
      <c r="B91" s="9"/>
      <c r="C91" s="31"/>
      <c r="D91" s="9"/>
      <c r="E91" s="31"/>
      <c r="F91" s="8" t="str">
        <f t="shared" si="2"/>
        <v/>
      </c>
    </row>
    <row r="92" spans="1:6" x14ac:dyDescent="0.25">
      <c r="A92" s="8">
        <v>89</v>
      </c>
      <c r="B92" s="9"/>
      <c r="C92" s="31"/>
      <c r="D92" s="9"/>
      <c r="E92" s="31"/>
      <c r="F92" s="8" t="str">
        <f t="shared" si="2"/>
        <v/>
      </c>
    </row>
    <row r="93" spans="1:6" x14ac:dyDescent="0.25">
      <c r="A93" s="8">
        <v>90</v>
      </c>
      <c r="B93" s="9"/>
      <c r="C93" s="31"/>
      <c r="D93" s="9"/>
      <c r="E93" s="31"/>
      <c r="F93" s="8" t="str">
        <f t="shared" si="2"/>
        <v/>
      </c>
    </row>
    <row r="94" spans="1:6" x14ac:dyDescent="0.25">
      <c r="A94" s="8">
        <v>91</v>
      </c>
      <c r="B94" s="9"/>
      <c r="C94" s="31"/>
      <c r="D94" s="9"/>
      <c r="E94" s="31"/>
      <c r="F94" s="8" t="str">
        <f t="shared" si="2"/>
        <v/>
      </c>
    </row>
    <row r="95" spans="1:6" x14ac:dyDescent="0.25">
      <c r="A95" s="8">
        <v>92</v>
      </c>
      <c r="B95" s="9"/>
      <c r="C95" s="31"/>
      <c r="D95" s="9"/>
      <c r="E95" s="31"/>
      <c r="F95" s="8" t="str">
        <f t="shared" si="2"/>
        <v/>
      </c>
    </row>
    <row r="96" spans="1:6" x14ac:dyDescent="0.25">
      <c r="A96" s="8">
        <v>93</v>
      </c>
      <c r="B96" s="9"/>
      <c r="C96" s="31"/>
      <c r="D96" s="9"/>
      <c r="E96" s="31"/>
      <c r="F96" s="8" t="str">
        <f t="shared" si="2"/>
        <v/>
      </c>
    </row>
    <row r="97" spans="1:6" x14ac:dyDescent="0.25">
      <c r="A97" s="8">
        <v>94</v>
      </c>
      <c r="B97" s="9"/>
      <c r="C97" s="31"/>
      <c r="D97" s="9"/>
      <c r="E97" s="31"/>
      <c r="F97" s="8" t="str">
        <f t="shared" si="2"/>
        <v/>
      </c>
    </row>
    <row r="98" spans="1:6" x14ac:dyDescent="0.25">
      <c r="A98" s="8">
        <v>95</v>
      </c>
      <c r="B98" s="9"/>
      <c r="C98" s="31"/>
      <c r="D98" s="9"/>
      <c r="E98" s="31"/>
      <c r="F98" s="8" t="str">
        <f t="shared" si="2"/>
        <v/>
      </c>
    </row>
    <row r="99" spans="1:6" x14ac:dyDescent="0.25">
      <c r="A99" s="8">
        <v>96</v>
      </c>
      <c r="B99" s="9"/>
      <c r="C99" s="31"/>
      <c r="D99" s="9"/>
      <c r="E99" s="31"/>
      <c r="F99" s="8" t="str">
        <f t="shared" si="2"/>
        <v/>
      </c>
    </row>
    <row r="100" spans="1:6" x14ac:dyDescent="0.25">
      <c r="A100" s="8">
        <v>97</v>
      </c>
      <c r="B100" s="9"/>
      <c r="C100" s="31"/>
      <c r="D100" s="9"/>
      <c r="E100" s="31"/>
      <c r="F100" s="8" t="str">
        <f t="shared" ref="F100:F131" si="3">IF(COUNTA(B100:E100)=0,"",IF(B100="","ناقص: الكود",IF(COUNTIF(SpaceCodes,B100)&gt;1,"كود مكرر",IF(C100="","ناقص: الاسم","مسجل"))))</f>
        <v/>
      </c>
    </row>
    <row r="101" spans="1:6" x14ac:dyDescent="0.25">
      <c r="A101" s="8">
        <v>98</v>
      </c>
      <c r="B101" s="9"/>
      <c r="C101" s="31"/>
      <c r="D101" s="9"/>
      <c r="E101" s="31"/>
      <c r="F101" s="8" t="str">
        <f t="shared" si="3"/>
        <v/>
      </c>
    </row>
    <row r="102" spans="1:6" x14ac:dyDescent="0.25">
      <c r="A102" s="8">
        <v>99</v>
      </c>
      <c r="B102" s="9"/>
      <c r="C102" s="31"/>
      <c r="D102" s="9"/>
      <c r="E102" s="31"/>
      <c r="F102" s="8" t="str">
        <f t="shared" si="3"/>
        <v/>
      </c>
    </row>
    <row r="103" spans="1:6" x14ac:dyDescent="0.25">
      <c r="A103" s="8">
        <v>100</v>
      </c>
      <c r="B103" s="9"/>
      <c r="C103" s="31"/>
      <c r="D103" s="9"/>
      <c r="E103" s="31"/>
      <c r="F103" s="8" t="str">
        <f t="shared" si="3"/>
        <v/>
      </c>
    </row>
    <row r="104" spans="1:6" x14ac:dyDescent="0.25">
      <c r="A104" s="8">
        <v>101</v>
      </c>
      <c r="B104" s="9"/>
      <c r="C104" s="31"/>
      <c r="D104" s="9"/>
      <c r="E104" s="31"/>
      <c r="F104" s="8" t="str">
        <f t="shared" si="3"/>
        <v/>
      </c>
    </row>
    <row r="105" spans="1:6" x14ac:dyDescent="0.25">
      <c r="A105" s="8">
        <v>102</v>
      </c>
      <c r="B105" s="9"/>
      <c r="C105" s="31"/>
      <c r="D105" s="9"/>
      <c r="E105" s="31"/>
      <c r="F105" s="8" t="str">
        <f t="shared" si="3"/>
        <v/>
      </c>
    </row>
    <row r="106" spans="1:6" x14ac:dyDescent="0.25">
      <c r="A106" s="8">
        <v>103</v>
      </c>
      <c r="B106" s="9"/>
      <c r="C106" s="31"/>
      <c r="D106" s="9"/>
      <c r="E106" s="31"/>
      <c r="F106" s="8" t="str">
        <f t="shared" si="3"/>
        <v/>
      </c>
    </row>
    <row r="107" spans="1:6" x14ac:dyDescent="0.25">
      <c r="A107" s="8">
        <v>104</v>
      </c>
      <c r="B107" s="9"/>
      <c r="C107" s="31"/>
      <c r="D107" s="9"/>
      <c r="E107" s="31"/>
      <c r="F107" s="8" t="str">
        <f t="shared" si="3"/>
        <v/>
      </c>
    </row>
    <row r="108" spans="1:6" x14ac:dyDescent="0.25">
      <c r="A108" s="8">
        <v>105</v>
      </c>
      <c r="B108" s="9"/>
      <c r="C108" s="31"/>
      <c r="D108" s="9"/>
      <c r="E108" s="31"/>
      <c r="F108" s="8" t="str">
        <f t="shared" si="3"/>
        <v/>
      </c>
    </row>
    <row r="109" spans="1:6" x14ac:dyDescent="0.25">
      <c r="A109" s="8">
        <v>106</v>
      </c>
      <c r="B109" s="9"/>
      <c r="C109" s="31"/>
      <c r="D109" s="9"/>
      <c r="E109" s="31"/>
      <c r="F109" s="8" t="str">
        <f t="shared" si="3"/>
        <v/>
      </c>
    </row>
    <row r="110" spans="1:6" x14ac:dyDescent="0.25">
      <c r="A110" s="8">
        <v>107</v>
      </c>
      <c r="B110" s="9"/>
      <c r="C110" s="31"/>
      <c r="D110" s="9"/>
      <c r="E110" s="31"/>
      <c r="F110" s="8" t="str">
        <f t="shared" si="3"/>
        <v/>
      </c>
    </row>
    <row r="111" spans="1:6" x14ac:dyDescent="0.25">
      <c r="A111" s="8">
        <v>108</v>
      </c>
      <c r="B111" s="9"/>
      <c r="C111" s="31"/>
      <c r="D111" s="9"/>
      <c r="E111" s="31"/>
      <c r="F111" s="8" t="str">
        <f t="shared" si="3"/>
        <v/>
      </c>
    </row>
    <row r="112" spans="1:6" x14ac:dyDescent="0.25">
      <c r="A112" s="8">
        <v>109</v>
      </c>
      <c r="B112" s="9"/>
      <c r="C112" s="31"/>
      <c r="D112" s="9"/>
      <c r="E112" s="31"/>
      <c r="F112" s="8" t="str">
        <f t="shared" si="3"/>
        <v/>
      </c>
    </row>
    <row r="113" spans="1:6" x14ac:dyDescent="0.25">
      <c r="A113" s="8">
        <v>110</v>
      </c>
      <c r="B113" s="9"/>
      <c r="C113" s="31"/>
      <c r="D113" s="9"/>
      <c r="E113" s="31"/>
      <c r="F113" s="8" t="str">
        <f t="shared" si="3"/>
        <v/>
      </c>
    </row>
    <row r="114" spans="1:6" x14ac:dyDescent="0.25">
      <c r="A114" s="8">
        <v>111</v>
      </c>
      <c r="B114" s="9"/>
      <c r="C114" s="31"/>
      <c r="D114" s="9"/>
      <c r="E114" s="31"/>
      <c r="F114" s="8" t="str">
        <f t="shared" si="3"/>
        <v/>
      </c>
    </row>
    <row r="115" spans="1:6" x14ac:dyDescent="0.25">
      <c r="A115" s="8">
        <v>112</v>
      </c>
      <c r="B115" s="9"/>
      <c r="C115" s="31"/>
      <c r="D115" s="9"/>
      <c r="E115" s="31"/>
      <c r="F115" s="8" t="str">
        <f t="shared" si="3"/>
        <v/>
      </c>
    </row>
    <row r="116" spans="1:6" x14ac:dyDescent="0.25">
      <c r="A116" s="8">
        <v>113</v>
      </c>
      <c r="B116" s="9"/>
      <c r="C116" s="31"/>
      <c r="D116" s="9"/>
      <c r="E116" s="31"/>
      <c r="F116" s="8" t="str">
        <f t="shared" si="3"/>
        <v/>
      </c>
    </row>
    <row r="117" spans="1:6" x14ac:dyDescent="0.25">
      <c r="A117" s="8">
        <v>114</v>
      </c>
      <c r="B117" s="9"/>
      <c r="C117" s="31"/>
      <c r="D117" s="9"/>
      <c r="E117" s="31"/>
      <c r="F117" s="8" t="str">
        <f t="shared" si="3"/>
        <v/>
      </c>
    </row>
    <row r="118" spans="1:6" x14ac:dyDescent="0.25">
      <c r="A118" s="8">
        <v>115</v>
      </c>
      <c r="B118" s="9"/>
      <c r="C118" s="31"/>
      <c r="D118" s="9"/>
      <c r="E118" s="31"/>
      <c r="F118" s="8" t="str">
        <f t="shared" si="3"/>
        <v/>
      </c>
    </row>
    <row r="119" spans="1:6" x14ac:dyDescent="0.25">
      <c r="A119" s="8">
        <v>116</v>
      </c>
      <c r="B119" s="9"/>
      <c r="C119" s="31"/>
      <c r="D119" s="9"/>
      <c r="E119" s="31"/>
      <c r="F119" s="8" t="str">
        <f t="shared" si="3"/>
        <v/>
      </c>
    </row>
    <row r="120" spans="1:6" x14ac:dyDescent="0.25">
      <c r="A120" s="8">
        <v>117</v>
      </c>
      <c r="B120" s="9"/>
      <c r="C120" s="31"/>
      <c r="D120" s="9"/>
      <c r="E120" s="31"/>
      <c r="F120" s="8" t="str">
        <f t="shared" si="3"/>
        <v/>
      </c>
    </row>
    <row r="121" spans="1:6" x14ac:dyDescent="0.25">
      <c r="A121" s="8">
        <v>118</v>
      </c>
      <c r="B121" s="9"/>
      <c r="C121" s="31"/>
      <c r="D121" s="9"/>
      <c r="E121" s="31"/>
      <c r="F121" s="8" t="str">
        <f t="shared" si="3"/>
        <v/>
      </c>
    </row>
    <row r="122" spans="1:6" x14ac:dyDescent="0.25">
      <c r="A122" s="8">
        <v>119</v>
      </c>
      <c r="B122" s="9"/>
      <c r="C122" s="31"/>
      <c r="D122" s="9"/>
      <c r="E122" s="31"/>
      <c r="F122" s="8" t="str">
        <f t="shared" si="3"/>
        <v/>
      </c>
    </row>
    <row r="123" spans="1:6" x14ac:dyDescent="0.25">
      <c r="A123" s="8">
        <v>120</v>
      </c>
      <c r="B123" s="9"/>
      <c r="C123" s="31"/>
      <c r="D123" s="9"/>
      <c r="E123" s="31"/>
      <c r="F123" s="8" t="str">
        <f t="shared" si="3"/>
        <v/>
      </c>
    </row>
    <row r="124" spans="1:6" x14ac:dyDescent="0.25">
      <c r="A124" s="8">
        <v>121</v>
      </c>
      <c r="B124" s="9"/>
      <c r="C124" s="31"/>
      <c r="D124" s="9"/>
      <c r="E124" s="31"/>
      <c r="F124" s="8" t="str">
        <f t="shared" si="3"/>
        <v/>
      </c>
    </row>
    <row r="125" spans="1:6" x14ac:dyDescent="0.25">
      <c r="A125" s="8">
        <v>122</v>
      </c>
      <c r="B125" s="9"/>
      <c r="C125" s="31"/>
      <c r="D125" s="9"/>
      <c r="E125" s="31"/>
      <c r="F125" s="8" t="str">
        <f t="shared" si="3"/>
        <v/>
      </c>
    </row>
    <row r="126" spans="1:6" x14ac:dyDescent="0.25">
      <c r="A126" s="8">
        <v>123</v>
      </c>
      <c r="B126" s="9"/>
      <c r="C126" s="31"/>
      <c r="D126" s="9"/>
      <c r="E126" s="31"/>
      <c r="F126" s="8" t="str">
        <f t="shared" si="3"/>
        <v/>
      </c>
    </row>
    <row r="127" spans="1:6" x14ac:dyDescent="0.25">
      <c r="A127" s="8">
        <v>124</v>
      </c>
      <c r="B127" s="9"/>
      <c r="C127" s="31"/>
      <c r="D127" s="9"/>
      <c r="E127" s="31"/>
      <c r="F127" s="8" t="str">
        <f t="shared" si="3"/>
        <v/>
      </c>
    </row>
    <row r="128" spans="1:6" x14ac:dyDescent="0.25">
      <c r="A128" s="8">
        <v>125</v>
      </c>
      <c r="B128" s="9"/>
      <c r="C128" s="31"/>
      <c r="D128" s="9"/>
      <c r="E128" s="31"/>
      <c r="F128" s="8" t="str">
        <f t="shared" si="3"/>
        <v/>
      </c>
    </row>
    <row r="129" spans="1:6" x14ac:dyDescent="0.25">
      <c r="A129" s="8">
        <v>126</v>
      </c>
      <c r="B129" s="9"/>
      <c r="C129" s="31"/>
      <c r="D129" s="9"/>
      <c r="E129" s="31"/>
      <c r="F129" s="8" t="str">
        <f t="shared" si="3"/>
        <v/>
      </c>
    </row>
    <row r="130" spans="1:6" x14ac:dyDescent="0.25">
      <c r="A130" s="8">
        <v>127</v>
      </c>
      <c r="B130" s="9"/>
      <c r="C130" s="31"/>
      <c r="D130" s="9"/>
      <c r="E130" s="31"/>
      <c r="F130" s="8" t="str">
        <f t="shared" si="3"/>
        <v/>
      </c>
    </row>
    <row r="131" spans="1:6" x14ac:dyDescent="0.25">
      <c r="A131" s="8">
        <v>128</v>
      </c>
      <c r="B131" s="9"/>
      <c r="C131" s="31"/>
      <c r="D131" s="9"/>
      <c r="E131" s="31"/>
      <c r="F131" s="8" t="str">
        <f t="shared" si="3"/>
        <v/>
      </c>
    </row>
    <row r="132" spans="1:6" x14ac:dyDescent="0.25">
      <c r="A132" s="8">
        <v>129</v>
      </c>
      <c r="B132" s="9"/>
      <c r="C132" s="31"/>
      <c r="D132" s="9"/>
      <c r="E132" s="31"/>
      <c r="F132" s="8" t="str">
        <f t="shared" ref="F132:F163" si="4">IF(COUNTA(B132:E132)=0,"",IF(B132="","ناقص: الكود",IF(COUNTIF(SpaceCodes,B132)&gt;1,"كود مكرر",IF(C132="","ناقص: الاسم","مسجل"))))</f>
        <v/>
      </c>
    </row>
    <row r="133" spans="1:6" x14ac:dyDescent="0.25">
      <c r="A133" s="8">
        <v>130</v>
      </c>
      <c r="B133" s="9"/>
      <c r="C133" s="31"/>
      <c r="D133" s="9"/>
      <c r="E133" s="31"/>
      <c r="F133" s="8" t="str">
        <f t="shared" si="4"/>
        <v/>
      </c>
    </row>
    <row r="134" spans="1:6" x14ac:dyDescent="0.25">
      <c r="A134" s="8">
        <v>131</v>
      </c>
      <c r="B134" s="9"/>
      <c r="C134" s="31"/>
      <c r="D134" s="9"/>
      <c r="E134" s="31"/>
      <c r="F134" s="8" t="str">
        <f t="shared" si="4"/>
        <v/>
      </c>
    </row>
    <row r="135" spans="1:6" x14ac:dyDescent="0.25">
      <c r="A135" s="8">
        <v>132</v>
      </c>
      <c r="B135" s="9"/>
      <c r="C135" s="31"/>
      <c r="D135" s="9"/>
      <c r="E135" s="31"/>
      <c r="F135" s="8" t="str">
        <f t="shared" si="4"/>
        <v/>
      </c>
    </row>
    <row r="136" spans="1:6" x14ac:dyDescent="0.25">
      <c r="A136" s="8">
        <v>133</v>
      </c>
      <c r="B136" s="9"/>
      <c r="C136" s="31"/>
      <c r="D136" s="9"/>
      <c r="E136" s="31"/>
      <c r="F136" s="8" t="str">
        <f t="shared" si="4"/>
        <v/>
      </c>
    </row>
    <row r="137" spans="1:6" x14ac:dyDescent="0.25">
      <c r="A137" s="8">
        <v>134</v>
      </c>
      <c r="B137" s="9"/>
      <c r="C137" s="31"/>
      <c r="D137" s="9"/>
      <c r="E137" s="31"/>
      <c r="F137" s="8" t="str">
        <f t="shared" si="4"/>
        <v/>
      </c>
    </row>
    <row r="138" spans="1:6" x14ac:dyDescent="0.25">
      <c r="A138" s="8">
        <v>135</v>
      </c>
      <c r="B138" s="9"/>
      <c r="C138" s="31"/>
      <c r="D138" s="9"/>
      <c r="E138" s="31"/>
      <c r="F138" s="8" t="str">
        <f t="shared" si="4"/>
        <v/>
      </c>
    </row>
    <row r="139" spans="1:6" x14ac:dyDescent="0.25">
      <c r="A139" s="8">
        <v>136</v>
      </c>
      <c r="B139" s="9"/>
      <c r="C139" s="31"/>
      <c r="D139" s="9"/>
      <c r="E139" s="31"/>
      <c r="F139" s="8" t="str">
        <f t="shared" si="4"/>
        <v/>
      </c>
    </row>
    <row r="140" spans="1:6" x14ac:dyDescent="0.25">
      <c r="A140" s="8">
        <v>137</v>
      </c>
      <c r="B140" s="9"/>
      <c r="C140" s="31"/>
      <c r="D140" s="9"/>
      <c r="E140" s="31"/>
      <c r="F140" s="8" t="str">
        <f t="shared" si="4"/>
        <v/>
      </c>
    </row>
    <row r="141" spans="1:6" x14ac:dyDescent="0.25">
      <c r="A141" s="8">
        <v>138</v>
      </c>
      <c r="B141" s="9"/>
      <c r="C141" s="31"/>
      <c r="D141" s="9"/>
      <c r="E141" s="31"/>
      <c r="F141" s="8" t="str">
        <f t="shared" si="4"/>
        <v/>
      </c>
    </row>
    <row r="142" spans="1:6" x14ac:dyDescent="0.25">
      <c r="A142" s="8">
        <v>139</v>
      </c>
      <c r="B142" s="9"/>
      <c r="C142" s="31"/>
      <c r="D142" s="9"/>
      <c r="E142" s="31"/>
      <c r="F142" s="8" t="str">
        <f t="shared" si="4"/>
        <v/>
      </c>
    </row>
    <row r="143" spans="1:6" x14ac:dyDescent="0.25">
      <c r="A143" s="8">
        <v>140</v>
      </c>
      <c r="B143" s="9"/>
      <c r="C143" s="31"/>
      <c r="D143" s="9"/>
      <c r="E143" s="31"/>
      <c r="F143" s="8" t="str">
        <f t="shared" si="4"/>
        <v/>
      </c>
    </row>
    <row r="144" spans="1:6" x14ac:dyDescent="0.25">
      <c r="A144" s="8">
        <v>141</v>
      </c>
      <c r="B144" s="9"/>
      <c r="C144" s="31"/>
      <c r="D144" s="9"/>
      <c r="E144" s="31"/>
      <c r="F144" s="8" t="str">
        <f t="shared" si="4"/>
        <v/>
      </c>
    </row>
    <row r="145" spans="1:6" x14ac:dyDescent="0.25">
      <c r="A145" s="8">
        <v>142</v>
      </c>
      <c r="B145" s="9"/>
      <c r="C145" s="31"/>
      <c r="D145" s="9"/>
      <c r="E145" s="31"/>
      <c r="F145" s="8" t="str">
        <f t="shared" si="4"/>
        <v/>
      </c>
    </row>
    <row r="146" spans="1:6" x14ac:dyDescent="0.25">
      <c r="A146" s="8">
        <v>143</v>
      </c>
      <c r="B146" s="9"/>
      <c r="C146" s="31"/>
      <c r="D146" s="9"/>
      <c r="E146" s="31"/>
      <c r="F146" s="8" t="str">
        <f t="shared" si="4"/>
        <v/>
      </c>
    </row>
    <row r="147" spans="1:6" x14ac:dyDescent="0.25">
      <c r="A147" s="8">
        <v>144</v>
      </c>
      <c r="B147" s="9"/>
      <c r="C147" s="31"/>
      <c r="D147" s="9"/>
      <c r="E147" s="31"/>
      <c r="F147" s="8" t="str">
        <f t="shared" si="4"/>
        <v/>
      </c>
    </row>
    <row r="148" spans="1:6" x14ac:dyDescent="0.25">
      <c r="A148" s="8">
        <v>145</v>
      </c>
      <c r="B148" s="9"/>
      <c r="C148" s="31"/>
      <c r="D148" s="9"/>
      <c r="E148" s="31"/>
      <c r="F148" s="8" t="str">
        <f t="shared" si="4"/>
        <v/>
      </c>
    </row>
    <row r="149" spans="1:6" x14ac:dyDescent="0.25">
      <c r="A149" s="8">
        <v>146</v>
      </c>
      <c r="B149" s="9"/>
      <c r="C149" s="31"/>
      <c r="D149" s="9"/>
      <c r="E149" s="31"/>
      <c r="F149" s="8" t="str">
        <f t="shared" si="4"/>
        <v/>
      </c>
    </row>
    <row r="150" spans="1:6" x14ac:dyDescent="0.25">
      <c r="A150" s="8">
        <v>147</v>
      </c>
      <c r="B150" s="9"/>
      <c r="C150" s="31"/>
      <c r="D150" s="9"/>
      <c r="E150" s="31"/>
      <c r="F150" s="8" t="str">
        <f t="shared" si="4"/>
        <v/>
      </c>
    </row>
    <row r="151" spans="1:6" x14ac:dyDescent="0.25">
      <c r="A151" s="8">
        <v>148</v>
      </c>
      <c r="B151" s="9"/>
      <c r="C151" s="31"/>
      <c r="D151" s="9"/>
      <c r="E151" s="31"/>
      <c r="F151" s="8" t="str">
        <f t="shared" si="4"/>
        <v/>
      </c>
    </row>
    <row r="152" spans="1:6" x14ac:dyDescent="0.25">
      <c r="A152" s="8">
        <v>149</v>
      </c>
      <c r="B152" s="9"/>
      <c r="C152" s="31"/>
      <c r="D152" s="9"/>
      <c r="E152" s="31"/>
      <c r="F152" s="8" t="str">
        <f t="shared" si="4"/>
        <v/>
      </c>
    </row>
    <row r="153" spans="1:6" x14ac:dyDescent="0.25">
      <c r="A153" s="8">
        <v>150</v>
      </c>
      <c r="B153" s="9"/>
      <c r="C153" s="31"/>
      <c r="D153" s="9"/>
      <c r="E153" s="31"/>
      <c r="F153" s="8" t="str">
        <f t="shared" si="4"/>
        <v/>
      </c>
    </row>
  </sheetData>
  <sheetProtection sheet="1" formatCells="0" formatColumns="0" formatRows="0" sort="0" autoFilter="0"/>
  <autoFilter ref="A3:F153"/>
  <mergeCells count="2">
    <mergeCell ref="A2:F2"/>
    <mergeCell ref="A1:F1"/>
  </mergeCells>
  <conditionalFormatting sqref="F4:F153">
    <cfRule type="expression" dxfId="35" priority="1" stopIfTrue="1">
      <formula>OR($F4="مكتمل",$F4="مسجل")</formula>
    </cfRule>
    <cfRule type="expression" dxfId="34" priority="2" stopIfTrue="1">
      <formula>LEFT($F4,4)="ناقص"</formula>
    </cfRule>
    <cfRule type="expression" dxfId="33" priority="3" stopIfTrue="1">
      <formula>LEN($F4)&gt;0</formula>
    </cfRule>
  </conditionalFormatting>
  <dataValidations count="3">
    <dataValidation type="custom" allowBlank="1" showErrorMessage="1" errorTitle="كود مكرر" error="هذا الكود مستخدم لفراغ آخر. لكل فراغ كود فريد." sqref="B4:B153">
      <formula1>COUNTIF($B$4:$B$153,B4)=1</formula1>
    </dataValidation>
    <dataValidation type="list" errorStyle="warning" allowBlank="1" showErrorMessage="1" errorTitle="قيمة غير موجودة بالقائمة" error="الاسم غير موجود بالقائمة — يمكنك المتابعة باسم مختلف." sqref="C4:C153">
      <formula1>RoomNames</formula1>
    </dataValidation>
    <dataValidation type="list" errorStyle="warning" allowBlank="1" showErrorMessage="1" errorTitle="قيمة غير موجودة بالقائمة" error="الدور غير موجود بالقائمة — يمكنك المتابعة." sqref="D4:D153">
      <formula1>Levels</formula1>
    </dataValidation>
  </dataValidations>
  <pageMargins left="0.4" right="0.4" top="0.5" bottom="0.5"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8F00"/>
    <pageSetUpPr fitToPage="1"/>
  </sheetPr>
  <dimension ref="A1:R303"/>
  <sheetViews>
    <sheetView rightToLeft="1" workbookViewId="0">
      <pane ySplit="3" topLeftCell="A4" activePane="bottomLeft" state="frozen"/>
      <selection pane="bottomLeft"/>
    </sheetView>
  </sheetViews>
  <sheetFormatPr defaultRowHeight="15" x14ac:dyDescent="0.25"/>
  <cols>
    <col min="1" max="1" width="5" style="34" customWidth="1"/>
    <col min="2" max="2" width="12" style="34" customWidth="1"/>
    <col min="3" max="3" width="18" style="34" customWidth="1"/>
    <col min="4" max="4" width="24" style="34" customWidth="1"/>
    <col min="5" max="5" width="20" style="34" customWidth="1"/>
    <col min="6" max="7" width="10" style="34" customWidth="1"/>
    <col min="8" max="8" width="11" style="34" customWidth="1"/>
    <col min="9" max="9" width="13" style="34" customWidth="1"/>
    <col min="10" max="10" width="10" style="34" customWidth="1"/>
    <col min="11" max="12" width="14" style="34" customWidth="1"/>
    <col min="13" max="13" width="8" style="34" customWidth="1"/>
    <col min="14" max="14" width="10" style="34" customWidth="1"/>
    <col min="15" max="15" width="30" style="34" customWidth="1"/>
    <col min="16" max="16" width="24" style="34" customWidth="1"/>
    <col min="17" max="17" width="8" style="34" hidden="1" customWidth="1"/>
    <col min="18" max="18" width="6" style="34" hidden="1" customWidth="1"/>
  </cols>
  <sheetData>
    <row r="1" spans="1:18" ht="30" customHeight="1" x14ac:dyDescent="0.25">
      <c r="A1" s="52" t="s">
        <v>58</v>
      </c>
      <c r="B1" s="51"/>
      <c r="C1" s="51"/>
      <c r="D1" s="51"/>
      <c r="E1" s="51"/>
      <c r="F1" s="51"/>
      <c r="G1" s="51"/>
      <c r="H1" s="51"/>
      <c r="I1" s="51"/>
      <c r="J1" s="51"/>
      <c r="K1" s="51"/>
      <c r="L1" s="51"/>
      <c r="M1" s="51"/>
      <c r="N1" s="51"/>
      <c r="O1" s="51"/>
      <c r="P1" s="51"/>
    </row>
    <row r="2" spans="1:18" ht="24" customHeight="1" x14ac:dyDescent="0.25">
      <c r="A2" s="53" t="s">
        <v>59</v>
      </c>
      <c r="B2" s="54"/>
      <c r="C2" s="54"/>
      <c r="D2" s="54"/>
      <c r="E2" s="54"/>
      <c r="F2" s="54"/>
      <c r="G2" s="54"/>
      <c r="H2" s="54"/>
      <c r="I2" s="54"/>
      <c r="J2" s="55"/>
      <c r="K2" s="10">
        <f ca="1">SUMPRODUCT(SUBTOTAL(109,OFFSET(K$4,ROW(K$4:K$303)-ROW(K$4),0)),--(M$4:M$303="م²"))</f>
        <v>0</v>
      </c>
      <c r="L2" s="30"/>
      <c r="M2" s="30"/>
      <c r="N2" s="30"/>
      <c r="O2" s="30"/>
      <c r="P2" s="10" t="str">
        <f>"غير مكتمل: "&amp;(COUNTIF(P$4:P$303,"?*")-COUNTIF(P$4:P$303,"مكتمل"))</f>
        <v>غير مكتمل: 0</v>
      </c>
    </row>
    <row r="3" spans="1:18" ht="48" customHeight="1" x14ac:dyDescent="0.25">
      <c r="A3" s="32" t="s">
        <v>52</v>
      </c>
      <c r="B3" s="32" t="s">
        <v>60</v>
      </c>
      <c r="C3" s="32" t="s">
        <v>54</v>
      </c>
      <c r="D3" s="32" t="s">
        <v>61</v>
      </c>
      <c r="E3" s="32" t="s">
        <v>62</v>
      </c>
      <c r="F3" s="32" t="s">
        <v>63</v>
      </c>
      <c r="G3" s="32" t="s">
        <v>64</v>
      </c>
      <c r="H3" s="32" t="s">
        <v>65</v>
      </c>
      <c r="I3" s="32" t="s">
        <v>66</v>
      </c>
      <c r="J3" s="32" t="s">
        <v>67</v>
      </c>
      <c r="K3" s="32" t="s">
        <v>68</v>
      </c>
      <c r="L3" s="32" t="s">
        <v>69</v>
      </c>
      <c r="M3" s="32" t="s">
        <v>70</v>
      </c>
      <c r="N3" s="32" t="s">
        <v>71</v>
      </c>
      <c r="O3" s="32" t="s">
        <v>56</v>
      </c>
      <c r="P3" s="32" t="s">
        <v>57</v>
      </c>
      <c r="Q3" s="32" t="s">
        <v>72</v>
      </c>
      <c r="R3" s="32" t="s">
        <v>73</v>
      </c>
    </row>
    <row r="4" spans="1:18" x14ac:dyDescent="0.25">
      <c r="A4" s="8">
        <v>1</v>
      </c>
      <c r="B4" s="9"/>
      <c r="C4" s="33" t="str">
        <f t="shared" ref="C4:C67" si="0">IF(B4="","",IFERROR(INDEX(SpaceNames,MATCH(B4,SpaceCodes,0))&amp;"",""))</f>
        <v/>
      </c>
      <c r="D4" s="31"/>
      <c r="E4" s="31"/>
      <c r="F4" s="11"/>
      <c r="G4" s="11"/>
      <c r="H4" s="9"/>
      <c r="I4" s="11"/>
      <c r="J4" s="9"/>
      <c r="K4" s="12" t="str">
        <f t="shared" ref="K4:K67" si="1">IF(Q4="","",IF(OR(J4="لا",R4=1),0,IF(I4&lt;&gt;"",I4*IF(H4="",1,H4),IF(AND(F4&lt;&gt;"",G4&lt;&gt;""),F4*G4*IF(H4="",1,H4),""))))</f>
        <v/>
      </c>
      <c r="L4" s="12" t="str">
        <f t="shared" ref="L4:L67" si="2">IF(OR(Q4="",B4="",D4=""),"",SUMIFS(FL_Net,FL_Space,B4,FL_Mat,D4))</f>
        <v/>
      </c>
      <c r="M4" s="8" t="str">
        <f t="shared" ref="M4:M67" si="3">IF(D4="","",IFERROR(IF(INDEX(FloorUnit,MATCH(D4,FloorMat,0))="","م²",INDEX(FloorUnit,MATCH(D4,FloorMat,0))),"م²"))</f>
        <v/>
      </c>
      <c r="N4" s="9"/>
      <c r="O4" s="31"/>
      <c r="P4" s="8" t="str">
        <f t="shared" ref="P4:P67" si="4">IF(Q4="","",IF(R4=1,"تكرار — غير محتسب",IF(B4="","ناقص بيانات: كود الفراغ",IF(COUNTIF(SpaceCodes,B4)=0,"ناقص بيانات: الفراغ غير مسجل",IF(D4="","ناقص بيانات: الخامة",IF(AND(I4="",OR(F4="",G4="")),"ناقص قياس",IF(J4="لا","مستبعد من الحصر",IF(N4="نعم","يحتاج مراجعة","مكتمل"))))))))</f>
        <v/>
      </c>
      <c r="Q4" s="8" t="str">
        <f t="shared" ref="Q4:Q67" si="5">IF(COUNTA(B4,D4:I4)=0,"",B4&amp;"|"&amp;D4&amp;"|"&amp;E4&amp;"|"&amp;F4&amp;"|"&amp;G4&amp;"|"&amp;I4)</f>
        <v/>
      </c>
      <c r="R4" s="8">
        <f>IF(Q4="",0,IF(SUMPRODUCT(--(Q$4:Q4=Q4))&gt;1,1,0))</f>
        <v>0</v>
      </c>
    </row>
    <row r="5" spans="1:18" x14ac:dyDescent="0.25">
      <c r="A5" s="8">
        <v>2</v>
      </c>
      <c r="B5" s="9"/>
      <c r="C5" s="33" t="str">
        <f t="shared" si="0"/>
        <v/>
      </c>
      <c r="D5" s="31"/>
      <c r="E5" s="31"/>
      <c r="F5" s="11"/>
      <c r="G5" s="11"/>
      <c r="H5" s="9"/>
      <c r="I5" s="11"/>
      <c r="J5" s="9"/>
      <c r="K5" s="12" t="str">
        <f t="shared" si="1"/>
        <v/>
      </c>
      <c r="L5" s="12" t="str">
        <f t="shared" si="2"/>
        <v/>
      </c>
      <c r="M5" s="8" t="str">
        <f t="shared" si="3"/>
        <v/>
      </c>
      <c r="N5" s="9"/>
      <c r="O5" s="31"/>
      <c r="P5" s="8" t="str">
        <f t="shared" si="4"/>
        <v/>
      </c>
      <c r="Q5" s="8" t="str">
        <f t="shared" si="5"/>
        <v/>
      </c>
      <c r="R5" s="8">
        <f>IF(Q5="",0,IF(SUMPRODUCT(--(Q$4:Q5=Q5))&gt;1,1,0))</f>
        <v>0</v>
      </c>
    </row>
    <row r="6" spans="1:18" x14ac:dyDescent="0.25">
      <c r="A6" s="8">
        <v>3</v>
      </c>
      <c r="B6" s="9"/>
      <c r="C6" s="33" t="str">
        <f t="shared" si="0"/>
        <v/>
      </c>
      <c r="D6" s="31"/>
      <c r="E6" s="31"/>
      <c r="F6" s="11"/>
      <c r="G6" s="11"/>
      <c r="H6" s="9"/>
      <c r="I6" s="11"/>
      <c r="J6" s="9"/>
      <c r="K6" s="12" t="str">
        <f t="shared" si="1"/>
        <v/>
      </c>
      <c r="L6" s="12" t="str">
        <f t="shared" si="2"/>
        <v/>
      </c>
      <c r="M6" s="8" t="str">
        <f t="shared" si="3"/>
        <v/>
      </c>
      <c r="N6" s="9"/>
      <c r="O6" s="31"/>
      <c r="P6" s="8" t="str">
        <f t="shared" si="4"/>
        <v/>
      </c>
      <c r="Q6" s="8" t="str">
        <f t="shared" si="5"/>
        <v/>
      </c>
      <c r="R6" s="8">
        <f>IF(Q6="",0,IF(SUMPRODUCT(--(Q$4:Q6=Q6))&gt;1,1,0))</f>
        <v>0</v>
      </c>
    </row>
    <row r="7" spans="1:18" x14ac:dyDescent="0.25">
      <c r="A7" s="8">
        <v>4</v>
      </c>
      <c r="B7" s="9"/>
      <c r="C7" s="33" t="str">
        <f t="shared" si="0"/>
        <v/>
      </c>
      <c r="D7" s="31"/>
      <c r="E7" s="31"/>
      <c r="F7" s="11"/>
      <c r="G7" s="11"/>
      <c r="H7" s="9"/>
      <c r="I7" s="11"/>
      <c r="J7" s="9"/>
      <c r="K7" s="12" t="str">
        <f t="shared" si="1"/>
        <v/>
      </c>
      <c r="L7" s="12" t="str">
        <f t="shared" si="2"/>
        <v/>
      </c>
      <c r="M7" s="8" t="str">
        <f t="shared" si="3"/>
        <v/>
      </c>
      <c r="N7" s="9"/>
      <c r="O7" s="31"/>
      <c r="P7" s="8" t="str">
        <f t="shared" si="4"/>
        <v/>
      </c>
      <c r="Q7" s="8" t="str">
        <f t="shared" si="5"/>
        <v/>
      </c>
      <c r="R7" s="8">
        <f>IF(Q7="",0,IF(SUMPRODUCT(--(Q$4:Q7=Q7))&gt;1,1,0))</f>
        <v>0</v>
      </c>
    </row>
    <row r="8" spans="1:18" x14ac:dyDescent="0.25">
      <c r="A8" s="8">
        <v>5</v>
      </c>
      <c r="B8" s="9"/>
      <c r="C8" s="33" t="str">
        <f t="shared" si="0"/>
        <v/>
      </c>
      <c r="D8" s="31"/>
      <c r="E8" s="31"/>
      <c r="F8" s="11"/>
      <c r="G8" s="11"/>
      <c r="H8" s="9"/>
      <c r="I8" s="11"/>
      <c r="J8" s="9"/>
      <c r="K8" s="12" t="str">
        <f t="shared" si="1"/>
        <v/>
      </c>
      <c r="L8" s="12" t="str">
        <f t="shared" si="2"/>
        <v/>
      </c>
      <c r="M8" s="8" t="str">
        <f t="shared" si="3"/>
        <v/>
      </c>
      <c r="N8" s="9"/>
      <c r="O8" s="31"/>
      <c r="P8" s="8" t="str">
        <f t="shared" si="4"/>
        <v/>
      </c>
      <c r="Q8" s="8" t="str">
        <f t="shared" si="5"/>
        <v/>
      </c>
      <c r="R8" s="8">
        <f>IF(Q8="",0,IF(SUMPRODUCT(--(Q$4:Q8=Q8))&gt;1,1,0))</f>
        <v>0</v>
      </c>
    </row>
    <row r="9" spans="1:18" x14ac:dyDescent="0.25">
      <c r="A9" s="8">
        <v>6</v>
      </c>
      <c r="B9" s="9"/>
      <c r="C9" s="33" t="str">
        <f t="shared" si="0"/>
        <v/>
      </c>
      <c r="D9" s="31"/>
      <c r="E9" s="31"/>
      <c r="F9" s="11"/>
      <c r="G9" s="11"/>
      <c r="H9" s="9"/>
      <c r="I9" s="11"/>
      <c r="J9" s="9"/>
      <c r="K9" s="12" t="str">
        <f t="shared" si="1"/>
        <v/>
      </c>
      <c r="L9" s="12" t="str">
        <f t="shared" si="2"/>
        <v/>
      </c>
      <c r="M9" s="8" t="str">
        <f t="shared" si="3"/>
        <v/>
      </c>
      <c r="N9" s="9"/>
      <c r="O9" s="31"/>
      <c r="P9" s="8" t="str">
        <f t="shared" si="4"/>
        <v/>
      </c>
      <c r="Q9" s="8" t="str">
        <f t="shared" si="5"/>
        <v/>
      </c>
      <c r="R9" s="8">
        <f>IF(Q9="",0,IF(SUMPRODUCT(--(Q$4:Q9=Q9))&gt;1,1,0))</f>
        <v>0</v>
      </c>
    </row>
    <row r="10" spans="1:18" x14ac:dyDescent="0.25">
      <c r="A10" s="8">
        <v>7</v>
      </c>
      <c r="B10" s="9"/>
      <c r="C10" s="33" t="str">
        <f t="shared" si="0"/>
        <v/>
      </c>
      <c r="D10" s="31"/>
      <c r="E10" s="31"/>
      <c r="F10" s="11"/>
      <c r="G10" s="11"/>
      <c r="H10" s="9"/>
      <c r="I10" s="11"/>
      <c r="J10" s="9"/>
      <c r="K10" s="12" t="str">
        <f t="shared" si="1"/>
        <v/>
      </c>
      <c r="L10" s="12" t="str">
        <f t="shared" si="2"/>
        <v/>
      </c>
      <c r="M10" s="8" t="str">
        <f t="shared" si="3"/>
        <v/>
      </c>
      <c r="N10" s="9"/>
      <c r="O10" s="31"/>
      <c r="P10" s="8" t="str">
        <f t="shared" si="4"/>
        <v/>
      </c>
      <c r="Q10" s="8" t="str">
        <f t="shared" si="5"/>
        <v/>
      </c>
      <c r="R10" s="8">
        <f>IF(Q10="",0,IF(SUMPRODUCT(--(Q$4:Q10=Q10))&gt;1,1,0))</f>
        <v>0</v>
      </c>
    </row>
    <row r="11" spans="1:18" x14ac:dyDescent="0.25">
      <c r="A11" s="8">
        <v>8</v>
      </c>
      <c r="B11" s="9"/>
      <c r="C11" s="33" t="str">
        <f t="shared" si="0"/>
        <v/>
      </c>
      <c r="D11" s="31"/>
      <c r="E11" s="31"/>
      <c r="F11" s="11"/>
      <c r="G11" s="11"/>
      <c r="H11" s="9"/>
      <c r="I11" s="11"/>
      <c r="J11" s="9"/>
      <c r="K11" s="12" t="str">
        <f t="shared" si="1"/>
        <v/>
      </c>
      <c r="L11" s="12" t="str">
        <f t="shared" si="2"/>
        <v/>
      </c>
      <c r="M11" s="8" t="str">
        <f t="shared" si="3"/>
        <v/>
      </c>
      <c r="N11" s="9"/>
      <c r="O11" s="31"/>
      <c r="P11" s="8" t="str">
        <f t="shared" si="4"/>
        <v/>
      </c>
      <c r="Q11" s="8" t="str">
        <f t="shared" si="5"/>
        <v/>
      </c>
      <c r="R11" s="8">
        <f>IF(Q11="",0,IF(SUMPRODUCT(--(Q$4:Q11=Q11))&gt;1,1,0))</f>
        <v>0</v>
      </c>
    </row>
    <row r="12" spans="1:18" x14ac:dyDescent="0.25">
      <c r="A12" s="8">
        <v>9</v>
      </c>
      <c r="B12" s="9"/>
      <c r="C12" s="33" t="str">
        <f t="shared" si="0"/>
        <v/>
      </c>
      <c r="D12" s="31"/>
      <c r="E12" s="31"/>
      <c r="F12" s="11"/>
      <c r="G12" s="11"/>
      <c r="H12" s="9"/>
      <c r="I12" s="11"/>
      <c r="J12" s="9"/>
      <c r="K12" s="12" t="str">
        <f t="shared" si="1"/>
        <v/>
      </c>
      <c r="L12" s="12" t="str">
        <f t="shared" si="2"/>
        <v/>
      </c>
      <c r="M12" s="8" t="str">
        <f t="shared" si="3"/>
        <v/>
      </c>
      <c r="N12" s="9"/>
      <c r="O12" s="31"/>
      <c r="P12" s="8" t="str">
        <f t="shared" si="4"/>
        <v/>
      </c>
      <c r="Q12" s="8" t="str">
        <f t="shared" si="5"/>
        <v/>
      </c>
      <c r="R12" s="8">
        <f>IF(Q12="",0,IF(SUMPRODUCT(--(Q$4:Q12=Q12))&gt;1,1,0))</f>
        <v>0</v>
      </c>
    </row>
    <row r="13" spans="1:18" x14ac:dyDescent="0.25">
      <c r="A13" s="8">
        <v>10</v>
      </c>
      <c r="B13" s="9"/>
      <c r="C13" s="33" t="str">
        <f t="shared" si="0"/>
        <v/>
      </c>
      <c r="D13" s="31"/>
      <c r="E13" s="31"/>
      <c r="F13" s="11"/>
      <c r="G13" s="11"/>
      <c r="H13" s="9"/>
      <c r="I13" s="11"/>
      <c r="J13" s="9"/>
      <c r="K13" s="12" t="str">
        <f t="shared" si="1"/>
        <v/>
      </c>
      <c r="L13" s="12" t="str">
        <f t="shared" si="2"/>
        <v/>
      </c>
      <c r="M13" s="8" t="str">
        <f t="shared" si="3"/>
        <v/>
      </c>
      <c r="N13" s="9"/>
      <c r="O13" s="31"/>
      <c r="P13" s="8" t="str">
        <f t="shared" si="4"/>
        <v/>
      </c>
      <c r="Q13" s="8" t="str">
        <f t="shared" si="5"/>
        <v/>
      </c>
      <c r="R13" s="8">
        <f>IF(Q13="",0,IF(SUMPRODUCT(--(Q$4:Q13=Q13))&gt;1,1,0))</f>
        <v>0</v>
      </c>
    </row>
    <row r="14" spans="1:18" x14ac:dyDescent="0.25">
      <c r="A14" s="8">
        <v>11</v>
      </c>
      <c r="B14" s="9"/>
      <c r="C14" s="33" t="str">
        <f t="shared" si="0"/>
        <v/>
      </c>
      <c r="D14" s="31"/>
      <c r="E14" s="31"/>
      <c r="F14" s="11"/>
      <c r="G14" s="11"/>
      <c r="H14" s="9"/>
      <c r="I14" s="11"/>
      <c r="J14" s="9"/>
      <c r="K14" s="12" t="str">
        <f t="shared" si="1"/>
        <v/>
      </c>
      <c r="L14" s="12" t="str">
        <f t="shared" si="2"/>
        <v/>
      </c>
      <c r="M14" s="8" t="str">
        <f t="shared" si="3"/>
        <v/>
      </c>
      <c r="N14" s="9"/>
      <c r="O14" s="31"/>
      <c r="P14" s="8" t="str">
        <f t="shared" si="4"/>
        <v/>
      </c>
      <c r="Q14" s="8" t="str">
        <f t="shared" si="5"/>
        <v/>
      </c>
      <c r="R14" s="8">
        <f>IF(Q14="",0,IF(SUMPRODUCT(--(Q$4:Q14=Q14))&gt;1,1,0))</f>
        <v>0</v>
      </c>
    </row>
    <row r="15" spans="1:18" x14ac:dyDescent="0.25">
      <c r="A15" s="8">
        <v>12</v>
      </c>
      <c r="B15" s="9"/>
      <c r="C15" s="33" t="str">
        <f t="shared" si="0"/>
        <v/>
      </c>
      <c r="D15" s="31"/>
      <c r="E15" s="31"/>
      <c r="F15" s="11"/>
      <c r="G15" s="11"/>
      <c r="H15" s="9"/>
      <c r="I15" s="11"/>
      <c r="J15" s="9"/>
      <c r="K15" s="12" t="str">
        <f t="shared" si="1"/>
        <v/>
      </c>
      <c r="L15" s="12" t="str">
        <f t="shared" si="2"/>
        <v/>
      </c>
      <c r="M15" s="8" t="str">
        <f t="shared" si="3"/>
        <v/>
      </c>
      <c r="N15" s="9"/>
      <c r="O15" s="31"/>
      <c r="P15" s="8" t="str">
        <f t="shared" si="4"/>
        <v/>
      </c>
      <c r="Q15" s="8" t="str">
        <f t="shared" si="5"/>
        <v/>
      </c>
      <c r="R15" s="8">
        <f>IF(Q15="",0,IF(SUMPRODUCT(--(Q$4:Q15=Q15))&gt;1,1,0))</f>
        <v>0</v>
      </c>
    </row>
    <row r="16" spans="1:18" x14ac:dyDescent="0.25">
      <c r="A16" s="8">
        <v>13</v>
      </c>
      <c r="B16" s="9"/>
      <c r="C16" s="33" t="str">
        <f t="shared" si="0"/>
        <v/>
      </c>
      <c r="D16" s="31"/>
      <c r="E16" s="31"/>
      <c r="F16" s="11"/>
      <c r="G16" s="11"/>
      <c r="H16" s="9"/>
      <c r="I16" s="11"/>
      <c r="J16" s="9"/>
      <c r="K16" s="12" t="str">
        <f t="shared" si="1"/>
        <v/>
      </c>
      <c r="L16" s="12" t="str">
        <f t="shared" si="2"/>
        <v/>
      </c>
      <c r="M16" s="8" t="str">
        <f t="shared" si="3"/>
        <v/>
      </c>
      <c r="N16" s="9"/>
      <c r="O16" s="31"/>
      <c r="P16" s="8" t="str">
        <f t="shared" si="4"/>
        <v/>
      </c>
      <c r="Q16" s="8" t="str">
        <f t="shared" si="5"/>
        <v/>
      </c>
      <c r="R16" s="8">
        <f>IF(Q16="",0,IF(SUMPRODUCT(--(Q$4:Q16=Q16))&gt;1,1,0))</f>
        <v>0</v>
      </c>
    </row>
    <row r="17" spans="1:18" x14ac:dyDescent="0.25">
      <c r="A17" s="8">
        <v>14</v>
      </c>
      <c r="B17" s="9"/>
      <c r="C17" s="33" t="str">
        <f t="shared" si="0"/>
        <v/>
      </c>
      <c r="D17" s="31"/>
      <c r="E17" s="31"/>
      <c r="F17" s="11"/>
      <c r="G17" s="11"/>
      <c r="H17" s="9"/>
      <c r="I17" s="11"/>
      <c r="J17" s="9"/>
      <c r="K17" s="12" t="str">
        <f t="shared" si="1"/>
        <v/>
      </c>
      <c r="L17" s="12" t="str">
        <f t="shared" si="2"/>
        <v/>
      </c>
      <c r="M17" s="8" t="str">
        <f t="shared" si="3"/>
        <v/>
      </c>
      <c r="N17" s="9"/>
      <c r="O17" s="31"/>
      <c r="P17" s="8" t="str">
        <f t="shared" si="4"/>
        <v/>
      </c>
      <c r="Q17" s="8" t="str">
        <f t="shared" si="5"/>
        <v/>
      </c>
      <c r="R17" s="8">
        <f>IF(Q17="",0,IF(SUMPRODUCT(--(Q$4:Q17=Q17))&gt;1,1,0))</f>
        <v>0</v>
      </c>
    </row>
    <row r="18" spans="1:18" x14ac:dyDescent="0.25">
      <c r="A18" s="8">
        <v>15</v>
      </c>
      <c r="B18" s="9"/>
      <c r="C18" s="33" t="str">
        <f t="shared" si="0"/>
        <v/>
      </c>
      <c r="D18" s="31"/>
      <c r="E18" s="31"/>
      <c r="F18" s="11"/>
      <c r="G18" s="11"/>
      <c r="H18" s="9"/>
      <c r="I18" s="11"/>
      <c r="J18" s="9"/>
      <c r="K18" s="12" t="str">
        <f t="shared" si="1"/>
        <v/>
      </c>
      <c r="L18" s="12" t="str">
        <f t="shared" si="2"/>
        <v/>
      </c>
      <c r="M18" s="8" t="str">
        <f t="shared" si="3"/>
        <v/>
      </c>
      <c r="N18" s="9"/>
      <c r="O18" s="31"/>
      <c r="P18" s="8" t="str">
        <f t="shared" si="4"/>
        <v/>
      </c>
      <c r="Q18" s="8" t="str">
        <f t="shared" si="5"/>
        <v/>
      </c>
      <c r="R18" s="8">
        <f>IF(Q18="",0,IF(SUMPRODUCT(--(Q$4:Q18=Q18))&gt;1,1,0))</f>
        <v>0</v>
      </c>
    </row>
    <row r="19" spans="1:18" x14ac:dyDescent="0.25">
      <c r="A19" s="8">
        <v>16</v>
      </c>
      <c r="B19" s="9"/>
      <c r="C19" s="33" t="str">
        <f t="shared" si="0"/>
        <v/>
      </c>
      <c r="D19" s="31"/>
      <c r="E19" s="31"/>
      <c r="F19" s="11"/>
      <c r="G19" s="11"/>
      <c r="H19" s="9"/>
      <c r="I19" s="11"/>
      <c r="J19" s="9"/>
      <c r="K19" s="12" t="str">
        <f t="shared" si="1"/>
        <v/>
      </c>
      <c r="L19" s="12" t="str">
        <f t="shared" si="2"/>
        <v/>
      </c>
      <c r="M19" s="8" t="str">
        <f t="shared" si="3"/>
        <v/>
      </c>
      <c r="N19" s="9"/>
      <c r="O19" s="31"/>
      <c r="P19" s="8" t="str">
        <f t="shared" si="4"/>
        <v/>
      </c>
      <c r="Q19" s="8" t="str">
        <f t="shared" si="5"/>
        <v/>
      </c>
      <c r="R19" s="8">
        <f>IF(Q19="",0,IF(SUMPRODUCT(--(Q$4:Q19=Q19))&gt;1,1,0))</f>
        <v>0</v>
      </c>
    </row>
    <row r="20" spans="1:18" x14ac:dyDescent="0.25">
      <c r="A20" s="8">
        <v>17</v>
      </c>
      <c r="B20" s="9"/>
      <c r="C20" s="33" t="str">
        <f t="shared" si="0"/>
        <v/>
      </c>
      <c r="D20" s="31"/>
      <c r="E20" s="31"/>
      <c r="F20" s="11"/>
      <c r="G20" s="11"/>
      <c r="H20" s="9"/>
      <c r="I20" s="11"/>
      <c r="J20" s="9"/>
      <c r="K20" s="12" t="str">
        <f t="shared" si="1"/>
        <v/>
      </c>
      <c r="L20" s="12" t="str">
        <f t="shared" si="2"/>
        <v/>
      </c>
      <c r="M20" s="8" t="str">
        <f t="shared" si="3"/>
        <v/>
      </c>
      <c r="N20" s="9"/>
      <c r="O20" s="31"/>
      <c r="P20" s="8" t="str">
        <f t="shared" si="4"/>
        <v/>
      </c>
      <c r="Q20" s="8" t="str">
        <f t="shared" si="5"/>
        <v/>
      </c>
      <c r="R20" s="8">
        <f>IF(Q20="",0,IF(SUMPRODUCT(--(Q$4:Q20=Q20))&gt;1,1,0))</f>
        <v>0</v>
      </c>
    </row>
    <row r="21" spans="1:18" x14ac:dyDescent="0.25">
      <c r="A21" s="8">
        <v>18</v>
      </c>
      <c r="B21" s="9"/>
      <c r="C21" s="33" t="str">
        <f t="shared" si="0"/>
        <v/>
      </c>
      <c r="D21" s="31"/>
      <c r="E21" s="31"/>
      <c r="F21" s="11"/>
      <c r="G21" s="11"/>
      <c r="H21" s="9"/>
      <c r="I21" s="11"/>
      <c r="J21" s="9"/>
      <c r="K21" s="12" t="str">
        <f t="shared" si="1"/>
        <v/>
      </c>
      <c r="L21" s="12" t="str">
        <f t="shared" si="2"/>
        <v/>
      </c>
      <c r="M21" s="8" t="str">
        <f t="shared" si="3"/>
        <v/>
      </c>
      <c r="N21" s="9"/>
      <c r="O21" s="31"/>
      <c r="P21" s="8" t="str">
        <f t="shared" si="4"/>
        <v/>
      </c>
      <c r="Q21" s="8" t="str">
        <f t="shared" si="5"/>
        <v/>
      </c>
      <c r="R21" s="8">
        <f>IF(Q21="",0,IF(SUMPRODUCT(--(Q$4:Q21=Q21))&gt;1,1,0))</f>
        <v>0</v>
      </c>
    </row>
    <row r="22" spans="1:18" x14ac:dyDescent="0.25">
      <c r="A22" s="8">
        <v>19</v>
      </c>
      <c r="B22" s="9"/>
      <c r="C22" s="33" t="str">
        <f t="shared" si="0"/>
        <v/>
      </c>
      <c r="D22" s="31"/>
      <c r="E22" s="31"/>
      <c r="F22" s="11"/>
      <c r="G22" s="11"/>
      <c r="H22" s="9"/>
      <c r="I22" s="11"/>
      <c r="J22" s="9"/>
      <c r="K22" s="12" t="str">
        <f t="shared" si="1"/>
        <v/>
      </c>
      <c r="L22" s="12" t="str">
        <f t="shared" si="2"/>
        <v/>
      </c>
      <c r="M22" s="8" t="str">
        <f t="shared" si="3"/>
        <v/>
      </c>
      <c r="N22" s="9"/>
      <c r="O22" s="31"/>
      <c r="P22" s="8" t="str">
        <f t="shared" si="4"/>
        <v/>
      </c>
      <c r="Q22" s="8" t="str">
        <f t="shared" si="5"/>
        <v/>
      </c>
      <c r="R22" s="8">
        <f>IF(Q22="",0,IF(SUMPRODUCT(--(Q$4:Q22=Q22))&gt;1,1,0))</f>
        <v>0</v>
      </c>
    </row>
    <row r="23" spans="1:18" x14ac:dyDescent="0.25">
      <c r="A23" s="8">
        <v>20</v>
      </c>
      <c r="B23" s="9"/>
      <c r="C23" s="33" t="str">
        <f t="shared" si="0"/>
        <v/>
      </c>
      <c r="D23" s="31"/>
      <c r="E23" s="31"/>
      <c r="F23" s="11"/>
      <c r="G23" s="11"/>
      <c r="H23" s="9"/>
      <c r="I23" s="11"/>
      <c r="J23" s="9"/>
      <c r="K23" s="12" t="str">
        <f t="shared" si="1"/>
        <v/>
      </c>
      <c r="L23" s="12" t="str">
        <f t="shared" si="2"/>
        <v/>
      </c>
      <c r="M23" s="8" t="str">
        <f t="shared" si="3"/>
        <v/>
      </c>
      <c r="N23" s="9"/>
      <c r="O23" s="31"/>
      <c r="P23" s="8" t="str">
        <f t="shared" si="4"/>
        <v/>
      </c>
      <c r="Q23" s="8" t="str">
        <f t="shared" si="5"/>
        <v/>
      </c>
      <c r="R23" s="8">
        <f>IF(Q23="",0,IF(SUMPRODUCT(--(Q$4:Q23=Q23))&gt;1,1,0))</f>
        <v>0</v>
      </c>
    </row>
    <row r="24" spans="1:18" x14ac:dyDescent="0.25">
      <c r="A24" s="8">
        <v>21</v>
      </c>
      <c r="B24" s="9"/>
      <c r="C24" s="33" t="str">
        <f t="shared" si="0"/>
        <v/>
      </c>
      <c r="D24" s="31"/>
      <c r="E24" s="31"/>
      <c r="F24" s="11"/>
      <c r="G24" s="11"/>
      <c r="H24" s="9"/>
      <c r="I24" s="11"/>
      <c r="J24" s="9"/>
      <c r="K24" s="12" t="str">
        <f t="shared" si="1"/>
        <v/>
      </c>
      <c r="L24" s="12" t="str">
        <f t="shared" si="2"/>
        <v/>
      </c>
      <c r="M24" s="8" t="str">
        <f t="shared" si="3"/>
        <v/>
      </c>
      <c r="N24" s="9"/>
      <c r="O24" s="31"/>
      <c r="P24" s="8" t="str">
        <f t="shared" si="4"/>
        <v/>
      </c>
      <c r="Q24" s="8" t="str">
        <f t="shared" si="5"/>
        <v/>
      </c>
      <c r="R24" s="8">
        <f>IF(Q24="",0,IF(SUMPRODUCT(--(Q$4:Q24=Q24))&gt;1,1,0))</f>
        <v>0</v>
      </c>
    </row>
    <row r="25" spans="1:18" x14ac:dyDescent="0.25">
      <c r="A25" s="8">
        <v>22</v>
      </c>
      <c r="B25" s="9"/>
      <c r="C25" s="33" t="str">
        <f t="shared" si="0"/>
        <v/>
      </c>
      <c r="D25" s="31"/>
      <c r="E25" s="31"/>
      <c r="F25" s="11"/>
      <c r="G25" s="11"/>
      <c r="H25" s="9"/>
      <c r="I25" s="11"/>
      <c r="J25" s="9"/>
      <c r="K25" s="12" t="str">
        <f t="shared" si="1"/>
        <v/>
      </c>
      <c r="L25" s="12" t="str">
        <f t="shared" si="2"/>
        <v/>
      </c>
      <c r="M25" s="8" t="str">
        <f t="shared" si="3"/>
        <v/>
      </c>
      <c r="N25" s="9"/>
      <c r="O25" s="31"/>
      <c r="P25" s="8" t="str">
        <f t="shared" si="4"/>
        <v/>
      </c>
      <c r="Q25" s="8" t="str">
        <f t="shared" si="5"/>
        <v/>
      </c>
      <c r="R25" s="8">
        <f>IF(Q25="",0,IF(SUMPRODUCT(--(Q$4:Q25=Q25))&gt;1,1,0))</f>
        <v>0</v>
      </c>
    </row>
    <row r="26" spans="1:18" x14ac:dyDescent="0.25">
      <c r="A26" s="8">
        <v>23</v>
      </c>
      <c r="B26" s="9"/>
      <c r="C26" s="33" t="str">
        <f t="shared" si="0"/>
        <v/>
      </c>
      <c r="D26" s="31"/>
      <c r="E26" s="31"/>
      <c r="F26" s="11"/>
      <c r="G26" s="11"/>
      <c r="H26" s="9"/>
      <c r="I26" s="11"/>
      <c r="J26" s="9"/>
      <c r="K26" s="12" t="str">
        <f t="shared" si="1"/>
        <v/>
      </c>
      <c r="L26" s="12" t="str">
        <f t="shared" si="2"/>
        <v/>
      </c>
      <c r="M26" s="8" t="str">
        <f t="shared" si="3"/>
        <v/>
      </c>
      <c r="N26" s="9"/>
      <c r="O26" s="31"/>
      <c r="P26" s="8" t="str">
        <f t="shared" si="4"/>
        <v/>
      </c>
      <c r="Q26" s="8" t="str">
        <f t="shared" si="5"/>
        <v/>
      </c>
      <c r="R26" s="8">
        <f>IF(Q26="",0,IF(SUMPRODUCT(--(Q$4:Q26=Q26))&gt;1,1,0))</f>
        <v>0</v>
      </c>
    </row>
    <row r="27" spans="1:18" x14ac:dyDescent="0.25">
      <c r="A27" s="8">
        <v>24</v>
      </c>
      <c r="B27" s="9"/>
      <c r="C27" s="33" t="str">
        <f t="shared" si="0"/>
        <v/>
      </c>
      <c r="D27" s="31"/>
      <c r="E27" s="31"/>
      <c r="F27" s="11"/>
      <c r="G27" s="11"/>
      <c r="H27" s="9"/>
      <c r="I27" s="11"/>
      <c r="J27" s="9"/>
      <c r="K27" s="12" t="str">
        <f t="shared" si="1"/>
        <v/>
      </c>
      <c r="L27" s="12" t="str">
        <f t="shared" si="2"/>
        <v/>
      </c>
      <c r="M27" s="8" t="str">
        <f t="shared" si="3"/>
        <v/>
      </c>
      <c r="N27" s="9"/>
      <c r="O27" s="31"/>
      <c r="P27" s="8" t="str">
        <f t="shared" si="4"/>
        <v/>
      </c>
      <c r="Q27" s="8" t="str">
        <f t="shared" si="5"/>
        <v/>
      </c>
      <c r="R27" s="8">
        <f>IF(Q27="",0,IF(SUMPRODUCT(--(Q$4:Q27=Q27))&gt;1,1,0))</f>
        <v>0</v>
      </c>
    </row>
    <row r="28" spans="1:18" x14ac:dyDescent="0.25">
      <c r="A28" s="8">
        <v>25</v>
      </c>
      <c r="B28" s="9"/>
      <c r="C28" s="33" t="str">
        <f t="shared" si="0"/>
        <v/>
      </c>
      <c r="D28" s="31"/>
      <c r="E28" s="31"/>
      <c r="F28" s="11"/>
      <c r="G28" s="11"/>
      <c r="H28" s="9"/>
      <c r="I28" s="11"/>
      <c r="J28" s="9"/>
      <c r="K28" s="12" t="str">
        <f t="shared" si="1"/>
        <v/>
      </c>
      <c r="L28" s="12" t="str">
        <f t="shared" si="2"/>
        <v/>
      </c>
      <c r="M28" s="8" t="str">
        <f t="shared" si="3"/>
        <v/>
      </c>
      <c r="N28" s="9"/>
      <c r="O28" s="31"/>
      <c r="P28" s="8" t="str">
        <f t="shared" si="4"/>
        <v/>
      </c>
      <c r="Q28" s="8" t="str">
        <f t="shared" si="5"/>
        <v/>
      </c>
      <c r="R28" s="8">
        <f>IF(Q28="",0,IF(SUMPRODUCT(--(Q$4:Q28=Q28))&gt;1,1,0))</f>
        <v>0</v>
      </c>
    </row>
    <row r="29" spans="1:18" x14ac:dyDescent="0.25">
      <c r="A29" s="8">
        <v>26</v>
      </c>
      <c r="B29" s="9"/>
      <c r="C29" s="33" t="str">
        <f t="shared" si="0"/>
        <v/>
      </c>
      <c r="D29" s="31"/>
      <c r="E29" s="31"/>
      <c r="F29" s="11"/>
      <c r="G29" s="11"/>
      <c r="H29" s="9"/>
      <c r="I29" s="11"/>
      <c r="J29" s="9"/>
      <c r="K29" s="12" t="str">
        <f t="shared" si="1"/>
        <v/>
      </c>
      <c r="L29" s="12" t="str">
        <f t="shared" si="2"/>
        <v/>
      </c>
      <c r="M29" s="8" t="str">
        <f t="shared" si="3"/>
        <v/>
      </c>
      <c r="N29" s="9"/>
      <c r="O29" s="31"/>
      <c r="P29" s="8" t="str">
        <f t="shared" si="4"/>
        <v/>
      </c>
      <c r="Q29" s="8" t="str">
        <f t="shared" si="5"/>
        <v/>
      </c>
      <c r="R29" s="8">
        <f>IF(Q29="",0,IF(SUMPRODUCT(--(Q$4:Q29=Q29))&gt;1,1,0))</f>
        <v>0</v>
      </c>
    </row>
    <row r="30" spans="1:18" x14ac:dyDescent="0.25">
      <c r="A30" s="8">
        <v>27</v>
      </c>
      <c r="B30" s="9"/>
      <c r="C30" s="33" t="str">
        <f t="shared" si="0"/>
        <v/>
      </c>
      <c r="D30" s="31"/>
      <c r="E30" s="31"/>
      <c r="F30" s="11"/>
      <c r="G30" s="11"/>
      <c r="H30" s="9"/>
      <c r="I30" s="11"/>
      <c r="J30" s="9"/>
      <c r="K30" s="12" t="str">
        <f t="shared" si="1"/>
        <v/>
      </c>
      <c r="L30" s="12" t="str">
        <f t="shared" si="2"/>
        <v/>
      </c>
      <c r="M30" s="8" t="str">
        <f t="shared" si="3"/>
        <v/>
      </c>
      <c r="N30" s="9"/>
      <c r="O30" s="31"/>
      <c r="P30" s="8" t="str">
        <f t="shared" si="4"/>
        <v/>
      </c>
      <c r="Q30" s="8" t="str">
        <f t="shared" si="5"/>
        <v/>
      </c>
      <c r="R30" s="8">
        <f>IF(Q30="",0,IF(SUMPRODUCT(--(Q$4:Q30=Q30))&gt;1,1,0))</f>
        <v>0</v>
      </c>
    </row>
    <row r="31" spans="1:18" x14ac:dyDescent="0.25">
      <c r="A31" s="8">
        <v>28</v>
      </c>
      <c r="B31" s="9"/>
      <c r="C31" s="33" t="str">
        <f t="shared" si="0"/>
        <v/>
      </c>
      <c r="D31" s="31"/>
      <c r="E31" s="31"/>
      <c r="F31" s="11"/>
      <c r="G31" s="11"/>
      <c r="H31" s="9"/>
      <c r="I31" s="11"/>
      <c r="J31" s="9"/>
      <c r="K31" s="12" t="str">
        <f t="shared" si="1"/>
        <v/>
      </c>
      <c r="L31" s="12" t="str">
        <f t="shared" si="2"/>
        <v/>
      </c>
      <c r="M31" s="8" t="str">
        <f t="shared" si="3"/>
        <v/>
      </c>
      <c r="N31" s="9"/>
      <c r="O31" s="31"/>
      <c r="P31" s="8" t="str">
        <f t="shared" si="4"/>
        <v/>
      </c>
      <c r="Q31" s="8" t="str">
        <f t="shared" si="5"/>
        <v/>
      </c>
      <c r="R31" s="8">
        <f>IF(Q31="",0,IF(SUMPRODUCT(--(Q$4:Q31=Q31))&gt;1,1,0))</f>
        <v>0</v>
      </c>
    </row>
    <row r="32" spans="1:18" x14ac:dyDescent="0.25">
      <c r="A32" s="8">
        <v>29</v>
      </c>
      <c r="B32" s="9"/>
      <c r="C32" s="33" t="str">
        <f t="shared" si="0"/>
        <v/>
      </c>
      <c r="D32" s="31"/>
      <c r="E32" s="31"/>
      <c r="F32" s="11"/>
      <c r="G32" s="11"/>
      <c r="H32" s="9"/>
      <c r="I32" s="11"/>
      <c r="J32" s="9"/>
      <c r="K32" s="12" t="str">
        <f t="shared" si="1"/>
        <v/>
      </c>
      <c r="L32" s="12" t="str">
        <f t="shared" si="2"/>
        <v/>
      </c>
      <c r="M32" s="8" t="str">
        <f t="shared" si="3"/>
        <v/>
      </c>
      <c r="N32" s="9"/>
      <c r="O32" s="31"/>
      <c r="P32" s="8" t="str">
        <f t="shared" si="4"/>
        <v/>
      </c>
      <c r="Q32" s="8" t="str">
        <f t="shared" si="5"/>
        <v/>
      </c>
      <c r="R32" s="8">
        <f>IF(Q32="",0,IF(SUMPRODUCT(--(Q$4:Q32=Q32))&gt;1,1,0))</f>
        <v>0</v>
      </c>
    </row>
    <row r="33" spans="1:18" x14ac:dyDescent="0.25">
      <c r="A33" s="8">
        <v>30</v>
      </c>
      <c r="B33" s="9"/>
      <c r="C33" s="33" t="str">
        <f t="shared" si="0"/>
        <v/>
      </c>
      <c r="D33" s="31"/>
      <c r="E33" s="31"/>
      <c r="F33" s="11"/>
      <c r="G33" s="11"/>
      <c r="H33" s="9"/>
      <c r="I33" s="11"/>
      <c r="J33" s="9"/>
      <c r="K33" s="12" t="str">
        <f t="shared" si="1"/>
        <v/>
      </c>
      <c r="L33" s="12" t="str">
        <f t="shared" si="2"/>
        <v/>
      </c>
      <c r="M33" s="8" t="str">
        <f t="shared" si="3"/>
        <v/>
      </c>
      <c r="N33" s="9"/>
      <c r="O33" s="31"/>
      <c r="P33" s="8" t="str">
        <f t="shared" si="4"/>
        <v/>
      </c>
      <c r="Q33" s="8" t="str">
        <f t="shared" si="5"/>
        <v/>
      </c>
      <c r="R33" s="8">
        <f>IF(Q33="",0,IF(SUMPRODUCT(--(Q$4:Q33=Q33))&gt;1,1,0))</f>
        <v>0</v>
      </c>
    </row>
    <row r="34" spans="1:18" x14ac:dyDescent="0.25">
      <c r="A34" s="8">
        <v>31</v>
      </c>
      <c r="B34" s="9"/>
      <c r="C34" s="33" t="str">
        <f t="shared" si="0"/>
        <v/>
      </c>
      <c r="D34" s="31"/>
      <c r="E34" s="31"/>
      <c r="F34" s="11"/>
      <c r="G34" s="11"/>
      <c r="H34" s="9"/>
      <c r="I34" s="11"/>
      <c r="J34" s="9"/>
      <c r="K34" s="12" t="str">
        <f t="shared" si="1"/>
        <v/>
      </c>
      <c r="L34" s="12" t="str">
        <f t="shared" si="2"/>
        <v/>
      </c>
      <c r="M34" s="8" t="str">
        <f t="shared" si="3"/>
        <v/>
      </c>
      <c r="N34" s="9"/>
      <c r="O34" s="31"/>
      <c r="P34" s="8" t="str">
        <f t="shared" si="4"/>
        <v/>
      </c>
      <c r="Q34" s="8" t="str">
        <f t="shared" si="5"/>
        <v/>
      </c>
      <c r="R34" s="8">
        <f>IF(Q34="",0,IF(SUMPRODUCT(--(Q$4:Q34=Q34))&gt;1,1,0))</f>
        <v>0</v>
      </c>
    </row>
    <row r="35" spans="1:18" x14ac:dyDescent="0.25">
      <c r="A35" s="8">
        <v>32</v>
      </c>
      <c r="B35" s="9"/>
      <c r="C35" s="33" t="str">
        <f t="shared" si="0"/>
        <v/>
      </c>
      <c r="D35" s="31"/>
      <c r="E35" s="31"/>
      <c r="F35" s="11"/>
      <c r="G35" s="11"/>
      <c r="H35" s="9"/>
      <c r="I35" s="11"/>
      <c r="J35" s="9"/>
      <c r="K35" s="12" t="str">
        <f t="shared" si="1"/>
        <v/>
      </c>
      <c r="L35" s="12" t="str">
        <f t="shared" si="2"/>
        <v/>
      </c>
      <c r="M35" s="8" t="str">
        <f t="shared" si="3"/>
        <v/>
      </c>
      <c r="N35" s="9"/>
      <c r="O35" s="31"/>
      <c r="P35" s="8" t="str">
        <f t="shared" si="4"/>
        <v/>
      </c>
      <c r="Q35" s="8" t="str">
        <f t="shared" si="5"/>
        <v/>
      </c>
      <c r="R35" s="8">
        <f>IF(Q35="",0,IF(SUMPRODUCT(--(Q$4:Q35=Q35))&gt;1,1,0))</f>
        <v>0</v>
      </c>
    </row>
    <row r="36" spans="1:18" x14ac:dyDescent="0.25">
      <c r="A36" s="8">
        <v>33</v>
      </c>
      <c r="B36" s="9"/>
      <c r="C36" s="33" t="str">
        <f t="shared" si="0"/>
        <v/>
      </c>
      <c r="D36" s="31"/>
      <c r="E36" s="31"/>
      <c r="F36" s="11"/>
      <c r="G36" s="11"/>
      <c r="H36" s="9"/>
      <c r="I36" s="11"/>
      <c r="J36" s="9"/>
      <c r="K36" s="12" t="str">
        <f t="shared" si="1"/>
        <v/>
      </c>
      <c r="L36" s="12" t="str">
        <f t="shared" si="2"/>
        <v/>
      </c>
      <c r="M36" s="8" t="str">
        <f t="shared" si="3"/>
        <v/>
      </c>
      <c r="N36" s="9"/>
      <c r="O36" s="31"/>
      <c r="P36" s="8" t="str">
        <f t="shared" si="4"/>
        <v/>
      </c>
      <c r="Q36" s="8" t="str">
        <f t="shared" si="5"/>
        <v/>
      </c>
      <c r="R36" s="8">
        <f>IF(Q36="",0,IF(SUMPRODUCT(--(Q$4:Q36=Q36))&gt;1,1,0))</f>
        <v>0</v>
      </c>
    </row>
    <row r="37" spans="1:18" x14ac:dyDescent="0.25">
      <c r="A37" s="8">
        <v>34</v>
      </c>
      <c r="B37" s="9"/>
      <c r="C37" s="33" t="str">
        <f t="shared" si="0"/>
        <v/>
      </c>
      <c r="D37" s="31"/>
      <c r="E37" s="31"/>
      <c r="F37" s="11"/>
      <c r="G37" s="11"/>
      <c r="H37" s="9"/>
      <c r="I37" s="11"/>
      <c r="J37" s="9"/>
      <c r="K37" s="12" t="str">
        <f t="shared" si="1"/>
        <v/>
      </c>
      <c r="L37" s="12" t="str">
        <f t="shared" si="2"/>
        <v/>
      </c>
      <c r="M37" s="8" t="str">
        <f t="shared" si="3"/>
        <v/>
      </c>
      <c r="N37" s="9"/>
      <c r="O37" s="31"/>
      <c r="P37" s="8" t="str">
        <f t="shared" si="4"/>
        <v/>
      </c>
      <c r="Q37" s="8" t="str">
        <f t="shared" si="5"/>
        <v/>
      </c>
      <c r="R37" s="8">
        <f>IF(Q37="",0,IF(SUMPRODUCT(--(Q$4:Q37=Q37))&gt;1,1,0))</f>
        <v>0</v>
      </c>
    </row>
    <row r="38" spans="1:18" x14ac:dyDescent="0.25">
      <c r="A38" s="8">
        <v>35</v>
      </c>
      <c r="B38" s="9"/>
      <c r="C38" s="33" t="str">
        <f t="shared" si="0"/>
        <v/>
      </c>
      <c r="D38" s="31"/>
      <c r="E38" s="31"/>
      <c r="F38" s="11"/>
      <c r="G38" s="11"/>
      <c r="H38" s="9"/>
      <c r="I38" s="11"/>
      <c r="J38" s="9"/>
      <c r="K38" s="12" t="str">
        <f t="shared" si="1"/>
        <v/>
      </c>
      <c r="L38" s="12" t="str">
        <f t="shared" si="2"/>
        <v/>
      </c>
      <c r="M38" s="8" t="str">
        <f t="shared" si="3"/>
        <v/>
      </c>
      <c r="N38" s="9"/>
      <c r="O38" s="31"/>
      <c r="P38" s="8" t="str">
        <f t="shared" si="4"/>
        <v/>
      </c>
      <c r="Q38" s="8" t="str">
        <f t="shared" si="5"/>
        <v/>
      </c>
      <c r="R38" s="8">
        <f>IF(Q38="",0,IF(SUMPRODUCT(--(Q$4:Q38=Q38))&gt;1,1,0))</f>
        <v>0</v>
      </c>
    </row>
    <row r="39" spans="1:18" x14ac:dyDescent="0.25">
      <c r="A39" s="8">
        <v>36</v>
      </c>
      <c r="B39" s="9"/>
      <c r="C39" s="33" t="str">
        <f t="shared" si="0"/>
        <v/>
      </c>
      <c r="D39" s="31"/>
      <c r="E39" s="31"/>
      <c r="F39" s="11"/>
      <c r="G39" s="11"/>
      <c r="H39" s="9"/>
      <c r="I39" s="11"/>
      <c r="J39" s="9"/>
      <c r="K39" s="12" t="str">
        <f t="shared" si="1"/>
        <v/>
      </c>
      <c r="L39" s="12" t="str">
        <f t="shared" si="2"/>
        <v/>
      </c>
      <c r="M39" s="8" t="str">
        <f t="shared" si="3"/>
        <v/>
      </c>
      <c r="N39" s="9"/>
      <c r="O39" s="31"/>
      <c r="P39" s="8" t="str">
        <f t="shared" si="4"/>
        <v/>
      </c>
      <c r="Q39" s="8" t="str">
        <f t="shared" si="5"/>
        <v/>
      </c>
      <c r="R39" s="8">
        <f>IF(Q39="",0,IF(SUMPRODUCT(--(Q$4:Q39=Q39))&gt;1,1,0))</f>
        <v>0</v>
      </c>
    </row>
    <row r="40" spans="1:18" x14ac:dyDescent="0.25">
      <c r="A40" s="8">
        <v>37</v>
      </c>
      <c r="B40" s="9"/>
      <c r="C40" s="33" t="str">
        <f t="shared" si="0"/>
        <v/>
      </c>
      <c r="D40" s="31"/>
      <c r="E40" s="31"/>
      <c r="F40" s="11"/>
      <c r="G40" s="11"/>
      <c r="H40" s="9"/>
      <c r="I40" s="11"/>
      <c r="J40" s="9"/>
      <c r="K40" s="12" t="str">
        <f t="shared" si="1"/>
        <v/>
      </c>
      <c r="L40" s="12" t="str">
        <f t="shared" si="2"/>
        <v/>
      </c>
      <c r="M40" s="8" t="str">
        <f t="shared" si="3"/>
        <v/>
      </c>
      <c r="N40" s="9"/>
      <c r="O40" s="31"/>
      <c r="P40" s="8" t="str">
        <f t="shared" si="4"/>
        <v/>
      </c>
      <c r="Q40" s="8" t="str">
        <f t="shared" si="5"/>
        <v/>
      </c>
      <c r="R40" s="8">
        <f>IF(Q40="",0,IF(SUMPRODUCT(--(Q$4:Q40=Q40))&gt;1,1,0))</f>
        <v>0</v>
      </c>
    </row>
    <row r="41" spans="1:18" x14ac:dyDescent="0.25">
      <c r="A41" s="8">
        <v>38</v>
      </c>
      <c r="B41" s="9"/>
      <c r="C41" s="33" t="str">
        <f t="shared" si="0"/>
        <v/>
      </c>
      <c r="D41" s="31"/>
      <c r="E41" s="31"/>
      <c r="F41" s="11"/>
      <c r="G41" s="11"/>
      <c r="H41" s="9"/>
      <c r="I41" s="11"/>
      <c r="J41" s="9"/>
      <c r="K41" s="12" t="str">
        <f t="shared" si="1"/>
        <v/>
      </c>
      <c r="L41" s="12" t="str">
        <f t="shared" si="2"/>
        <v/>
      </c>
      <c r="M41" s="8" t="str">
        <f t="shared" si="3"/>
        <v/>
      </c>
      <c r="N41" s="9"/>
      <c r="O41" s="31"/>
      <c r="P41" s="8" t="str">
        <f t="shared" si="4"/>
        <v/>
      </c>
      <c r="Q41" s="8" t="str">
        <f t="shared" si="5"/>
        <v/>
      </c>
      <c r="R41" s="8">
        <f>IF(Q41="",0,IF(SUMPRODUCT(--(Q$4:Q41=Q41))&gt;1,1,0))</f>
        <v>0</v>
      </c>
    </row>
    <row r="42" spans="1:18" x14ac:dyDescent="0.25">
      <c r="A42" s="8">
        <v>39</v>
      </c>
      <c r="B42" s="9"/>
      <c r="C42" s="33" t="str">
        <f t="shared" si="0"/>
        <v/>
      </c>
      <c r="D42" s="31"/>
      <c r="E42" s="31"/>
      <c r="F42" s="11"/>
      <c r="G42" s="11"/>
      <c r="H42" s="9"/>
      <c r="I42" s="11"/>
      <c r="J42" s="9"/>
      <c r="K42" s="12" t="str">
        <f t="shared" si="1"/>
        <v/>
      </c>
      <c r="L42" s="12" t="str">
        <f t="shared" si="2"/>
        <v/>
      </c>
      <c r="M42" s="8" t="str">
        <f t="shared" si="3"/>
        <v/>
      </c>
      <c r="N42" s="9"/>
      <c r="O42" s="31"/>
      <c r="P42" s="8" t="str">
        <f t="shared" si="4"/>
        <v/>
      </c>
      <c r="Q42" s="8" t="str">
        <f t="shared" si="5"/>
        <v/>
      </c>
      <c r="R42" s="8">
        <f>IF(Q42="",0,IF(SUMPRODUCT(--(Q$4:Q42=Q42))&gt;1,1,0))</f>
        <v>0</v>
      </c>
    </row>
    <row r="43" spans="1:18" x14ac:dyDescent="0.25">
      <c r="A43" s="8">
        <v>40</v>
      </c>
      <c r="B43" s="9"/>
      <c r="C43" s="33" t="str">
        <f t="shared" si="0"/>
        <v/>
      </c>
      <c r="D43" s="31"/>
      <c r="E43" s="31"/>
      <c r="F43" s="11"/>
      <c r="G43" s="11"/>
      <c r="H43" s="9"/>
      <c r="I43" s="11"/>
      <c r="J43" s="9"/>
      <c r="K43" s="12" t="str">
        <f t="shared" si="1"/>
        <v/>
      </c>
      <c r="L43" s="12" t="str">
        <f t="shared" si="2"/>
        <v/>
      </c>
      <c r="M43" s="8" t="str">
        <f t="shared" si="3"/>
        <v/>
      </c>
      <c r="N43" s="9"/>
      <c r="O43" s="31"/>
      <c r="P43" s="8" t="str">
        <f t="shared" si="4"/>
        <v/>
      </c>
      <c r="Q43" s="8" t="str">
        <f t="shared" si="5"/>
        <v/>
      </c>
      <c r="R43" s="8">
        <f>IF(Q43="",0,IF(SUMPRODUCT(--(Q$4:Q43=Q43))&gt;1,1,0))</f>
        <v>0</v>
      </c>
    </row>
    <row r="44" spans="1:18" x14ac:dyDescent="0.25">
      <c r="A44" s="8">
        <v>41</v>
      </c>
      <c r="B44" s="9"/>
      <c r="C44" s="33" t="str">
        <f t="shared" si="0"/>
        <v/>
      </c>
      <c r="D44" s="31"/>
      <c r="E44" s="31"/>
      <c r="F44" s="11"/>
      <c r="G44" s="11"/>
      <c r="H44" s="9"/>
      <c r="I44" s="11"/>
      <c r="J44" s="9"/>
      <c r="K44" s="12" t="str">
        <f t="shared" si="1"/>
        <v/>
      </c>
      <c r="L44" s="12" t="str">
        <f t="shared" si="2"/>
        <v/>
      </c>
      <c r="M44" s="8" t="str">
        <f t="shared" si="3"/>
        <v/>
      </c>
      <c r="N44" s="9"/>
      <c r="O44" s="31"/>
      <c r="P44" s="8" t="str">
        <f t="shared" si="4"/>
        <v/>
      </c>
      <c r="Q44" s="8" t="str">
        <f t="shared" si="5"/>
        <v/>
      </c>
      <c r="R44" s="8">
        <f>IF(Q44="",0,IF(SUMPRODUCT(--(Q$4:Q44=Q44))&gt;1,1,0))</f>
        <v>0</v>
      </c>
    </row>
    <row r="45" spans="1:18" x14ac:dyDescent="0.25">
      <c r="A45" s="8">
        <v>42</v>
      </c>
      <c r="B45" s="9"/>
      <c r="C45" s="33" t="str">
        <f t="shared" si="0"/>
        <v/>
      </c>
      <c r="D45" s="31"/>
      <c r="E45" s="31"/>
      <c r="F45" s="11"/>
      <c r="G45" s="11"/>
      <c r="H45" s="9"/>
      <c r="I45" s="11"/>
      <c r="J45" s="9"/>
      <c r="K45" s="12" t="str">
        <f t="shared" si="1"/>
        <v/>
      </c>
      <c r="L45" s="12" t="str">
        <f t="shared" si="2"/>
        <v/>
      </c>
      <c r="M45" s="8" t="str">
        <f t="shared" si="3"/>
        <v/>
      </c>
      <c r="N45" s="9"/>
      <c r="O45" s="31"/>
      <c r="P45" s="8" t="str">
        <f t="shared" si="4"/>
        <v/>
      </c>
      <c r="Q45" s="8" t="str">
        <f t="shared" si="5"/>
        <v/>
      </c>
      <c r="R45" s="8">
        <f>IF(Q45="",0,IF(SUMPRODUCT(--(Q$4:Q45=Q45))&gt;1,1,0))</f>
        <v>0</v>
      </c>
    </row>
    <row r="46" spans="1:18" x14ac:dyDescent="0.25">
      <c r="A46" s="8">
        <v>43</v>
      </c>
      <c r="B46" s="9"/>
      <c r="C46" s="33" t="str">
        <f t="shared" si="0"/>
        <v/>
      </c>
      <c r="D46" s="31"/>
      <c r="E46" s="31"/>
      <c r="F46" s="11"/>
      <c r="G46" s="11"/>
      <c r="H46" s="9"/>
      <c r="I46" s="11"/>
      <c r="J46" s="9"/>
      <c r="K46" s="12" t="str">
        <f t="shared" si="1"/>
        <v/>
      </c>
      <c r="L46" s="12" t="str">
        <f t="shared" si="2"/>
        <v/>
      </c>
      <c r="M46" s="8" t="str">
        <f t="shared" si="3"/>
        <v/>
      </c>
      <c r="N46" s="9"/>
      <c r="O46" s="31"/>
      <c r="P46" s="8" t="str">
        <f t="shared" si="4"/>
        <v/>
      </c>
      <c r="Q46" s="8" t="str">
        <f t="shared" si="5"/>
        <v/>
      </c>
      <c r="R46" s="8">
        <f>IF(Q46="",0,IF(SUMPRODUCT(--(Q$4:Q46=Q46))&gt;1,1,0))</f>
        <v>0</v>
      </c>
    </row>
    <row r="47" spans="1:18" x14ac:dyDescent="0.25">
      <c r="A47" s="8">
        <v>44</v>
      </c>
      <c r="B47" s="9"/>
      <c r="C47" s="33" t="str">
        <f t="shared" si="0"/>
        <v/>
      </c>
      <c r="D47" s="31"/>
      <c r="E47" s="31"/>
      <c r="F47" s="11"/>
      <c r="G47" s="11"/>
      <c r="H47" s="9"/>
      <c r="I47" s="11"/>
      <c r="J47" s="9"/>
      <c r="K47" s="12" t="str">
        <f t="shared" si="1"/>
        <v/>
      </c>
      <c r="L47" s="12" t="str">
        <f t="shared" si="2"/>
        <v/>
      </c>
      <c r="M47" s="8" t="str">
        <f t="shared" si="3"/>
        <v/>
      </c>
      <c r="N47" s="9"/>
      <c r="O47" s="31"/>
      <c r="P47" s="8" t="str">
        <f t="shared" si="4"/>
        <v/>
      </c>
      <c r="Q47" s="8" t="str">
        <f t="shared" si="5"/>
        <v/>
      </c>
      <c r="R47" s="8">
        <f>IF(Q47="",0,IF(SUMPRODUCT(--(Q$4:Q47=Q47))&gt;1,1,0))</f>
        <v>0</v>
      </c>
    </row>
    <row r="48" spans="1:18" x14ac:dyDescent="0.25">
      <c r="A48" s="8">
        <v>45</v>
      </c>
      <c r="B48" s="9"/>
      <c r="C48" s="33" t="str">
        <f t="shared" si="0"/>
        <v/>
      </c>
      <c r="D48" s="31"/>
      <c r="E48" s="31"/>
      <c r="F48" s="11"/>
      <c r="G48" s="11"/>
      <c r="H48" s="9"/>
      <c r="I48" s="11"/>
      <c r="J48" s="9"/>
      <c r="K48" s="12" t="str">
        <f t="shared" si="1"/>
        <v/>
      </c>
      <c r="L48" s="12" t="str">
        <f t="shared" si="2"/>
        <v/>
      </c>
      <c r="M48" s="8" t="str">
        <f t="shared" si="3"/>
        <v/>
      </c>
      <c r="N48" s="9"/>
      <c r="O48" s="31"/>
      <c r="P48" s="8" t="str">
        <f t="shared" si="4"/>
        <v/>
      </c>
      <c r="Q48" s="8" t="str">
        <f t="shared" si="5"/>
        <v/>
      </c>
      <c r="R48" s="8">
        <f>IF(Q48="",0,IF(SUMPRODUCT(--(Q$4:Q48=Q48))&gt;1,1,0))</f>
        <v>0</v>
      </c>
    </row>
    <row r="49" spans="1:18" x14ac:dyDescent="0.25">
      <c r="A49" s="8">
        <v>46</v>
      </c>
      <c r="B49" s="9"/>
      <c r="C49" s="33" t="str">
        <f t="shared" si="0"/>
        <v/>
      </c>
      <c r="D49" s="31"/>
      <c r="E49" s="31"/>
      <c r="F49" s="11"/>
      <c r="G49" s="11"/>
      <c r="H49" s="9"/>
      <c r="I49" s="11"/>
      <c r="J49" s="9"/>
      <c r="K49" s="12" t="str">
        <f t="shared" si="1"/>
        <v/>
      </c>
      <c r="L49" s="12" t="str">
        <f t="shared" si="2"/>
        <v/>
      </c>
      <c r="M49" s="8" t="str">
        <f t="shared" si="3"/>
        <v/>
      </c>
      <c r="N49" s="9"/>
      <c r="O49" s="31"/>
      <c r="P49" s="8" t="str">
        <f t="shared" si="4"/>
        <v/>
      </c>
      <c r="Q49" s="8" t="str">
        <f t="shared" si="5"/>
        <v/>
      </c>
      <c r="R49" s="8">
        <f>IF(Q49="",0,IF(SUMPRODUCT(--(Q$4:Q49=Q49))&gt;1,1,0))</f>
        <v>0</v>
      </c>
    </row>
    <row r="50" spans="1:18" x14ac:dyDescent="0.25">
      <c r="A50" s="8">
        <v>47</v>
      </c>
      <c r="B50" s="9"/>
      <c r="C50" s="33" t="str">
        <f t="shared" si="0"/>
        <v/>
      </c>
      <c r="D50" s="31"/>
      <c r="E50" s="31"/>
      <c r="F50" s="11"/>
      <c r="G50" s="11"/>
      <c r="H50" s="9"/>
      <c r="I50" s="11"/>
      <c r="J50" s="9"/>
      <c r="K50" s="12" t="str">
        <f t="shared" si="1"/>
        <v/>
      </c>
      <c r="L50" s="12" t="str">
        <f t="shared" si="2"/>
        <v/>
      </c>
      <c r="M50" s="8" t="str">
        <f t="shared" si="3"/>
        <v/>
      </c>
      <c r="N50" s="9"/>
      <c r="O50" s="31"/>
      <c r="P50" s="8" t="str">
        <f t="shared" si="4"/>
        <v/>
      </c>
      <c r="Q50" s="8" t="str">
        <f t="shared" si="5"/>
        <v/>
      </c>
      <c r="R50" s="8">
        <f>IF(Q50="",0,IF(SUMPRODUCT(--(Q$4:Q50=Q50))&gt;1,1,0))</f>
        <v>0</v>
      </c>
    </row>
    <row r="51" spans="1:18" x14ac:dyDescent="0.25">
      <c r="A51" s="8">
        <v>48</v>
      </c>
      <c r="B51" s="9"/>
      <c r="C51" s="33" t="str">
        <f t="shared" si="0"/>
        <v/>
      </c>
      <c r="D51" s="31"/>
      <c r="E51" s="31"/>
      <c r="F51" s="11"/>
      <c r="G51" s="11"/>
      <c r="H51" s="9"/>
      <c r="I51" s="11"/>
      <c r="J51" s="9"/>
      <c r="K51" s="12" t="str">
        <f t="shared" si="1"/>
        <v/>
      </c>
      <c r="L51" s="12" t="str">
        <f t="shared" si="2"/>
        <v/>
      </c>
      <c r="M51" s="8" t="str">
        <f t="shared" si="3"/>
        <v/>
      </c>
      <c r="N51" s="9"/>
      <c r="O51" s="31"/>
      <c r="P51" s="8" t="str">
        <f t="shared" si="4"/>
        <v/>
      </c>
      <c r="Q51" s="8" t="str">
        <f t="shared" si="5"/>
        <v/>
      </c>
      <c r="R51" s="8">
        <f>IF(Q51="",0,IF(SUMPRODUCT(--(Q$4:Q51=Q51))&gt;1,1,0))</f>
        <v>0</v>
      </c>
    </row>
    <row r="52" spans="1:18" x14ac:dyDescent="0.25">
      <c r="A52" s="8">
        <v>49</v>
      </c>
      <c r="B52" s="9"/>
      <c r="C52" s="33" t="str">
        <f t="shared" si="0"/>
        <v/>
      </c>
      <c r="D52" s="31"/>
      <c r="E52" s="31"/>
      <c r="F52" s="11"/>
      <c r="G52" s="11"/>
      <c r="H52" s="9"/>
      <c r="I52" s="11"/>
      <c r="J52" s="9"/>
      <c r="K52" s="12" t="str">
        <f t="shared" si="1"/>
        <v/>
      </c>
      <c r="L52" s="12" t="str">
        <f t="shared" si="2"/>
        <v/>
      </c>
      <c r="M52" s="8" t="str">
        <f t="shared" si="3"/>
        <v/>
      </c>
      <c r="N52" s="9"/>
      <c r="O52" s="31"/>
      <c r="P52" s="8" t="str">
        <f t="shared" si="4"/>
        <v/>
      </c>
      <c r="Q52" s="8" t="str">
        <f t="shared" si="5"/>
        <v/>
      </c>
      <c r="R52" s="8">
        <f>IF(Q52="",0,IF(SUMPRODUCT(--(Q$4:Q52=Q52))&gt;1,1,0))</f>
        <v>0</v>
      </c>
    </row>
    <row r="53" spans="1:18" x14ac:dyDescent="0.25">
      <c r="A53" s="8">
        <v>50</v>
      </c>
      <c r="B53" s="9"/>
      <c r="C53" s="33" t="str">
        <f t="shared" si="0"/>
        <v/>
      </c>
      <c r="D53" s="31"/>
      <c r="E53" s="31"/>
      <c r="F53" s="11"/>
      <c r="G53" s="11"/>
      <c r="H53" s="9"/>
      <c r="I53" s="11"/>
      <c r="J53" s="9"/>
      <c r="K53" s="12" t="str">
        <f t="shared" si="1"/>
        <v/>
      </c>
      <c r="L53" s="12" t="str">
        <f t="shared" si="2"/>
        <v/>
      </c>
      <c r="M53" s="8" t="str">
        <f t="shared" si="3"/>
        <v/>
      </c>
      <c r="N53" s="9"/>
      <c r="O53" s="31"/>
      <c r="P53" s="8" t="str">
        <f t="shared" si="4"/>
        <v/>
      </c>
      <c r="Q53" s="8" t="str">
        <f t="shared" si="5"/>
        <v/>
      </c>
      <c r="R53" s="8">
        <f>IF(Q53="",0,IF(SUMPRODUCT(--(Q$4:Q53=Q53))&gt;1,1,0))</f>
        <v>0</v>
      </c>
    </row>
    <row r="54" spans="1:18" x14ac:dyDescent="0.25">
      <c r="A54" s="8">
        <v>51</v>
      </c>
      <c r="B54" s="9"/>
      <c r="C54" s="33" t="str">
        <f t="shared" si="0"/>
        <v/>
      </c>
      <c r="D54" s="31"/>
      <c r="E54" s="31"/>
      <c r="F54" s="11"/>
      <c r="G54" s="11"/>
      <c r="H54" s="9"/>
      <c r="I54" s="11"/>
      <c r="J54" s="9"/>
      <c r="K54" s="12" t="str">
        <f t="shared" si="1"/>
        <v/>
      </c>
      <c r="L54" s="12" t="str">
        <f t="shared" si="2"/>
        <v/>
      </c>
      <c r="M54" s="8" t="str">
        <f t="shared" si="3"/>
        <v/>
      </c>
      <c r="N54" s="9"/>
      <c r="O54" s="31"/>
      <c r="P54" s="8" t="str">
        <f t="shared" si="4"/>
        <v/>
      </c>
      <c r="Q54" s="8" t="str">
        <f t="shared" si="5"/>
        <v/>
      </c>
      <c r="R54" s="8">
        <f>IF(Q54="",0,IF(SUMPRODUCT(--(Q$4:Q54=Q54))&gt;1,1,0))</f>
        <v>0</v>
      </c>
    </row>
    <row r="55" spans="1:18" x14ac:dyDescent="0.25">
      <c r="A55" s="8">
        <v>52</v>
      </c>
      <c r="B55" s="9"/>
      <c r="C55" s="33" t="str">
        <f t="shared" si="0"/>
        <v/>
      </c>
      <c r="D55" s="31"/>
      <c r="E55" s="31"/>
      <c r="F55" s="11"/>
      <c r="G55" s="11"/>
      <c r="H55" s="9"/>
      <c r="I55" s="11"/>
      <c r="J55" s="9"/>
      <c r="K55" s="12" t="str">
        <f t="shared" si="1"/>
        <v/>
      </c>
      <c r="L55" s="12" t="str">
        <f t="shared" si="2"/>
        <v/>
      </c>
      <c r="M55" s="8" t="str">
        <f t="shared" si="3"/>
        <v/>
      </c>
      <c r="N55" s="9"/>
      <c r="O55" s="31"/>
      <c r="P55" s="8" t="str">
        <f t="shared" si="4"/>
        <v/>
      </c>
      <c r="Q55" s="8" t="str">
        <f t="shared" si="5"/>
        <v/>
      </c>
      <c r="R55" s="8">
        <f>IF(Q55="",0,IF(SUMPRODUCT(--(Q$4:Q55=Q55))&gt;1,1,0))</f>
        <v>0</v>
      </c>
    </row>
    <row r="56" spans="1:18" x14ac:dyDescent="0.25">
      <c r="A56" s="8">
        <v>53</v>
      </c>
      <c r="B56" s="9"/>
      <c r="C56" s="33" t="str">
        <f t="shared" si="0"/>
        <v/>
      </c>
      <c r="D56" s="31"/>
      <c r="E56" s="31"/>
      <c r="F56" s="11"/>
      <c r="G56" s="11"/>
      <c r="H56" s="9"/>
      <c r="I56" s="11"/>
      <c r="J56" s="9"/>
      <c r="K56" s="12" t="str">
        <f t="shared" si="1"/>
        <v/>
      </c>
      <c r="L56" s="12" t="str">
        <f t="shared" si="2"/>
        <v/>
      </c>
      <c r="M56" s="8" t="str">
        <f t="shared" si="3"/>
        <v/>
      </c>
      <c r="N56" s="9"/>
      <c r="O56" s="31"/>
      <c r="P56" s="8" t="str">
        <f t="shared" si="4"/>
        <v/>
      </c>
      <c r="Q56" s="8" t="str">
        <f t="shared" si="5"/>
        <v/>
      </c>
      <c r="R56" s="8">
        <f>IF(Q56="",0,IF(SUMPRODUCT(--(Q$4:Q56=Q56))&gt;1,1,0))</f>
        <v>0</v>
      </c>
    </row>
    <row r="57" spans="1:18" x14ac:dyDescent="0.25">
      <c r="A57" s="8">
        <v>54</v>
      </c>
      <c r="B57" s="9"/>
      <c r="C57" s="33" t="str">
        <f t="shared" si="0"/>
        <v/>
      </c>
      <c r="D57" s="31"/>
      <c r="E57" s="31"/>
      <c r="F57" s="11"/>
      <c r="G57" s="11"/>
      <c r="H57" s="9"/>
      <c r="I57" s="11"/>
      <c r="J57" s="9"/>
      <c r="K57" s="12" t="str">
        <f t="shared" si="1"/>
        <v/>
      </c>
      <c r="L57" s="12" t="str">
        <f t="shared" si="2"/>
        <v/>
      </c>
      <c r="M57" s="8" t="str">
        <f t="shared" si="3"/>
        <v/>
      </c>
      <c r="N57" s="9"/>
      <c r="O57" s="31"/>
      <c r="P57" s="8" t="str">
        <f t="shared" si="4"/>
        <v/>
      </c>
      <c r="Q57" s="8" t="str">
        <f t="shared" si="5"/>
        <v/>
      </c>
      <c r="R57" s="8">
        <f>IF(Q57="",0,IF(SUMPRODUCT(--(Q$4:Q57=Q57))&gt;1,1,0))</f>
        <v>0</v>
      </c>
    </row>
    <row r="58" spans="1:18" x14ac:dyDescent="0.25">
      <c r="A58" s="8">
        <v>55</v>
      </c>
      <c r="B58" s="9"/>
      <c r="C58" s="33" t="str">
        <f t="shared" si="0"/>
        <v/>
      </c>
      <c r="D58" s="31"/>
      <c r="E58" s="31"/>
      <c r="F58" s="11"/>
      <c r="G58" s="11"/>
      <c r="H58" s="9"/>
      <c r="I58" s="11"/>
      <c r="J58" s="9"/>
      <c r="K58" s="12" t="str">
        <f t="shared" si="1"/>
        <v/>
      </c>
      <c r="L58" s="12" t="str">
        <f t="shared" si="2"/>
        <v/>
      </c>
      <c r="M58" s="8" t="str">
        <f t="shared" si="3"/>
        <v/>
      </c>
      <c r="N58" s="9"/>
      <c r="O58" s="31"/>
      <c r="P58" s="8" t="str">
        <f t="shared" si="4"/>
        <v/>
      </c>
      <c r="Q58" s="8" t="str">
        <f t="shared" si="5"/>
        <v/>
      </c>
      <c r="R58" s="8">
        <f>IF(Q58="",0,IF(SUMPRODUCT(--(Q$4:Q58=Q58))&gt;1,1,0))</f>
        <v>0</v>
      </c>
    </row>
    <row r="59" spans="1:18" x14ac:dyDescent="0.25">
      <c r="A59" s="8">
        <v>56</v>
      </c>
      <c r="B59" s="9"/>
      <c r="C59" s="33" t="str">
        <f t="shared" si="0"/>
        <v/>
      </c>
      <c r="D59" s="31"/>
      <c r="E59" s="31"/>
      <c r="F59" s="11"/>
      <c r="G59" s="11"/>
      <c r="H59" s="9"/>
      <c r="I59" s="11"/>
      <c r="J59" s="9"/>
      <c r="K59" s="12" t="str">
        <f t="shared" si="1"/>
        <v/>
      </c>
      <c r="L59" s="12" t="str">
        <f t="shared" si="2"/>
        <v/>
      </c>
      <c r="M59" s="8" t="str">
        <f t="shared" si="3"/>
        <v/>
      </c>
      <c r="N59" s="9"/>
      <c r="O59" s="31"/>
      <c r="P59" s="8" t="str">
        <f t="shared" si="4"/>
        <v/>
      </c>
      <c r="Q59" s="8" t="str">
        <f t="shared" si="5"/>
        <v/>
      </c>
      <c r="R59" s="8">
        <f>IF(Q59="",0,IF(SUMPRODUCT(--(Q$4:Q59=Q59))&gt;1,1,0))</f>
        <v>0</v>
      </c>
    </row>
    <row r="60" spans="1:18" x14ac:dyDescent="0.25">
      <c r="A60" s="8">
        <v>57</v>
      </c>
      <c r="B60" s="9"/>
      <c r="C60" s="33" t="str">
        <f t="shared" si="0"/>
        <v/>
      </c>
      <c r="D60" s="31"/>
      <c r="E60" s="31"/>
      <c r="F60" s="11"/>
      <c r="G60" s="11"/>
      <c r="H60" s="9"/>
      <c r="I60" s="11"/>
      <c r="J60" s="9"/>
      <c r="K60" s="12" t="str">
        <f t="shared" si="1"/>
        <v/>
      </c>
      <c r="L60" s="12" t="str">
        <f t="shared" si="2"/>
        <v/>
      </c>
      <c r="M60" s="8" t="str">
        <f t="shared" si="3"/>
        <v/>
      </c>
      <c r="N60" s="9"/>
      <c r="O60" s="31"/>
      <c r="P60" s="8" t="str">
        <f t="shared" si="4"/>
        <v/>
      </c>
      <c r="Q60" s="8" t="str">
        <f t="shared" si="5"/>
        <v/>
      </c>
      <c r="R60" s="8">
        <f>IF(Q60="",0,IF(SUMPRODUCT(--(Q$4:Q60=Q60))&gt;1,1,0))</f>
        <v>0</v>
      </c>
    </row>
    <row r="61" spans="1:18" x14ac:dyDescent="0.25">
      <c r="A61" s="8">
        <v>58</v>
      </c>
      <c r="B61" s="9"/>
      <c r="C61" s="33" t="str">
        <f t="shared" si="0"/>
        <v/>
      </c>
      <c r="D61" s="31"/>
      <c r="E61" s="31"/>
      <c r="F61" s="11"/>
      <c r="G61" s="11"/>
      <c r="H61" s="9"/>
      <c r="I61" s="11"/>
      <c r="J61" s="9"/>
      <c r="K61" s="12" t="str">
        <f t="shared" si="1"/>
        <v/>
      </c>
      <c r="L61" s="12" t="str">
        <f t="shared" si="2"/>
        <v/>
      </c>
      <c r="M61" s="8" t="str">
        <f t="shared" si="3"/>
        <v/>
      </c>
      <c r="N61" s="9"/>
      <c r="O61" s="31"/>
      <c r="P61" s="8" t="str">
        <f t="shared" si="4"/>
        <v/>
      </c>
      <c r="Q61" s="8" t="str">
        <f t="shared" si="5"/>
        <v/>
      </c>
      <c r="R61" s="8">
        <f>IF(Q61="",0,IF(SUMPRODUCT(--(Q$4:Q61=Q61))&gt;1,1,0))</f>
        <v>0</v>
      </c>
    </row>
    <row r="62" spans="1:18" x14ac:dyDescent="0.25">
      <c r="A62" s="8">
        <v>59</v>
      </c>
      <c r="B62" s="9"/>
      <c r="C62" s="33" t="str">
        <f t="shared" si="0"/>
        <v/>
      </c>
      <c r="D62" s="31"/>
      <c r="E62" s="31"/>
      <c r="F62" s="11"/>
      <c r="G62" s="11"/>
      <c r="H62" s="9"/>
      <c r="I62" s="11"/>
      <c r="J62" s="9"/>
      <c r="K62" s="12" t="str">
        <f t="shared" si="1"/>
        <v/>
      </c>
      <c r="L62" s="12" t="str">
        <f t="shared" si="2"/>
        <v/>
      </c>
      <c r="M62" s="8" t="str">
        <f t="shared" si="3"/>
        <v/>
      </c>
      <c r="N62" s="9"/>
      <c r="O62" s="31"/>
      <c r="P62" s="8" t="str">
        <f t="shared" si="4"/>
        <v/>
      </c>
      <c r="Q62" s="8" t="str">
        <f t="shared" si="5"/>
        <v/>
      </c>
      <c r="R62" s="8">
        <f>IF(Q62="",0,IF(SUMPRODUCT(--(Q$4:Q62=Q62))&gt;1,1,0))</f>
        <v>0</v>
      </c>
    </row>
    <row r="63" spans="1:18" x14ac:dyDescent="0.25">
      <c r="A63" s="8">
        <v>60</v>
      </c>
      <c r="B63" s="9"/>
      <c r="C63" s="33" t="str">
        <f t="shared" si="0"/>
        <v/>
      </c>
      <c r="D63" s="31"/>
      <c r="E63" s="31"/>
      <c r="F63" s="11"/>
      <c r="G63" s="11"/>
      <c r="H63" s="9"/>
      <c r="I63" s="11"/>
      <c r="J63" s="9"/>
      <c r="K63" s="12" t="str">
        <f t="shared" si="1"/>
        <v/>
      </c>
      <c r="L63" s="12" t="str">
        <f t="shared" si="2"/>
        <v/>
      </c>
      <c r="M63" s="8" t="str">
        <f t="shared" si="3"/>
        <v/>
      </c>
      <c r="N63" s="9"/>
      <c r="O63" s="31"/>
      <c r="P63" s="8" t="str">
        <f t="shared" si="4"/>
        <v/>
      </c>
      <c r="Q63" s="8" t="str">
        <f t="shared" si="5"/>
        <v/>
      </c>
      <c r="R63" s="8">
        <f>IF(Q63="",0,IF(SUMPRODUCT(--(Q$4:Q63=Q63))&gt;1,1,0))</f>
        <v>0</v>
      </c>
    </row>
    <row r="64" spans="1:18" x14ac:dyDescent="0.25">
      <c r="A64" s="8">
        <v>61</v>
      </c>
      <c r="B64" s="9"/>
      <c r="C64" s="33" t="str">
        <f t="shared" si="0"/>
        <v/>
      </c>
      <c r="D64" s="31"/>
      <c r="E64" s="31"/>
      <c r="F64" s="11"/>
      <c r="G64" s="11"/>
      <c r="H64" s="9"/>
      <c r="I64" s="11"/>
      <c r="J64" s="9"/>
      <c r="K64" s="12" t="str">
        <f t="shared" si="1"/>
        <v/>
      </c>
      <c r="L64" s="12" t="str">
        <f t="shared" si="2"/>
        <v/>
      </c>
      <c r="M64" s="8" t="str">
        <f t="shared" si="3"/>
        <v/>
      </c>
      <c r="N64" s="9"/>
      <c r="O64" s="31"/>
      <c r="P64" s="8" t="str">
        <f t="shared" si="4"/>
        <v/>
      </c>
      <c r="Q64" s="8" t="str">
        <f t="shared" si="5"/>
        <v/>
      </c>
      <c r="R64" s="8">
        <f>IF(Q64="",0,IF(SUMPRODUCT(--(Q$4:Q64=Q64))&gt;1,1,0))</f>
        <v>0</v>
      </c>
    </row>
    <row r="65" spans="1:18" x14ac:dyDescent="0.25">
      <c r="A65" s="8">
        <v>62</v>
      </c>
      <c r="B65" s="9"/>
      <c r="C65" s="33" t="str">
        <f t="shared" si="0"/>
        <v/>
      </c>
      <c r="D65" s="31"/>
      <c r="E65" s="31"/>
      <c r="F65" s="11"/>
      <c r="G65" s="11"/>
      <c r="H65" s="9"/>
      <c r="I65" s="11"/>
      <c r="J65" s="9"/>
      <c r="K65" s="12" t="str">
        <f t="shared" si="1"/>
        <v/>
      </c>
      <c r="L65" s="12" t="str">
        <f t="shared" si="2"/>
        <v/>
      </c>
      <c r="M65" s="8" t="str">
        <f t="shared" si="3"/>
        <v/>
      </c>
      <c r="N65" s="9"/>
      <c r="O65" s="31"/>
      <c r="P65" s="8" t="str">
        <f t="shared" si="4"/>
        <v/>
      </c>
      <c r="Q65" s="8" t="str">
        <f t="shared" si="5"/>
        <v/>
      </c>
      <c r="R65" s="8">
        <f>IF(Q65="",0,IF(SUMPRODUCT(--(Q$4:Q65=Q65))&gt;1,1,0))</f>
        <v>0</v>
      </c>
    </row>
    <row r="66" spans="1:18" x14ac:dyDescent="0.25">
      <c r="A66" s="8">
        <v>63</v>
      </c>
      <c r="B66" s="9"/>
      <c r="C66" s="33" t="str">
        <f t="shared" si="0"/>
        <v/>
      </c>
      <c r="D66" s="31"/>
      <c r="E66" s="31"/>
      <c r="F66" s="11"/>
      <c r="G66" s="11"/>
      <c r="H66" s="9"/>
      <c r="I66" s="11"/>
      <c r="J66" s="9"/>
      <c r="K66" s="12" t="str">
        <f t="shared" si="1"/>
        <v/>
      </c>
      <c r="L66" s="12" t="str">
        <f t="shared" si="2"/>
        <v/>
      </c>
      <c r="M66" s="8" t="str">
        <f t="shared" si="3"/>
        <v/>
      </c>
      <c r="N66" s="9"/>
      <c r="O66" s="31"/>
      <c r="P66" s="8" t="str">
        <f t="shared" si="4"/>
        <v/>
      </c>
      <c r="Q66" s="8" t="str">
        <f t="shared" si="5"/>
        <v/>
      </c>
      <c r="R66" s="8">
        <f>IF(Q66="",0,IF(SUMPRODUCT(--(Q$4:Q66=Q66))&gt;1,1,0))</f>
        <v>0</v>
      </c>
    </row>
    <row r="67" spans="1:18" x14ac:dyDescent="0.25">
      <c r="A67" s="8">
        <v>64</v>
      </c>
      <c r="B67" s="9"/>
      <c r="C67" s="33" t="str">
        <f t="shared" si="0"/>
        <v/>
      </c>
      <c r="D67" s="31"/>
      <c r="E67" s="31"/>
      <c r="F67" s="11"/>
      <c r="G67" s="11"/>
      <c r="H67" s="9"/>
      <c r="I67" s="11"/>
      <c r="J67" s="9"/>
      <c r="K67" s="12" t="str">
        <f t="shared" si="1"/>
        <v/>
      </c>
      <c r="L67" s="12" t="str">
        <f t="shared" si="2"/>
        <v/>
      </c>
      <c r="M67" s="8" t="str">
        <f t="shared" si="3"/>
        <v/>
      </c>
      <c r="N67" s="9"/>
      <c r="O67" s="31"/>
      <c r="P67" s="8" t="str">
        <f t="shared" si="4"/>
        <v/>
      </c>
      <c r="Q67" s="8" t="str">
        <f t="shared" si="5"/>
        <v/>
      </c>
      <c r="R67" s="8">
        <f>IF(Q67="",0,IF(SUMPRODUCT(--(Q$4:Q67=Q67))&gt;1,1,0))</f>
        <v>0</v>
      </c>
    </row>
    <row r="68" spans="1:18" x14ac:dyDescent="0.25">
      <c r="A68" s="8">
        <v>65</v>
      </c>
      <c r="B68" s="9"/>
      <c r="C68" s="33" t="str">
        <f t="shared" ref="C68:C131" si="6">IF(B68="","",IFERROR(INDEX(SpaceNames,MATCH(B68,SpaceCodes,0))&amp;"",""))</f>
        <v/>
      </c>
      <c r="D68" s="31"/>
      <c r="E68" s="31"/>
      <c r="F68" s="11"/>
      <c r="G68" s="11"/>
      <c r="H68" s="9"/>
      <c r="I68" s="11"/>
      <c r="J68" s="9"/>
      <c r="K68" s="12" t="str">
        <f t="shared" ref="K68:K131" si="7">IF(Q68="","",IF(OR(J68="لا",R68=1),0,IF(I68&lt;&gt;"",I68*IF(H68="",1,H68),IF(AND(F68&lt;&gt;"",G68&lt;&gt;""),F68*G68*IF(H68="",1,H68),""))))</f>
        <v/>
      </c>
      <c r="L68" s="12" t="str">
        <f t="shared" ref="L68:L131" si="8">IF(OR(Q68="",B68="",D68=""),"",SUMIFS(FL_Net,FL_Space,B68,FL_Mat,D68))</f>
        <v/>
      </c>
      <c r="M68" s="8" t="str">
        <f t="shared" ref="M68:M131" si="9">IF(D68="","",IFERROR(IF(INDEX(FloorUnit,MATCH(D68,FloorMat,0))="","م²",INDEX(FloorUnit,MATCH(D68,FloorMat,0))),"م²"))</f>
        <v/>
      </c>
      <c r="N68" s="9"/>
      <c r="O68" s="31"/>
      <c r="P68" s="8" t="str">
        <f t="shared" ref="P68:P131" si="10">IF(Q68="","",IF(R68=1,"تكرار — غير محتسب",IF(B68="","ناقص بيانات: كود الفراغ",IF(COUNTIF(SpaceCodes,B68)=0,"ناقص بيانات: الفراغ غير مسجل",IF(D68="","ناقص بيانات: الخامة",IF(AND(I68="",OR(F68="",G68="")),"ناقص قياس",IF(J68="لا","مستبعد من الحصر",IF(N68="نعم","يحتاج مراجعة","مكتمل"))))))))</f>
        <v/>
      </c>
      <c r="Q68" s="8" t="str">
        <f t="shared" ref="Q68:Q131" si="11">IF(COUNTA(B68,D68:I68)=0,"",B68&amp;"|"&amp;D68&amp;"|"&amp;E68&amp;"|"&amp;F68&amp;"|"&amp;G68&amp;"|"&amp;I68)</f>
        <v/>
      </c>
      <c r="R68" s="8">
        <f>IF(Q68="",0,IF(SUMPRODUCT(--(Q$4:Q68=Q68))&gt;1,1,0))</f>
        <v>0</v>
      </c>
    </row>
    <row r="69" spans="1:18" x14ac:dyDescent="0.25">
      <c r="A69" s="8">
        <v>66</v>
      </c>
      <c r="B69" s="9"/>
      <c r="C69" s="33" t="str">
        <f t="shared" si="6"/>
        <v/>
      </c>
      <c r="D69" s="31"/>
      <c r="E69" s="31"/>
      <c r="F69" s="11"/>
      <c r="G69" s="11"/>
      <c r="H69" s="9"/>
      <c r="I69" s="11"/>
      <c r="J69" s="9"/>
      <c r="K69" s="12" t="str">
        <f t="shared" si="7"/>
        <v/>
      </c>
      <c r="L69" s="12" t="str">
        <f t="shared" si="8"/>
        <v/>
      </c>
      <c r="M69" s="8" t="str">
        <f t="shared" si="9"/>
        <v/>
      </c>
      <c r="N69" s="9"/>
      <c r="O69" s="31"/>
      <c r="P69" s="8" t="str">
        <f t="shared" si="10"/>
        <v/>
      </c>
      <c r="Q69" s="8" t="str">
        <f t="shared" si="11"/>
        <v/>
      </c>
      <c r="R69" s="8">
        <f>IF(Q69="",0,IF(SUMPRODUCT(--(Q$4:Q69=Q69))&gt;1,1,0))</f>
        <v>0</v>
      </c>
    </row>
    <row r="70" spans="1:18" x14ac:dyDescent="0.25">
      <c r="A70" s="8">
        <v>67</v>
      </c>
      <c r="B70" s="9"/>
      <c r="C70" s="33" t="str">
        <f t="shared" si="6"/>
        <v/>
      </c>
      <c r="D70" s="31"/>
      <c r="E70" s="31"/>
      <c r="F70" s="11"/>
      <c r="G70" s="11"/>
      <c r="H70" s="9"/>
      <c r="I70" s="11"/>
      <c r="J70" s="9"/>
      <c r="K70" s="12" t="str">
        <f t="shared" si="7"/>
        <v/>
      </c>
      <c r="L70" s="12" t="str">
        <f t="shared" si="8"/>
        <v/>
      </c>
      <c r="M70" s="8" t="str">
        <f t="shared" si="9"/>
        <v/>
      </c>
      <c r="N70" s="9"/>
      <c r="O70" s="31"/>
      <c r="P70" s="8" t="str">
        <f t="shared" si="10"/>
        <v/>
      </c>
      <c r="Q70" s="8" t="str">
        <f t="shared" si="11"/>
        <v/>
      </c>
      <c r="R70" s="8">
        <f>IF(Q70="",0,IF(SUMPRODUCT(--(Q$4:Q70=Q70))&gt;1,1,0))</f>
        <v>0</v>
      </c>
    </row>
    <row r="71" spans="1:18" x14ac:dyDescent="0.25">
      <c r="A71" s="8">
        <v>68</v>
      </c>
      <c r="B71" s="9"/>
      <c r="C71" s="33" t="str">
        <f t="shared" si="6"/>
        <v/>
      </c>
      <c r="D71" s="31"/>
      <c r="E71" s="31"/>
      <c r="F71" s="11"/>
      <c r="G71" s="11"/>
      <c r="H71" s="9"/>
      <c r="I71" s="11"/>
      <c r="J71" s="9"/>
      <c r="K71" s="12" t="str">
        <f t="shared" si="7"/>
        <v/>
      </c>
      <c r="L71" s="12" t="str">
        <f t="shared" si="8"/>
        <v/>
      </c>
      <c r="M71" s="8" t="str">
        <f t="shared" si="9"/>
        <v/>
      </c>
      <c r="N71" s="9"/>
      <c r="O71" s="31"/>
      <c r="P71" s="8" t="str">
        <f t="shared" si="10"/>
        <v/>
      </c>
      <c r="Q71" s="8" t="str">
        <f t="shared" si="11"/>
        <v/>
      </c>
      <c r="R71" s="8">
        <f>IF(Q71="",0,IF(SUMPRODUCT(--(Q$4:Q71=Q71))&gt;1,1,0))</f>
        <v>0</v>
      </c>
    </row>
    <row r="72" spans="1:18" x14ac:dyDescent="0.25">
      <c r="A72" s="8">
        <v>69</v>
      </c>
      <c r="B72" s="9"/>
      <c r="C72" s="33" t="str">
        <f t="shared" si="6"/>
        <v/>
      </c>
      <c r="D72" s="31"/>
      <c r="E72" s="31"/>
      <c r="F72" s="11"/>
      <c r="G72" s="11"/>
      <c r="H72" s="9"/>
      <c r="I72" s="11"/>
      <c r="J72" s="9"/>
      <c r="K72" s="12" t="str">
        <f t="shared" si="7"/>
        <v/>
      </c>
      <c r="L72" s="12" t="str">
        <f t="shared" si="8"/>
        <v/>
      </c>
      <c r="M72" s="8" t="str">
        <f t="shared" si="9"/>
        <v/>
      </c>
      <c r="N72" s="9"/>
      <c r="O72" s="31"/>
      <c r="P72" s="8" t="str">
        <f t="shared" si="10"/>
        <v/>
      </c>
      <c r="Q72" s="8" t="str">
        <f t="shared" si="11"/>
        <v/>
      </c>
      <c r="R72" s="8">
        <f>IF(Q72="",0,IF(SUMPRODUCT(--(Q$4:Q72=Q72))&gt;1,1,0))</f>
        <v>0</v>
      </c>
    </row>
    <row r="73" spans="1:18" x14ac:dyDescent="0.25">
      <c r="A73" s="8">
        <v>70</v>
      </c>
      <c r="B73" s="9"/>
      <c r="C73" s="33" t="str">
        <f t="shared" si="6"/>
        <v/>
      </c>
      <c r="D73" s="31"/>
      <c r="E73" s="31"/>
      <c r="F73" s="11"/>
      <c r="G73" s="11"/>
      <c r="H73" s="9"/>
      <c r="I73" s="11"/>
      <c r="J73" s="9"/>
      <c r="K73" s="12" t="str">
        <f t="shared" si="7"/>
        <v/>
      </c>
      <c r="L73" s="12" t="str">
        <f t="shared" si="8"/>
        <v/>
      </c>
      <c r="M73" s="8" t="str">
        <f t="shared" si="9"/>
        <v/>
      </c>
      <c r="N73" s="9"/>
      <c r="O73" s="31"/>
      <c r="P73" s="8" t="str">
        <f t="shared" si="10"/>
        <v/>
      </c>
      <c r="Q73" s="8" t="str">
        <f t="shared" si="11"/>
        <v/>
      </c>
      <c r="R73" s="8">
        <f>IF(Q73="",0,IF(SUMPRODUCT(--(Q$4:Q73=Q73))&gt;1,1,0))</f>
        <v>0</v>
      </c>
    </row>
    <row r="74" spans="1:18" x14ac:dyDescent="0.25">
      <c r="A74" s="8">
        <v>71</v>
      </c>
      <c r="B74" s="9"/>
      <c r="C74" s="33" t="str">
        <f t="shared" si="6"/>
        <v/>
      </c>
      <c r="D74" s="31"/>
      <c r="E74" s="31"/>
      <c r="F74" s="11"/>
      <c r="G74" s="11"/>
      <c r="H74" s="9"/>
      <c r="I74" s="11"/>
      <c r="J74" s="9"/>
      <c r="K74" s="12" t="str">
        <f t="shared" si="7"/>
        <v/>
      </c>
      <c r="L74" s="12" t="str">
        <f t="shared" si="8"/>
        <v/>
      </c>
      <c r="M74" s="8" t="str">
        <f t="shared" si="9"/>
        <v/>
      </c>
      <c r="N74" s="9"/>
      <c r="O74" s="31"/>
      <c r="P74" s="8" t="str">
        <f t="shared" si="10"/>
        <v/>
      </c>
      <c r="Q74" s="8" t="str">
        <f t="shared" si="11"/>
        <v/>
      </c>
      <c r="R74" s="8">
        <f>IF(Q74="",0,IF(SUMPRODUCT(--(Q$4:Q74=Q74))&gt;1,1,0))</f>
        <v>0</v>
      </c>
    </row>
    <row r="75" spans="1:18" x14ac:dyDescent="0.25">
      <c r="A75" s="8">
        <v>72</v>
      </c>
      <c r="B75" s="9"/>
      <c r="C75" s="33" t="str">
        <f t="shared" si="6"/>
        <v/>
      </c>
      <c r="D75" s="31"/>
      <c r="E75" s="31"/>
      <c r="F75" s="11"/>
      <c r="G75" s="11"/>
      <c r="H75" s="9"/>
      <c r="I75" s="11"/>
      <c r="J75" s="9"/>
      <c r="K75" s="12" t="str">
        <f t="shared" si="7"/>
        <v/>
      </c>
      <c r="L75" s="12" t="str">
        <f t="shared" si="8"/>
        <v/>
      </c>
      <c r="M75" s="8" t="str">
        <f t="shared" si="9"/>
        <v/>
      </c>
      <c r="N75" s="9"/>
      <c r="O75" s="31"/>
      <c r="P75" s="8" t="str">
        <f t="shared" si="10"/>
        <v/>
      </c>
      <c r="Q75" s="8" t="str">
        <f t="shared" si="11"/>
        <v/>
      </c>
      <c r="R75" s="8">
        <f>IF(Q75="",0,IF(SUMPRODUCT(--(Q$4:Q75=Q75))&gt;1,1,0))</f>
        <v>0</v>
      </c>
    </row>
    <row r="76" spans="1:18" x14ac:dyDescent="0.25">
      <c r="A76" s="8">
        <v>73</v>
      </c>
      <c r="B76" s="9"/>
      <c r="C76" s="33" t="str">
        <f t="shared" si="6"/>
        <v/>
      </c>
      <c r="D76" s="31"/>
      <c r="E76" s="31"/>
      <c r="F76" s="11"/>
      <c r="G76" s="11"/>
      <c r="H76" s="9"/>
      <c r="I76" s="11"/>
      <c r="J76" s="9"/>
      <c r="K76" s="12" t="str">
        <f t="shared" si="7"/>
        <v/>
      </c>
      <c r="L76" s="12" t="str">
        <f t="shared" si="8"/>
        <v/>
      </c>
      <c r="M76" s="8" t="str">
        <f t="shared" si="9"/>
        <v/>
      </c>
      <c r="N76" s="9"/>
      <c r="O76" s="31"/>
      <c r="P76" s="8" t="str">
        <f t="shared" si="10"/>
        <v/>
      </c>
      <c r="Q76" s="8" t="str">
        <f t="shared" si="11"/>
        <v/>
      </c>
      <c r="R76" s="8">
        <f>IF(Q76="",0,IF(SUMPRODUCT(--(Q$4:Q76=Q76))&gt;1,1,0))</f>
        <v>0</v>
      </c>
    </row>
    <row r="77" spans="1:18" x14ac:dyDescent="0.25">
      <c r="A77" s="8">
        <v>74</v>
      </c>
      <c r="B77" s="9"/>
      <c r="C77" s="33" t="str">
        <f t="shared" si="6"/>
        <v/>
      </c>
      <c r="D77" s="31"/>
      <c r="E77" s="31"/>
      <c r="F77" s="11"/>
      <c r="G77" s="11"/>
      <c r="H77" s="9"/>
      <c r="I77" s="11"/>
      <c r="J77" s="9"/>
      <c r="K77" s="12" t="str">
        <f t="shared" si="7"/>
        <v/>
      </c>
      <c r="L77" s="12" t="str">
        <f t="shared" si="8"/>
        <v/>
      </c>
      <c r="M77" s="8" t="str">
        <f t="shared" si="9"/>
        <v/>
      </c>
      <c r="N77" s="9"/>
      <c r="O77" s="31"/>
      <c r="P77" s="8" t="str">
        <f t="shared" si="10"/>
        <v/>
      </c>
      <c r="Q77" s="8" t="str">
        <f t="shared" si="11"/>
        <v/>
      </c>
      <c r="R77" s="8">
        <f>IF(Q77="",0,IF(SUMPRODUCT(--(Q$4:Q77=Q77))&gt;1,1,0))</f>
        <v>0</v>
      </c>
    </row>
    <row r="78" spans="1:18" x14ac:dyDescent="0.25">
      <c r="A78" s="8">
        <v>75</v>
      </c>
      <c r="B78" s="9"/>
      <c r="C78" s="33" t="str">
        <f t="shared" si="6"/>
        <v/>
      </c>
      <c r="D78" s="31"/>
      <c r="E78" s="31"/>
      <c r="F78" s="11"/>
      <c r="G78" s="11"/>
      <c r="H78" s="9"/>
      <c r="I78" s="11"/>
      <c r="J78" s="9"/>
      <c r="K78" s="12" t="str">
        <f t="shared" si="7"/>
        <v/>
      </c>
      <c r="L78" s="12" t="str">
        <f t="shared" si="8"/>
        <v/>
      </c>
      <c r="M78" s="8" t="str">
        <f t="shared" si="9"/>
        <v/>
      </c>
      <c r="N78" s="9"/>
      <c r="O78" s="31"/>
      <c r="P78" s="8" t="str">
        <f t="shared" si="10"/>
        <v/>
      </c>
      <c r="Q78" s="8" t="str">
        <f t="shared" si="11"/>
        <v/>
      </c>
      <c r="R78" s="8">
        <f>IF(Q78="",0,IF(SUMPRODUCT(--(Q$4:Q78=Q78))&gt;1,1,0))</f>
        <v>0</v>
      </c>
    </row>
    <row r="79" spans="1:18" x14ac:dyDescent="0.25">
      <c r="A79" s="8">
        <v>76</v>
      </c>
      <c r="B79" s="9"/>
      <c r="C79" s="33" t="str">
        <f t="shared" si="6"/>
        <v/>
      </c>
      <c r="D79" s="31"/>
      <c r="E79" s="31"/>
      <c r="F79" s="11"/>
      <c r="G79" s="11"/>
      <c r="H79" s="9"/>
      <c r="I79" s="11"/>
      <c r="J79" s="9"/>
      <c r="K79" s="12" t="str">
        <f t="shared" si="7"/>
        <v/>
      </c>
      <c r="L79" s="12" t="str">
        <f t="shared" si="8"/>
        <v/>
      </c>
      <c r="M79" s="8" t="str">
        <f t="shared" si="9"/>
        <v/>
      </c>
      <c r="N79" s="9"/>
      <c r="O79" s="31"/>
      <c r="P79" s="8" t="str">
        <f t="shared" si="10"/>
        <v/>
      </c>
      <c r="Q79" s="8" t="str">
        <f t="shared" si="11"/>
        <v/>
      </c>
      <c r="R79" s="8">
        <f>IF(Q79="",0,IF(SUMPRODUCT(--(Q$4:Q79=Q79))&gt;1,1,0))</f>
        <v>0</v>
      </c>
    </row>
    <row r="80" spans="1:18" x14ac:dyDescent="0.25">
      <c r="A80" s="8">
        <v>77</v>
      </c>
      <c r="B80" s="9"/>
      <c r="C80" s="33" t="str">
        <f t="shared" si="6"/>
        <v/>
      </c>
      <c r="D80" s="31"/>
      <c r="E80" s="31"/>
      <c r="F80" s="11"/>
      <c r="G80" s="11"/>
      <c r="H80" s="9"/>
      <c r="I80" s="11"/>
      <c r="J80" s="9"/>
      <c r="K80" s="12" t="str">
        <f t="shared" si="7"/>
        <v/>
      </c>
      <c r="L80" s="12" t="str">
        <f t="shared" si="8"/>
        <v/>
      </c>
      <c r="M80" s="8" t="str">
        <f t="shared" si="9"/>
        <v/>
      </c>
      <c r="N80" s="9"/>
      <c r="O80" s="31"/>
      <c r="P80" s="8" t="str">
        <f t="shared" si="10"/>
        <v/>
      </c>
      <c r="Q80" s="8" t="str">
        <f t="shared" si="11"/>
        <v/>
      </c>
      <c r="R80" s="8">
        <f>IF(Q80="",0,IF(SUMPRODUCT(--(Q$4:Q80=Q80))&gt;1,1,0))</f>
        <v>0</v>
      </c>
    </row>
    <row r="81" spans="1:18" x14ac:dyDescent="0.25">
      <c r="A81" s="8">
        <v>78</v>
      </c>
      <c r="B81" s="9"/>
      <c r="C81" s="33" t="str">
        <f t="shared" si="6"/>
        <v/>
      </c>
      <c r="D81" s="31"/>
      <c r="E81" s="31"/>
      <c r="F81" s="11"/>
      <c r="G81" s="11"/>
      <c r="H81" s="9"/>
      <c r="I81" s="11"/>
      <c r="J81" s="9"/>
      <c r="K81" s="12" t="str">
        <f t="shared" si="7"/>
        <v/>
      </c>
      <c r="L81" s="12" t="str">
        <f t="shared" si="8"/>
        <v/>
      </c>
      <c r="M81" s="8" t="str">
        <f t="shared" si="9"/>
        <v/>
      </c>
      <c r="N81" s="9"/>
      <c r="O81" s="31"/>
      <c r="P81" s="8" t="str">
        <f t="shared" si="10"/>
        <v/>
      </c>
      <c r="Q81" s="8" t="str">
        <f t="shared" si="11"/>
        <v/>
      </c>
      <c r="R81" s="8">
        <f>IF(Q81="",0,IF(SUMPRODUCT(--(Q$4:Q81=Q81))&gt;1,1,0))</f>
        <v>0</v>
      </c>
    </row>
    <row r="82" spans="1:18" x14ac:dyDescent="0.25">
      <c r="A82" s="8">
        <v>79</v>
      </c>
      <c r="B82" s="9"/>
      <c r="C82" s="33" t="str">
        <f t="shared" si="6"/>
        <v/>
      </c>
      <c r="D82" s="31"/>
      <c r="E82" s="31"/>
      <c r="F82" s="11"/>
      <c r="G82" s="11"/>
      <c r="H82" s="9"/>
      <c r="I82" s="11"/>
      <c r="J82" s="9"/>
      <c r="K82" s="12" t="str">
        <f t="shared" si="7"/>
        <v/>
      </c>
      <c r="L82" s="12" t="str">
        <f t="shared" si="8"/>
        <v/>
      </c>
      <c r="M82" s="8" t="str">
        <f t="shared" si="9"/>
        <v/>
      </c>
      <c r="N82" s="9"/>
      <c r="O82" s="31"/>
      <c r="P82" s="8" t="str">
        <f t="shared" si="10"/>
        <v/>
      </c>
      <c r="Q82" s="8" t="str">
        <f t="shared" si="11"/>
        <v/>
      </c>
      <c r="R82" s="8">
        <f>IF(Q82="",0,IF(SUMPRODUCT(--(Q$4:Q82=Q82))&gt;1,1,0))</f>
        <v>0</v>
      </c>
    </row>
    <row r="83" spans="1:18" x14ac:dyDescent="0.25">
      <c r="A83" s="8">
        <v>80</v>
      </c>
      <c r="B83" s="9"/>
      <c r="C83" s="33" t="str">
        <f t="shared" si="6"/>
        <v/>
      </c>
      <c r="D83" s="31"/>
      <c r="E83" s="31"/>
      <c r="F83" s="11"/>
      <c r="G83" s="11"/>
      <c r="H83" s="9"/>
      <c r="I83" s="11"/>
      <c r="J83" s="9"/>
      <c r="K83" s="12" t="str">
        <f t="shared" si="7"/>
        <v/>
      </c>
      <c r="L83" s="12" t="str">
        <f t="shared" si="8"/>
        <v/>
      </c>
      <c r="M83" s="8" t="str">
        <f t="shared" si="9"/>
        <v/>
      </c>
      <c r="N83" s="9"/>
      <c r="O83" s="31"/>
      <c r="P83" s="8" t="str">
        <f t="shared" si="10"/>
        <v/>
      </c>
      <c r="Q83" s="8" t="str">
        <f t="shared" si="11"/>
        <v/>
      </c>
      <c r="R83" s="8">
        <f>IF(Q83="",0,IF(SUMPRODUCT(--(Q$4:Q83=Q83))&gt;1,1,0))</f>
        <v>0</v>
      </c>
    </row>
    <row r="84" spans="1:18" x14ac:dyDescent="0.25">
      <c r="A84" s="8">
        <v>81</v>
      </c>
      <c r="B84" s="9"/>
      <c r="C84" s="33" t="str">
        <f t="shared" si="6"/>
        <v/>
      </c>
      <c r="D84" s="31"/>
      <c r="E84" s="31"/>
      <c r="F84" s="11"/>
      <c r="G84" s="11"/>
      <c r="H84" s="9"/>
      <c r="I84" s="11"/>
      <c r="J84" s="9"/>
      <c r="K84" s="12" t="str">
        <f t="shared" si="7"/>
        <v/>
      </c>
      <c r="L84" s="12" t="str">
        <f t="shared" si="8"/>
        <v/>
      </c>
      <c r="M84" s="8" t="str">
        <f t="shared" si="9"/>
        <v/>
      </c>
      <c r="N84" s="9"/>
      <c r="O84" s="31"/>
      <c r="P84" s="8" t="str">
        <f t="shared" si="10"/>
        <v/>
      </c>
      <c r="Q84" s="8" t="str">
        <f t="shared" si="11"/>
        <v/>
      </c>
      <c r="R84" s="8">
        <f>IF(Q84="",0,IF(SUMPRODUCT(--(Q$4:Q84=Q84))&gt;1,1,0))</f>
        <v>0</v>
      </c>
    </row>
    <row r="85" spans="1:18" x14ac:dyDescent="0.25">
      <c r="A85" s="8">
        <v>82</v>
      </c>
      <c r="B85" s="9"/>
      <c r="C85" s="33" t="str">
        <f t="shared" si="6"/>
        <v/>
      </c>
      <c r="D85" s="31"/>
      <c r="E85" s="31"/>
      <c r="F85" s="11"/>
      <c r="G85" s="11"/>
      <c r="H85" s="9"/>
      <c r="I85" s="11"/>
      <c r="J85" s="9"/>
      <c r="K85" s="12" t="str">
        <f t="shared" si="7"/>
        <v/>
      </c>
      <c r="L85" s="12" t="str">
        <f t="shared" si="8"/>
        <v/>
      </c>
      <c r="M85" s="8" t="str">
        <f t="shared" si="9"/>
        <v/>
      </c>
      <c r="N85" s="9"/>
      <c r="O85" s="31"/>
      <c r="P85" s="8" t="str">
        <f t="shared" si="10"/>
        <v/>
      </c>
      <c r="Q85" s="8" t="str">
        <f t="shared" si="11"/>
        <v/>
      </c>
      <c r="R85" s="8">
        <f>IF(Q85="",0,IF(SUMPRODUCT(--(Q$4:Q85=Q85))&gt;1,1,0))</f>
        <v>0</v>
      </c>
    </row>
    <row r="86" spans="1:18" x14ac:dyDescent="0.25">
      <c r="A86" s="8">
        <v>83</v>
      </c>
      <c r="B86" s="9"/>
      <c r="C86" s="33" t="str">
        <f t="shared" si="6"/>
        <v/>
      </c>
      <c r="D86" s="31"/>
      <c r="E86" s="31"/>
      <c r="F86" s="11"/>
      <c r="G86" s="11"/>
      <c r="H86" s="9"/>
      <c r="I86" s="11"/>
      <c r="J86" s="9"/>
      <c r="K86" s="12" t="str">
        <f t="shared" si="7"/>
        <v/>
      </c>
      <c r="L86" s="12" t="str">
        <f t="shared" si="8"/>
        <v/>
      </c>
      <c r="M86" s="8" t="str">
        <f t="shared" si="9"/>
        <v/>
      </c>
      <c r="N86" s="9"/>
      <c r="O86" s="31"/>
      <c r="P86" s="8" t="str">
        <f t="shared" si="10"/>
        <v/>
      </c>
      <c r="Q86" s="8" t="str">
        <f t="shared" si="11"/>
        <v/>
      </c>
      <c r="R86" s="8">
        <f>IF(Q86="",0,IF(SUMPRODUCT(--(Q$4:Q86=Q86))&gt;1,1,0))</f>
        <v>0</v>
      </c>
    </row>
    <row r="87" spans="1:18" x14ac:dyDescent="0.25">
      <c r="A87" s="8">
        <v>84</v>
      </c>
      <c r="B87" s="9"/>
      <c r="C87" s="33" t="str">
        <f t="shared" si="6"/>
        <v/>
      </c>
      <c r="D87" s="31"/>
      <c r="E87" s="31"/>
      <c r="F87" s="11"/>
      <c r="G87" s="11"/>
      <c r="H87" s="9"/>
      <c r="I87" s="11"/>
      <c r="J87" s="9"/>
      <c r="K87" s="12" t="str">
        <f t="shared" si="7"/>
        <v/>
      </c>
      <c r="L87" s="12" t="str">
        <f t="shared" si="8"/>
        <v/>
      </c>
      <c r="M87" s="8" t="str">
        <f t="shared" si="9"/>
        <v/>
      </c>
      <c r="N87" s="9"/>
      <c r="O87" s="31"/>
      <c r="P87" s="8" t="str">
        <f t="shared" si="10"/>
        <v/>
      </c>
      <c r="Q87" s="8" t="str">
        <f t="shared" si="11"/>
        <v/>
      </c>
      <c r="R87" s="8">
        <f>IF(Q87="",0,IF(SUMPRODUCT(--(Q$4:Q87=Q87))&gt;1,1,0))</f>
        <v>0</v>
      </c>
    </row>
    <row r="88" spans="1:18" x14ac:dyDescent="0.25">
      <c r="A88" s="8">
        <v>85</v>
      </c>
      <c r="B88" s="9"/>
      <c r="C88" s="33" t="str">
        <f t="shared" si="6"/>
        <v/>
      </c>
      <c r="D88" s="31"/>
      <c r="E88" s="31"/>
      <c r="F88" s="11"/>
      <c r="G88" s="11"/>
      <c r="H88" s="9"/>
      <c r="I88" s="11"/>
      <c r="J88" s="9"/>
      <c r="K88" s="12" t="str">
        <f t="shared" si="7"/>
        <v/>
      </c>
      <c r="L88" s="12" t="str">
        <f t="shared" si="8"/>
        <v/>
      </c>
      <c r="M88" s="8" t="str">
        <f t="shared" si="9"/>
        <v/>
      </c>
      <c r="N88" s="9"/>
      <c r="O88" s="31"/>
      <c r="P88" s="8" t="str">
        <f t="shared" si="10"/>
        <v/>
      </c>
      <c r="Q88" s="8" t="str">
        <f t="shared" si="11"/>
        <v/>
      </c>
      <c r="R88" s="8">
        <f>IF(Q88="",0,IF(SUMPRODUCT(--(Q$4:Q88=Q88))&gt;1,1,0))</f>
        <v>0</v>
      </c>
    </row>
    <row r="89" spans="1:18" x14ac:dyDescent="0.25">
      <c r="A89" s="8">
        <v>86</v>
      </c>
      <c r="B89" s="9"/>
      <c r="C89" s="33" t="str">
        <f t="shared" si="6"/>
        <v/>
      </c>
      <c r="D89" s="31"/>
      <c r="E89" s="31"/>
      <c r="F89" s="11"/>
      <c r="G89" s="11"/>
      <c r="H89" s="9"/>
      <c r="I89" s="11"/>
      <c r="J89" s="9"/>
      <c r="K89" s="12" t="str">
        <f t="shared" si="7"/>
        <v/>
      </c>
      <c r="L89" s="12" t="str">
        <f t="shared" si="8"/>
        <v/>
      </c>
      <c r="M89" s="8" t="str">
        <f t="shared" si="9"/>
        <v/>
      </c>
      <c r="N89" s="9"/>
      <c r="O89" s="31"/>
      <c r="P89" s="8" t="str">
        <f t="shared" si="10"/>
        <v/>
      </c>
      <c r="Q89" s="8" t="str">
        <f t="shared" si="11"/>
        <v/>
      </c>
      <c r="R89" s="8">
        <f>IF(Q89="",0,IF(SUMPRODUCT(--(Q$4:Q89=Q89))&gt;1,1,0))</f>
        <v>0</v>
      </c>
    </row>
    <row r="90" spans="1:18" x14ac:dyDescent="0.25">
      <c r="A90" s="8">
        <v>87</v>
      </c>
      <c r="B90" s="9"/>
      <c r="C90" s="33" t="str">
        <f t="shared" si="6"/>
        <v/>
      </c>
      <c r="D90" s="31"/>
      <c r="E90" s="31"/>
      <c r="F90" s="11"/>
      <c r="G90" s="11"/>
      <c r="H90" s="9"/>
      <c r="I90" s="11"/>
      <c r="J90" s="9"/>
      <c r="K90" s="12" t="str">
        <f t="shared" si="7"/>
        <v/>
      </c>
      <c r="L90" s="12" t="str">
        <f t="shared" si="8"/>
        <v/>
      </c>
      <c r="M90" s="8" t="str">
        <f t="shared" si="9"/>
        <v/>
      </c>
      <c r="N90" s="9"/>
      <c r="O90" s="31"/>
      <c r="P90" s="8" t="str">
        <f t="shared" si="10"/>
        <v/>
      </c>
      <c r="Q90" s="8" t="str">
        <f t="shared" si="11"/>
        <v/>
      </c>
      <c r="R90" s="8">
        <f>IF(Q90="",0,IF(SUMPRODUCT(--(Q$4:Q90=Q90))&gt;1,1,0))</f>
        <v>0</v>
      </c>
    </row>
    <row r="91" spans="1:18" x14ac:dyDescent="0.25">
      <c r="A91" s="8">
        <v>88</v>
      </c>
      <c r="B91" s="9"/>
      <c r="C91" s="33" t="str">
        <f t="shared" si="6"/>
        <v/>
      </c>
      <c r="D91" s="31"/>
      <c r="E91" s="31"/>
      <c r="F91" s="11"/>
      <c r="G91" s="11"/>
      <c r="H91" s="9"/>
      <c r="I91" s="11"/>
      <c r="J91" s="9"/>
      <c r="K91" s="12" t="str">
        <f t="shared" si="7"/>
        <v/>
      </c>
      <c r="L91" s="12" t="str">
        <f t="shared" si="8"/>
        <v/>
      </c>
      <c r="M91" s="8" t="str">
        <f t="shared" si="9"/>
        <v/>
      </c>
      <c r="N91" s="9"/>
      <c r="O91" s="31"/>
      <c r="P91" s="8" t="str">
        <f t="shared" si="10"/>
        <v/>
      </c>
      <c r="Q91" s="8" t="str">
        <f t="shared" si="11"/>
        <v/>
      </c>
      <c r="R91" s="8">
        <f>IF(Q91="",0,IF(SUMPRODUCT(--(Q$4:Q91=Q91))&gt;1,1,0))</f>
        <v>0</v>
      </c>
    </row>
    <row r="92" spans="1:18" x14ac:dyDescent="0.25">
      <c r="A92" s="8">
        <v>89</v>
      </c>
      <c r="B92" s="9"/>
      <c r="C92" s="33" t="str">
        <f t="shared" si="6"/>
        <v/>
      </c>
      <c r="D92" s="31"/>
      <c r="E92" s="31"/>
      <c r="F92" s="11"/>
      <c r="G92" s="11"/>
      <c r="H92" s="9"/>
      <c r="I92" s="11"/>
      <c r="J92" s="9"/>
      <c r="K92" s="12" t="str">
        <f t="shared" si="7"/>
        <v/>
      </c>
      <c r="L92" s="12" t="str">
        <f t="shared" si="8"/>
        <v/>
      </c>
      <c r="M92" s="8" t="str">
        <f t="shared" si="9"/>
        <v/>
      </c>
      <c r="N92" s="9"/>
      <c r="O92" s="31"/>
      <c r="P92" s="8" t="str">
        <f t="shared" si="10"/>
        <v/>
      </c>
      <c r="Q92" s="8" t="str">
        <f t="shared" si="11"/>
        <v/>
      </c>
      <c r="R92" s="8">
        <f>IF(Q92="",0,IF(SUMPRODUCT(--(Q$4:Q92=Q92))&gt;1,1,0))</f>
        <v>0</v>
      </c>
    </row>
    <row r="93" spans="1:18" x14ac:dyDescent="0.25">
      <c r="A93" s="8">
        <v>90</v>
      </c>
      <c r="B93" s="9"/>
      <c r="C93" s="33" t="str">
        <f t="shared" si="6"/>
        <v/>
      </c>
      <c r="D93" s="31"/>
      <c r="E93" s="31"/>
      <c r="F93" s="11"/>
      <c r="G93" s="11"/>
      <c r="H93" s="9"/>
      <c r="I93" s="11"/>
      <c r="J93" s="9"/>
      <c r="K93" s="12" t="str">
        <f t="shared" si="7"/>
        <v/>
      </c>
      <c r="L93" s="12" t="str">
        <f t="shared" si="8"/>
        <v/>
      </c>
      <c r="M93" s="8" t="str">
        <f t="shared" si="9"/>
        <v/>
      </c>
      <c r="N93" s="9"/>
      <c r="O93" s="31"/>
      <c r="P93" s="8" t="str">
        <f t="shared" si="10"/>
        <v/>
      </c>
      <c r="Q93" s="8" t="str">
        <f t="shared" si="11"/>
        <v/>
      </c>
      <c r="R93" s="8">
        <f>IF(Q93="",0,IF(SUMPRODUCT(--(Q$4:Q93=Q93))&gt;1,1,0))</f>
        <v>0</v>
      </c>
    </row>
    <row r="94" spans="1:18" x14ac:dyDescent="0.25">
      <c r="A94" s="8">
        <v>91</v>
      </c>
      <c r="B94" s="9"/>
      <c r="C94" s="33" t="str">
        <f t="shared" si="6"/>
        <v/>
      </c>
      <c r="D94" s="31"/>
      <c r="E94" s="31"/>
      <c r="F94" s="11"/>
      <c r="G94" s="11"/>
      <c r="H94" s="9"/>
      <c r="I94" s="11"/>
      <c r="J94" s="9"/>
      <c r="K94" s="12" t="str">
        <f t="shared" si="7"/>
        <v/>
      </c>
      <c r="L94" s="12" t="str">
        <f t="shared" si="8"/>
        <v/>
      </c>
      <c r="M94" s="8" t="str">
        <f t="shared" si="9"/>
        <v/>
      </c>
      <c r="N94" s="9"/>
      <c r="O94" s="31"/>
      <c r="P94" s="8" t="str">
        <f t="shared" si="10"/>
        <v/>
      </c>
      <c r="Q94" s="8" t="str">
        <f t="shared" si="11"/>
        <v/>
      </c>
      <c r="R94" s="8">
        <f>IF(Q94="",0,IF(SUMPRODUCT(--(Q$4:Q94=Q94))&gt;1,1,0))</f>
        <v>0</v>
      </c>
    </row>
    <row r="95" spans="1:18" x14ac:dyDescent="0.25">
      <c r="A95" s="8">
        <v>92</v>
      </c>
      <c r="B95" s="9"/>
      <c r="C95" s="33" t="str">
        <f t="shared" si="6"/>
        <v/>
      </c>
      <c r="D95" s="31"/>
      <c r="E95" s="31"/>
      <c r="F95" s="11"/>
      <c r="G95" s="11"/>
      <c r="H95" s="9"/>
      <c r="I95" s="11"/>
      <c r="J95" s="9"/>
      <c r="K95" s="12" t="str">
        <f t="shared" si="7"/>
        <v/>
      </c>
      <c r="L95" s="12" t="str">
        <f t="shared" si="8"/>
        <v/>
      </c>
      <c r="M95" s="8" t="str">
        <f t="shared" si="9"/>
        <v/>
      </c>
      <c r="N95" s="9"/>
      <c r="O95" s="31"/>
      <c r="P95" s="8" t="str">
        <f t="shared" si="10"/>
        <v/>
      </c>
      <c r="Q95" s="8" t="str">
        <f t="shared" si="11"/>
        <v/>
      </c>
      <c r="R95" s="8">
        <f>IF(Q95="",0,IF(SUMPRODUCT(--(Q$4:Q95=Q95))&gt;1,1,0))</f>
        <v>0</v>
      </c>
    </row>
    <row r="96" spans="1:18" x14ac:dyDescent="0.25">
      <c r="A96" s="8">
        <v>93</v>
      </c>
      <c r="B96" s="9"/>
      <c r="C96" s="33" t="str">
        <f t="shared" si="6"/>
        <v/>
      </c>
      <c r="D96" s="31"/>
      <c r="E96" s="31"/>
      <c r="F96" s="11"/>
      <c r="G96" s="11"/>
      <c r="H96" s="9"/>
      <c r="I96" s="11"/>
      <c r="J96" s="9"/>
      <c r="K96" s="12" t="str">
        <f t="shared" si="7"/>
        <v/>
      </c>
      <c r="L96" s="12" t="str">
        <f t="shared" si="8"/>
        <v/>
      </c>
      <c r="M96" s="8" t="str">
        <f t="shared" si="9"/>
        <v/>
      </c>
      <c r="N96" s="9"/>
      <c r="O96" s="31"/>
      <c r="P96" s="8" t="str">
        <f t="shared" si="10"/>
        <v/>
      </c>
      <c r="Q96" s="8" t="str">
        <f t="shared" si="11"/>
        <v/>
      </c>
      <c r="R96" s="8">
        <f>IF(Q96="",0,IF(SUMPRODUCT(--(Q$4:Q96=Q96))&gt;1,1,0))</f>
        <v>0</v>
      </c>
    </row>
    <row r="97" spans="1:18" x14ac:dyDescent="0.25">
      <c r="A97" s="8">
        <v>94</v>
      </c>
      <c r="B97" s="9"/>
      <c r="C97" s="33" t="str">
        <f t="shared" si="6"/>
        <v/>
      </c>
      <c r="D97" s="31"/>
      <c r="E97" s="31"/>
      <c r="F97" s="11"/>
      <c r="G97" s="11"/>
      <c r="H97" s="9"/>
      <c r="I97" s="11"/>
      <c r="J97" s="9"/>
      <c r="K97" s="12" t="str">
        <f t="shared" si="7"/>
        <v/>
      </c>
      <c r="L97" s="12" t="str">
        <f t="shared" si="8"/>
        <v/>
      </c>
      <c r="M97" s="8" t="str">
        <f t="shared" si="9"/>
        <v/>
      </c>
      <c r="N97" s="9"/>
      <c r="O97" s="31"/>
      <c r="P97" s="8" t="str">
        <f t="shared" si="10"/>
        <v/>
      </c>
      <c r="Q97" s="8" t="str">
        <f t="shared" si="11"/>
        <v/>
      </c>
      <c r="R97" s="8">
        <f>IF(Q97="",0,IF(SUMPRODUCT(--(Q$4:Q97=Q97))&gt;1,1,0))</f>
        <v>0</v>
      </c>
    </row>
    <row r="98" spans="1:18" x14ac:dyDescent="0.25">
      <c r="A98" s="8">
        <v>95</v>
      </c>
      <c r="B98" s="9"/>
      <c r="C98" s="33" t="str">
        <f t="shared" si="6"/>
        <v/>
      </c>
      <c r="D98" s="31"/>
      <c r="E98" s="31"/>
      <c r="F98" s="11"/>
      <c r="G98" s="11"/>
      <c r="H98" s="9"/>
      <c r="I98" s="11"/>
      <c r="J98" s="9"/>
      <c r="K98" s="12" t="str">
        <f t="shared" si="7"/>
        <v/>
      </c>
      <c r="L98" s="12" t="str">
        <f t="shared" si="8"/>
        <v/>
      </c>
      <c r="M98" s="8" t="str">
        <f t="shared" si="9"/>
        <v/>
      </c>
      <c r="N98" s="9"/>
      <c r="O98" s="31"/>
      <c r="P98" s="8" t="str">
        <f t="shared" si="10"/>
        <v/>
      </c>
      <c r="Q98" s="8" t="str">
        <f t="shared" si="11"/>
        <v/>
      </c>
      <c r="R98" s="8">
        <f>IF(Q98="",0,IF(SUMPRODUCT(--(Q$4:Q98=Q98))&gt;1,1,0))</f>
        <v>0</v>
      </c>
    </row>
    <row r="99" spans="1:18" x14ac:dyDescent="0.25">
      <c r="A99" s="8">
        <v>96</v>
      </c>
      <c r="B99" s="9"/>
      <c r="C99" s="33" t="str">
        <f t="shared" si="6"/>
        <v/>
      </c>
      <c r="D99" s="31"/>
      <c r="E99" s="31"/>
      <c r="F99" s="11"/>
      <c r="G99" s="11"/>
      <c r="H99" s="9"/>
      <c r="I99" s="11"/>
      <c r="J99" s="9"/>
      <c r="K99" s="12" t="str">
        <f t="shared" si="7"/>
        <v/>
      </c>
      <c r="L99" s="12" t="str">
        <f t="shared" si="8"/>
        <v/>
      </c>
      <c r="M99" s="8" t="str">
        <f t="shared" si="9"/>
        <v/>
      </c>
      <c r="N99" s="9"/>
      <c r="O99" s="31"/>
      <c r="P99" s="8" t="str">
        <f t="shared" si="10"/>
        <v/>
      </c>
      <c r="Q99" s="8" t="str">
        <f t="shared" si="11"/>
        <v/>
      </c>
      <c r="R99" s="8">
        <f>IF(Q99="",0,IF(SUMPRODUCT(--(Q$4:Q99=Q99))&gt;1,1,0))</f>
        <v>0</v>
      </c>
    </row>
    <row r="100" spans="1:18" x14ac:dyDescent="0.25">
      <c r="A100" s="8">
        <v>97</v>
      </c>
      <c r="B100" s="9"/>
      <c r="C100" s="33" t="str">
        <f t="shared" si="6"/>
        <v/>
      </c>
      <c r="D100" s="31"/>
      <c r="E100" s="31"/>
      <c r="F100" s="11"/>
      <c r="G100" s="11"/>
      <c r="H100" s="9"/>
      <c r="I100" s="11"/>
      <c r="J100" s="9"/>
      <c r="K100" s="12" t="str">
        <f t="shared" si="7"/>
        <v/>
      </c>
      <c r="L100" s="12" t="str">
        <f t="shared" si="8"/>
        <v/>
      </c>
      <c r="M100" s="8" t="str">
        <f t="shared" si="9"/>
        <v/>
      </c>
      <c r="N100" s="9"/>
      <c r="O100" s="31"/>
      <c r="P100" s="8" t="str">
        <f t="shared" si="10"/>
        <v/>
      </c>
      <c r="Q100" s="8" t="str">
        <f t="shared" si="11"/>
        <v/>
      </c>
      <c r="R100" s="8">
        <f>IF(Q100="",0,IF(SUMPRODUCT(--(Q$4:Q100=Q100))&gt;1,1,0))</f>
        <v>0</v>
      </c>
    </row>
    <row r="101" spans="1:18" x14ac:dyDescent="0.25">
      <c r="A101" s="8">
        <v>98</v>
      </c>
      <c r="B101" s="9"/>
      <c r="C101" s="33" t="str">
        <f t="shared" si="6"/>
        <v/>
      </c>
      <c r="D101" s="31"/>
      <c r="E101" s="31"/>
      <c r="F101" s="11"/>
      <c r="G101" s="11"/>
      <c r="H101" s="9"/>
      <c r="I101" s="11"/>
      <c r="J101" s="9"/>
      <c r="K101" s="12" t="str">
        <f t="shared" si="7"/>
        <v/>
      </c>
      <c r="L101" s="12" t="str">
        <f t="shared" si="8"/>
        <v/>
      </c>
      <c r="M101" s="8" t="str">
        <f t="shared" si="9"/>
        <v/>
      </c>
      <c r="N101" s="9"/>
      <c r="O101" s="31"/>
      <c r="P101" s="8" t="str">
        <f t="shared" si="10"/>
        <v/>
      </c>
      <c r="Q101" s="8" t="str">
        <f t="shared" si="11"/>
        <v/>
      </c>
      <c r="R101" s="8">
        <f>IF(Q101="",0,IF(SUMPRODUCT(--(Q$4:Q101=Q101))&gt;1,1,0))</f>
        <v>0</v>
      </c>
    </row>
    <row r="102" spans="1:18" x14ac:dyDescent="0.25">
      <c r="A102" s="8">
        <v>99</v>
      </c>
      <c r="B102" s="9"/>
      <c r="C102" s="33" t="str">
        <f t="shared" si="6"/>
        <v/>
      </c>
      <c r="D102" s="31"/>
      <c r="E102" s="31"/>
      <c r="F102" s="11"/>
      <c r="G102" s="11"/>
      <c r="H102" s="9"/>
      <c r="I102" s="11"/>
      <c r="J102" s="9"/>
      <c r="K102" s="12" t="str">
        <f t="shared" si="7"/>
        <v/>
      </c>
      <c r="L102" s="12" t="str">
        <f t="shared" si="8"/>
        <v/>
      </c>
      <c r="M102" s="8" t="str">
        <f t="shared" si="9"/>
        <v/>
      </c>
      <c r="N102" s="9"/>
      <c r="O102" s="31"/>
      <c r="P102" s="8" t="str">
        <f t="shared" si="10"/>
        <v/>
      </c>
      <c r="Q102" s="8" t="str">
        <f t="shared" si="11"/>
        <v/>
      </c>
      <c r="R102" s="8">
        <f>IF(Q102="",0,IF(SUMPRODUCT(--(Q$4:Q102=Q102))&gt;1,1,0))</f>
        <v>0</v>
      </c>
    </row>
    <row r="103" spans="1:18" x14ac:dyDescent="0.25">
      <c r="A103" s="8">
        <v>100</v>
      </c>
      <c r="B103" s="9"/>
      <c r="C103" s="33" t="str">
        <f t="shared" si="6"/>
        <v/>
      </c>
      <c r="D103" s="31"/>
      <c r="E103" s="31"/>
      <c r="F103" s="11"/>
      <c r="G103" s="11"/>
      <c r="H103" s="9"/>
      <c r="I103" s="11"/>
      <c r="J103" s="9"/>
      <c r="K103" s="12" t="str">
        <f t="shared" si="7"/>
        <v/>
      </c>
      <c r="L103" s="12" t="str">
        <f t="shared" si="8"/>
        <v/>
      </c>
      <c r="M103" s="8" t="str">
        <f t="shared" si="9"/>
        <v/>
      </c>
      <c r="N103" s="9"/>
      <c r="O103" s="31"/>
      <c r="P103" s="8" t="str">
        <f t="shared" si="10"/>
        <v/>
      </c>
      <c r="Q103" s="8" t="str">
        <f t="shared" si="11"/>
        <v/>
      </c>
      <c r="R103" s="8">
        <f>IF(Q103="",0,IF(SUMPRODUCT(--(Q$4:Q103=Q103))&gt;1,1,0))</f>
        <v>0</v>
      </c>
    </row>
    <row r="104" spans="1:18" x14ac:dyDescent="0.25">
      <c r="A104" s="8">
        <v>101</v>
      </c>
      <c r="B104" s="9"/>
      <c r="C104" s="33" t="str">
        <f t="shared" si="6"/>
        <v/>
      </c>
      <c r="D104" s="31"/>
      <c r="E104" s="31"/>
      <c r="F104" s="11"/>
      <c r="G104" s="11"/>
      <c r="H104" s="9"/>
      <c r="I104" s="11"/>
      <c r="J104" s="9"/>
      <c r="K104" s="12" t="str">
        <f t="shared" si="7"/>
        <v/>
      </c>
      <c r="L104" s="12" t="str">
        <f t="shared" si="8"/>
        <v/>
      </c>
      <c r="M104" s="8" t="str">
        <f t="shared" si="9"/>
        <v/>
      </c>
      <c r="N104" s="9"/>
      <c r="O104" s="31"/>
      <c r="P104" s="8" t="str">
        <f t="shared" si="10"/>
        <v/>
      </c>
      <c r="Q104" s="8" t="str">
        <f t="shared" si="11"/>
        <v/>
      </c>
      <c r="R104" s="8">
        <f>IF(Q104="",0,IF(SUMPRODUCT(--(Q$4:Q104=Q104))&gt;1,1,0))</f>
        <v>0</v>
      </c>
    </row>
    <row r="105" spans="1:18" x14ac:dyDescent="0.25">
      <c r="A105" s="8">
        <v>102</v>
      </c>
      <c r="B105" s="9"/>
      <c r="C105" s="33" t="str">
        <f t="shared" si="6"/>
        <v/>
      </c>
      <c r="D105" s="31"/>
      <c r="E105" s="31"/>
      <c r="F105" s="11"/>
      <c r="G105" s="11"/>
      <c r="H105" s="9"/>
      <c r="I105" s="11"/>
      <c r="J105" s="9"/>
      <c r="K105" s="12" t="str">
        <f t="shared" si="7"/>
        <v/>
      </c>
      <c r="L105" s="12" t="str">
        <f t="shared" si="8"/>
        <v/>
      </c>
      <c r="M105" s="8" t="str">
        <f t="shared" si="9"/>
        <v/>
      </c>
      <c r="N105" s="9"/>
      <c r="O105" s="31"/>
      <c r="P105" s="8" t="str">
        <f t="shared" si="10"/>
        <v/>
      </c>
      <c r="Q105" s="8" t="str">
        <f t="shared" si="11"/>
        <v/>
      </c>
      <c r="R105" s="8">
        <f>IF(Q105="",0,IF(SUMPRODUCT(--(Q$4:Q105=Q105))&gt;1,1,0))</f>
        <v>0</v>
      </c>
    </row>
    <row r="106" spans="1:18" x14ac:dyDescent="0.25">
      <c r="A106" s="8">
        <v>103</v>
      </c>
      <c r="B106" s="9"/>
      <c r="C106" s="33" t="str">
        <f t="shared" si="6"/>
        <v/>
      </c>
      <c r="D106" s="31"/>
      <c r="E106" s="31"/>
      <c r="F106" s="11"/>
      <c r="G106" s="11"/>
      <c r="H106" s="9"/>
      <c r="I106" s="11"/>
      <c r="J106" s="9"/>
      <c r="K106" s="12" t="str">
        <f t="shared" si="7"/>
        <v/>
      </c>
      <c r="L106" s="12" t="str">
        <f t="shared" si="8"/>
        <v/>
      </c>
      <c r="M106" s="8" t="str">
        <f t="shared" si="9"/>
        <v/>
      </c>
      <c r="N106" s="9"/>
      <c r="O106" s="31"/>
      <c r="P106" s="8" t="str">
        <f t="shared" si="10"/>
        <v/>
      </c>
      <c r="Q106" s="8" t="str">
        <f t="shared" si="11"/>
        <v/>
      </c>
      <c r="R106" s="8">
        <f>IF(Q106="",0,IF(SUMPRODUCT(--(Q$4:Q106=Q106))&gt;1,1,0))</f>
        <v>0</v>
      </c>
    </row>
    <row r="107" spans="1:18" x14ac:dyDescent="0.25">
      <c r="A107" s="8">
        <v>104</v>
      </c>
      <c r="B107" s="9"/>
      <c r="C107" s="33" t="str">
        <f t="shared" si="6"/>
        <v/>
      </c>
      <c r="D107" s="31"/>
      <c r="E107" s="31"/>
      <c r="F107" s="11"/>
      <c r="G107" s="11"/>
      <c r="H107" s="9"/>
      <c r="I107" s="11"/>
      <c r="J107" s="9"/>
      <c r="K107" s="12" t="str">
        <f t="shared" si="7"/>
        <v/>
      </c>
      <c r="L107" s="12" t="str">
        <f t="shared" si="8"/>
        <v/>
      </c>
      <c r="M107" s="8" t="str">
        <f t="shared" si="9"/>
        <v/>
      </c>
      <c r="N107" s="9"/>
      <c r="O107" s="31"/>
      <c r="P107" s="8" t="str">
        <f t="shared" si="10"/>
        <v/>
      </c>
      <c r="Q107" s="8" t="str">
        <f t="shared" si="11"/>
        <v/>
      </c>
      <c r="R107" s="8">
        <f>IF(Q107="",0,IF(SUMPRODUCT(--(Q$4:Q107=Q107))&gt;1,1,0))</f>
        <v>0</v>
      </c>
    </row>
    <row r="108" spans="1:18" x14ac:dyDescent="0.25">
      <c r="A108" s="8">
        <v>105</v>
      </c>
      <c r="B108" s="9"/>
      <c r="C108" s="33" t="str">
        <f t="shared" si="6"/>
        <v/>
      </c>
      <c r="D108" s="31"/>
      <c r="E108" s="31"/>
      <c r="F108" s="11"/>
      <c r="G108" s="11"/>
      <c r="H108" s="9"/>
      <c r="I108" s="11"/>
      <c r="J108" s="9"/>
      <c r="K108" s="12" t="str">
        <f t="shared" si="7"/>
        <v/>
      </c>
      <c r="L108" s="12" t="str">
        <f t="shared" si="8"/>
        <v/>
      </c>
      <c r="M108" s="8" t="str">
        <f t="shared" si="9"/>
        <v/>
      </c>
      <c r="N108" s="9"/>
      <c r="O108" s="31"/>
      <c r="P108" s="8" t="str">
        <f t="shared" si="10"/>
        <v/>
      </c>
      <c r="Q108" s="8" t="str">
        <f t="shared" si="11"/>
        <v/>
      </c>
      <c r="R108" s="8">
        <f>IF(Q108="",0,IF(SUMPRODUCT(--(Q$4:Q108=Q108))&gt;1,1,0))</f>
        <v>0</v>
      </c>
    </row>
    <row r="109" spans="1:18" x14ac:dyDescent="0.25">
      <c r="A109" s="8">
        <v>106</v>
      </c>
      <c r="B109" s="9"/>
      <c r="C109" s="33" t="str">
        <f t="shared" si="6"/>
        <v/>
      </c>
      <c r="D109" s="31"/>
      <c r="E109" s="31"/>
      <c r="F109" s="11"/>
      <c r="G109" s="11"/>
      <c r="H109" s="9"/>
      <c r="I109" s="11"/>
      <c r="J109" s="9"/>
      <c r="K109" s="12" t="str">
        <f t="shared" si="7"/>
        <v/>
      </c>
      <c r="L109" s="12" t="str">
        <f t="shared" si="8"/>
        <v/>
      </c>
      <c r="M109" s="8" t="str">
        <f t="shared" si="9"/>
        <v/>
      </c>
      <c r="N109" s="9"/>
      <c r="O109" s="31"/>
      <c r="P109" s="8" t="str">
        <f t="shared" si="10"/>
        <v/>
      </c>
      <c r="Q109" s="8" t="str">
        <f t="shared" si="11"/>
        <v/>
      </c>
      <c r="R109" s="8">
        <f>IF(Q109="",0,IF(SUMPRODUCT(--(Q$4:Q109=Q109))&gt;1,1,0))</f>
        <v>0</v>
      </c>
    </row>
    <row r="110" spans="1:18" x14ac:dyDescent="0.25">
      <c r="A110" s="8">
        <v>107</v>
      </c>
      <c r="B110" s="9"/>
      <c r="C110" s="33" t="str">
        <f t="shared" si="6"/>
        <v/>
      </c>
      <c r="D110" s="31"/>
      <c r="E110" s="31"/>
      <c r="F110" s="11"/>
      <c r="G110" s="11"/>
      <c r="H110" s="9"/>
      <c r="I110" s="11"/>
      <c r="J110" s="9"/>
      <c r="K110" s="12" t="str">
        <f t="shared" si="7"/>
        <v/>
      </c>
      <c r="L110" s="12" t="str">
        <f t="shared" si="8"/>
        <v/>
      </c>
      <c r="M110" s="8" t="str">
        <f t="shared" si="9"/>
        <v/>
      </c>
      <c r="N110" s="9"/>
      <c r="O110" s="31"/>
      <c r="P110" s="8" t="str">
        <f t="shared" si="10"/>
        <v/>
      </c>
      <c r="Q110" s="8" t="str">
        <f t="shared" si="11"/>
        <v/>
      </c>
      <c r="R110" s="8">
        <f>IF(Q110="",0,IF(SUMPRODUCT(--(Q$4:Q110=Q110))&gt;1,1,0))</f>
        <v>0</v>
      </c>
    </row>
    <row r="111" spans="1:18" x14ac:dyDescent="0.25">
      <c r="A111" s="8">
        <v>108</v>
      </c>
      <c r="B111" s="9"/>
      <c r="C111" s="33" t="str">
        <f t="shared" si="6"/>
        <v/>
      </c>
      <c r="D111" s="31"/>
      <c r="E111" s="31"/>
      <c r="F111" s="11"/>
      <c r="G111" s="11"/>
      <c r="H111" s="9"/>
      <c r="I111" s="11"/>
      <c r="J111" s="9"/>
      <c r="K111" s="12" t="str">
        <f t="shared" si="7"/>
        <v/>
      </c>
      <c r="L111" s="12" t="str">
        <f t="shared" si="8"/>
        <v/>
      </c>
      <c r="M111" s="8" t="str">
        <f t="shared" si="9"/>
        <v/>
      </c>
      <c r="N111" s="9"/>
      <c r="O111" s="31"/>
      <c r="P111" s="8" t="str">
        <f t="shared" si="10"/>
        <v/>
      </c>
      <c r="Q111" s="8" t="str">
        <f t="shared" si="11"/>
        <v/>
      </c>
      <c r="R111" s="8">
        <f>IF(Q111="",0,IF(SUMPRODUCT(--(Q$4:Q111=Q111))&gt;1,1,0))</f>
        <v>0</v>
      </c>
    </row>
    <row r="112" spans="1:18" x14ac:dyDescent="0.25">
      <c r="A112" s="8">
        <v>109</v>
      </c>
      <c r="B112" s="9"/>
      <c r="C112" s="33" t="str">
        <f t="shared" si="6"/>
        <v/>
      </c>
      <c r="D112" s="31"/>
      <c r="E112" s="31"/>
      <c r="F112" s="11"/>
      <c r="G112" s="11"/>
      <c r="H112" s="9"/>
      <c r="I112" s="11"/>
      <c r="J112" s="9"/>
      <c r="K112" s="12" t="str">
        <f t="shared" si="7"/>
        <v/>
      </c>
      <c r="L112" s="12" t="str">
        <f t="shared" si="8"/>
        <v/>
      </c>
      <c r="M112" s="8" t="str">
        <f t="shared" si="9"/>
        <v/>
      </c>
      <c r="N112" s="9"/>
      <c r="O112" s="31"/>
      <c r="P112" s="8" t="str">
        <f t="shared" si="10"/>
        <v/>
      </c>
      <c r="Q112" s="8" t="str">
        <f t="shared" si="11"/>
        <v/>
      </c>
      <c r="R112" s="8">
        <f>IF(Q112="",0,IF(SUMPRODUCT(--(Q$4:Q112=Q112))&gt;1,1,0))</f>
        <v>0</v>
      </c>
    </row>
    <row r="113" spans="1:18" x14ac:dyDescent="0.25">
      <c r="A113" s="8">
        <v>110</v>
      </c>
      <c r="B113" s="9"/>
      <c r="C113" s="33" t="str">
        <f t="shared" si="6"/>
        <v/>
      </c>
      <c r="D113" s="31"/>
      <c r="E113" s="31"/>
      <c r="F113" s="11"/>
      <c r="G113" s="11"/>
      <c r="H113" s="9"/>
      <c r="I113" s="11"/>
      <c r="J113" s="9"/>
      <c r="K113" s="12" t="str">
        <f t="shared" si="7"/>
        <v/>
      </c>
      <c r="L113" s="12" t="str">
        <f t="shared" si="8"/>
        <v/>
      </c>
      <c r="M113" s="8" t="str">
        <f t="shared" si="9"/>
        <v/>
      </c>
      <c r="N113" s="9"/>
      <c r="O113" s="31"/>
      <c r="P113" s="8" t="str">
        <f t="shared" si="10"/>
        <v/>
      </c>
      <c r="Q113" s="8" t="str">
        <f t="shared" si="11"/>
        <v/>
      </c>
      <c r="R113" s="8">
        <f>IF(Q113="",0,IF(SUMPRODUCT(--(Q$4:Q113=Q113))&gt;1,1,0))</f>
        <v>0</v>
      </c>
    </row>
    <row r="114" spans="1:18" x14ac:dyDescent="0.25">
      <c r="A114" s="8">
        <v>111</v>
      </c>
      <c r="B114" s="9"/>
      <c r="C114" s="33" t="str">
        <f t="shared" si="6"/>
        <v/>
      </c>
      <c r="D114" s="31"/>
      <c r="E114" s="31"/>
      <c r="F114" s="11"/>
      <c r="G114" s="11"/>
      <c r="H114" s="9"/>
      <c r="I114" s="11"/>
      <c r="J114" s="9"/>
      <c r="K114" s="12" t="str">
        <f t="shared" si="7"/>
        <v/>
      </c>
      <c r="L114" s="12" t="str">
        <f t="shared" si="8"/>
        <v/>
      </c>
      <c r="M114" s="8" t="str">
        <f t="shared" si="9"/>
        <v/>
      </c>
      <c r="N114" s="9"/>
      <c r="O114" s="31"/>
      <c r="P114" s="8" t="str">
        <f t="shared" si="10"/>
        <v/>
      </c>
      <c r="Q114" s="8" t="str">
        <f t="shared" si="11"/>
        <v/>
      </c>
      <c r="R114" s="8">
        <f>IF(Q114="",0,IF(SUMPRODUCT(--(Q$4:Q114=Q114))&gt;1,1,0))</f>
        <v>0</v>
      </c>
    </row>
    <row r="115" spans="1:18" x14ac:dyDescent="0.25">
      <c r="A115" s="8">
        <v>112</v>
      </c>
      <c r="B115" s="9"/>
      <c r="C115" s="33" t="str">
        <f t="shared" si="6"/>
        <v/>
      </c>
      <c r="D115" s="31"/>
      <c r="E115" s="31"/>
      <c r="F115" s="11"/>
      <c r="G115" s="11"/>
      <c r="H115" s="9"/>
      <c r="I115" s="11"/>
      <c r="J115" s="9"/>
      <c r="K115" s="12" t="str">
        <f t="shared" si="7"/>
        <v/>
      </c>
      <c r="L115" s="12" t="str">
        <f t="shared" si="8"/>
        <v/>
      </c>
      <c r="M115" s="8" t="str">
        <f t="shared" si="9"/>
        <v/>
      </c>
      <c r="N115" s="9"/>
      <c r="O115" s="31"/>
      <c r="P115" s="8" t="str">
        <f t="shared" si="10"/>
        <v/>
      </c>
      <c r="Q115" s="8" t="str">
        <f t="shared" si="11"/>
        <v/>
      </c>
      <c r="R115" s="8">
        <f>IF(Q115="",0,IF(SUMPRODUCT(--(Q$4:Q115=Q115))&gt;1,1,0))</f>
        <v>0</v>
      </c>
    </row>
    <row r="116" spans="1:18" x14ac:dyDescent="0.25">
      <c r="A116" s="8">
        <v>113</v>
      </c>
      <c r="B116" s="9"/>
      <c r="C116" s="33" t="str">
        <f t="shared" si="6"/>
        <v/>
      </c>
      <c r="D116" s="31"/>
      <c r="E116" s="31"/>
      <c r="F116" s="11"/>
      <c r="G116" s="11"/>
      <c r="H116" s="9"/>
      <c r="I116" s="11"/>
      <c r="J116" s="9"/>
      <c r="K116" s="12" t="str">
        <f t="shared" si="7"/>
        <v/>
      </c>
      <c r="L116" s="12" t="str">
        <f t="shared" si="8"/>
        <v/>
      </c>
      <c r="M116" s="8" t="str">
        <f t="shared" si="9"/>
        <v/>
      </c>
      <c r="N116" s="9"/>
      <c r="O116" s="31"/>
      <c r="P116" s="8" t="str">
        <f t="shared" si="10"/>
        <v/>
      </c>
      <c r="Q116" s="8" t="str">
        <f t="shared" si="11"/>
        <v/>
      </c>
      <c r="R116" s="8">
        <f>IF(Q116="",0,IF(SUMPRODUCT(--(Q$4:Q116=Q116))&gt;1,1,0))</f>
        <v>0</v>
      </c>
    </row>
    <row r="117" spans="1:18" x14ac:dyDescent="0.25">
      <c r="A117" s="8">
        <v>114</v>
      </c>
      <c r="B117" s="9"/>
      <c r="C117" s="33" t="str">
        <f t="shared" si="6"/>
        <v/>
      </c>
      <c r="D117" s="31"/>
      <c r="E117" s="31"/>
      <c r="F117" s="11"/>
      <c r="G117" s="11"/>
      <c r="H117" s="9"/>
      <c r="I117" s="11"/>
      <c r="J117" s="9"/>
      <c r="K117" s="12" t="str">
        <f t="shared" si="7"/>
        <v/>
      </c>
      <c r="L117" s="12" t="str">
        <f t="shared" si="8"/>
        <v/>
      </c>
      <c r="M117" s="8" t="str">
        <f t="shared" si="9"/>
        <v/>
      </c>
      <c r="N117" s="9"/>
      <c r="O117" s="31"/>
      <c r="P117" s="8" t="str">
        <f t="shared" si="10"/>
        <v/>
      </c>
      <c r="Q117" s="8" t="str">
        <f t="shared" si="11"/>
        <v/>
      </c>
      <c r="R117" s="8">
        <f>IF(Q117="",0,IF(SUMPRODUCT(--(Q$4:Q117=Q117))&gt;1,1,0))</f>
        <v>0</v>
      </c>
    </row>
    <row r="118" spans="1:18" x14ac:dyDescent="0.25">
      <c r="A118" s="8">
        <v>115</v>
      </c>
      <c r="B118" s="9"/>
      <c r="C118" s="33" t="str">
        <f t="shared" si="6"/>
        <v/>
      </c>
      <c r="D118" s="31"/>
      <c r="E118" s="31"/>
      <c r="F118" s="11"/>
      <c r="G118" s="11"/>
      <c r="H118" s="9"/>
      <c r="I118" s="11"/>
      <c r="J118" s="9"/>
      <c r="K118" s="12" t="str">
        <f t="shared" si="7"/>
        <v/>
      </c>
      <c r="L118" s="12" t="str">
        <f t="shared" si="8"/>
        <v/>
      </c>
      <c r="M118" s="8" t="str">
        <f t="shared" si="9"/>
        <v/>
      </c>
      <c r="N118" s="9"/>
      <c r="O118" s="31"/>
      <c r="P118" s="8" t="str">
        <f t="shared" si="10"/>
        <v/>
      </c>
      <c r="Q118" s="8" t="str">
        <f t="shared" si="11"/>
        <v/>
      </c>
      <c r="R118" s="8">
        <f>IF(Q118="",0,IF(SUMPRODUCT(--(Q$4:Q118=Q118))&gt;1,1,0))</f>
        <v>0</v>
      </c>
    </row>
    <row r="119" spans="1:18" x14ac:dyDescent="0.25">
      <c r="A119" s="8">
        <v>116</v>
      </c>
      <c r="B119" s="9"/>
      <c r="C119" s="33" t="str">
        <f t="shared" si="6"/>
        <v/>
      </c>
      <c r="D119" s="31"/>
      <c r="E119" s="31"/>
      <c r="F119" s="11"/>
      <c r="G119" s="11"/>
      <c r="H119" s="9"/>
      <c r="I119" s="11"/>
      <c r="J119" s="9"/>
      <c r="K119" s="12" t="str">
        <f t="shared" si="7"/>
        <v/>
      </c>
      <c r="L119" s="12" t="str">
        <f t="shared" si="8"/>
        <v/>
      </c>
      <c r="M119" s="8" t="str">
        <f t="shared" si="9"/>
        <v/>
      </c>
      <c r="N119" s="9"/>
      <c r="O119" s="31"/>
      <c r="P119" s="8" t="str">
        <f t="shared" si="10"/>
        <v/>
      </c>
      <c r="Q119" s="8" t="str">
        <f t="shared" si="11"/>
        <v/>
      </c>
      <c r="R119" s="8">
        <f>IF(Q119="",0,IF(SUMPRODUCT(--(Q$4:Q119=Q119))&gt;1,1,0))</f>
        <v>0</v>
      </c>
    </row>
    <row r="120" spans="1:18" x14ac:dyDescent="0.25">
      <c r="A120" s="8">
        <v>117</v>
      </c>
      <c r="B120" s="9"/>
      <c r="C120" s="33" t="str">
        <f t="shared" si="6"/>
        <v/>
      </c>
      <c r="D120" s="31"/>
      <c r="E120" s="31"/>
      <c r="F120" s="11"/>
      <c r="G120" s="11"/>
      <c r="H120" s="9"/>
      <c r="I120" s="11"/>
      <c r="J120" s="9"/>
      <c r="K120" s="12" t="str">
        <f t="shared" si="7"/>
        <v/>
      </c>
      <c r="L120" s="12" t="str">
        <f t="shared" si="8"/>
        <v/>
      </c>
      <c r="M120" s="8" t="str">
        <f t="shared" si="9"/>
        <v/>
      </c>
      <c r="N120" s="9"/>
      <c r="O120" s="31"/>
      <c r="P120" s="8" t="str">
        <f t="shared" si="10"/>
        <v/>
      </c>
      <c r="Q120" s="8" t="str">
        <f t="shared" si="11"/>
        <v/>
      </c>
      <c r="R120" s="8">
        <f>IF(Q120="",0,IF(SUMPRODUCT(--(Q$4:Q120=Q120))&gt;1,1,0))</f>
        <v>0</v>
      </c>
    </row>
    <row r="121" spans="1:18" x14ac:dyDescent="0.25">
      <c r="A121" s="8">
        <v>118</v>
      </c>
      <c r="B121" s="9"/>
      <c r="C121" s="33" t="str">
        <f t="shared" si="6"/>
        <v/>
      </c>
      <c r="D121" s="31"/>
      <c r="E121" s="31"/>
      <c r="F121" s="11"/>
      <c r="G121" s="11"/>
      <c r="H121" s="9"/>
      <c r="I121" s="11"/>
      <c r="J121" s="9"/>
      <c r="K121" s="12" t="str">
        <f t="shared" si="7"/>
        <v/>
      </c>
      <c r="L121" s="12" t="str">
        <f t="shared" si="8"/>
        <v/>
      </c>
      <c r="M121" s="8" t="str">
        <f t="shared" si="9"/>
        <v/>
      </c>
      <c r="N121" s="9"/>
      <c r="O121" s="31"/>
      <c r="P121" s="8" t="str">
        <f t="shared" si="10"/>
        <v/>
      </c>
      <c r="Q121" s="8" t="str">
        <f t="shared" si="11"/>
        <v/>
      </c>
      <c r="R121" s="8">
        <f>IF(Q121="",0,IF(SUMPRODUCT(--(Q$4:Q121=Q121))&gt;1,1,0))</f>
        <v>0</v>
      </c>
    </row>
    <row r="122" spans="1:18" x14ac:dyDescent="0.25">
      <c r="A122" s="8">
        <v>119</v>
      </c>
      <c r="B122" s="9"/>
      <c r="C122" s="33" t="str">
        <f t="shared" si="6"/>
        <v/>
      </c>
      <c r="D122" s="31"/>
      <c r="E122" s="31"/>
      <c r="F122" s="11"/>
      <c r="G122" s="11"/>
      <c r="H122" s="9"/>
      <c r="I122" s="11"/>
      <c r="J122" s="9"/>
      <c r="K122" s="12" t="str">
        <f t="shared" si="7"/>
        <v/>
      </c>
      <c r="L122" s="12" t="str">
        <f t="shared" si="8"/>
        <v/>
      </c>
      <c r="M122" s="8" t="str">
        <f t="shared" si="9"/>
        <v/>
      </c>
      <c r="N122" s="9"/>
      <c r="O122" s="31"/>
      <c r="P122" s="8" t="str">
        <f t="shared" si="10"/>
        <v/>
      </c>
      <c r="Q122" s="8" t="str">
        <f t="shared" si="11"/>
        <v/>
      </c>
      <c r="R122" s="8">
        <f>IF(Q122="",0,IF(SUMPRODUCT(--(Q$4:Q122=Q122))&gt;1,1,0))</f>
        <v>0</v>
      </c>
    </row>
    <row r="123" spans="1:18" x14ac:dyDescent="0.25">
      <c r="A123" s="8">
        <v>120</v>
      </c>
      <c r="B123" s="9"/>
      <c r="C123" s="33" t="str">
        <f t="shared" si="6"/>
        <v/>
      </c>
      <c r="D123" s="31"/>
      <c r="E123" s="31"/>
      <c r="F123" s="11"/>
      <c r="G123" s="11"/>
      <c r="H123" s="9"/>
      <c r="I123" s="11"/>
      <c r="J123" s="9"/>
      <c r="K123" s="12" t="str">
        <f t="shared" si="7"/>
        <v/>
      </c>
      <c r="L123" s="12" t="str">
        <f t="shared" si="8"/>
        <v/>
      </c>
      <c r="M123" s="8" t="str">
        <f t="shared" si="9"/>
        <v/>
      </c>
      <c r="N123" s="9"/>
      <c r="O123" s="31"/>
      <c r="P123" s="8" t="str">
        <f t="shared" si="10"/>
        <v/>
      </c>
      <c r="Q123" s="8" t="str">
        <f t="shared" si="11"/>
        <v/>
      </c>
      <c r="R123" s="8">
        <f>IF(Q123="",0,IF(SUMPRODUCT(--(Q$4:Q123=Q123))&gt;1,1,0))</f>
        <v>0</v>
      </c>
    </row>
    <row r="124" spans="1:18" x14ac:dyDescent="0.25">
      <c r="A124" s="8">
        <v>121</v>
      </c>
      <c r="B124" s="9"/>
      <c r="C124" s="33" t="str">
        <f t="shared" si="6"/>
        <v/>
      </c>
      <c r="D124" s="31"/>
      <c r="E124" s="31"/>
      <c r="F124" s="11"/>
      <c r="G124" s="11"/>
      <c r="H124" s="9"/>
      <c r="I124" s="11"/>
      <c r="J124" s="9"/>
      <c r="K124" s="12" t="str">
        <f t="shared" si="7"/>
        <v/>
      </c>
      <c r="L124" s="12" t="str">
        <f t="shared" si="8"/>
        <v/>
      </c>
      <c r="M124" s="8" t="str">
        <f t="shared" si="9"/>
        <v/>
      </c>
      <c r="N124" s="9"/>
      <c r="O124" s="31"/>
      <c r="P124" s="8" t="str">
        <f t="shared" si="10"/>
        <v/>
      </c>
      <c r="Q124" s="8" t="str">
        <f t="shared" si="11"/>
        <v/>
      </c>
      <c r="R124" s="8">
        <f>IF(Q124="",0,IF(SUMPRODUCT(--(Q$4:Q124=Q124))&gt;1,1,0))</f>
        <v>0</v>
      </c>
    </row>
    <row r="125" spans="1:18" x14ac:dyDescent="0.25">
      <c r="A125" s="8">
        <v>122</v>
      </c>
      <c r="B125" s="9"/>
      <c r="C125" s="33" t="str">
        <f t="shared" si="6"/>
        <v/>
      </c>
      <c r="D125" s="31"/>
      <c r="E125" s="31"/>
      <c r="F125" s="11"/>
      <c r="G125" s="11"/>
      <c r="H125" s="9"/>
      <c r="I125" s="11"/>
      <c r="J125" s="9"/>
      <c r="K125" s="12" t="str">
        <f t="shared" si="7"/>
        <v/>
      </c>
      <c r="L125" s="12" t="str">
        <f t="shared" si="8"/>
        <v/>
      </c>
      <c r="M125" s="8" t="str">
        <f t="shared" si="9"/>
        <v/>
      </c>
      <c r="N125" s="9"/>
      <c r="O125" s="31"/>
      <c r="P125" s="8" t="str">
        <f t="shared" si="10"/>
        <v/>
      </c>
      <c r="Q125" s="8" t="str">
        <f t="shared" si="11"/>
        <v/>
      </c>
      <c r="R125" s="8">
        <f>IF(Q125="",0,IF(SUMPRODUCT(--(Q$4:Q125=Q125))&gt;1,1,0))</f>
        <v>0</v>
      </c>
    </row>
    <row r="126" spans="1:18" x14ac:dyDescent="0.25">
      <c r="A126" s="8">
        <v>123</v>
      </c>
      <c r="B126" s="9"/>
      <c r="C126" s="33" t="str">
        <f t="shared" si="6"/>
        <v/>
      </c>
      <c r="D126" s="31"/>
      <c r="E126" s="31"/>
      <c r="F126" s="11"/>
      <c r="G126" s="11"/>
      <c r="H126" s="9"/>
      <c r="I126" s="11"/>
      <c r="J126" s="9"/>
      <c r="K126" s="12" t="str">
        <f t="shared" si="7"/>
        <v/>
      </c>
      <c r="L126" s="12" t="str">
        <f t="shared" si="8"/>
        <v/>
      </c>
      <c r="M126" s="8" t="str">
        <f t="shared" si="9"/>
        <v/>
      </c>
      <c r="N126" s="9"/>
      <c r="O126" s="31"/>
      <c r="P126" s="8" t="str">
        <f t="shared" si="10"/>
        <v/>
      </c>
      <c r="Q126" s="8" t="str">
        <f t="shared" si="11"/>
        <v/>
      </c>
      <c r="R126" s="8">
        <f>IF(Q126="",0,IF(SUMPRODUCT(--(Q$4:Q126=Q126))&gt;1,1,0))</f>
        <v>0</v>
      </c>
    </row>
    <row r="127" spans="1:18" x14ac:dyDescent="0.25">
      <c r="A127" s="8">
        <v>124</v>
      </c>
      <c r="B127" s="9"/>
      <c r="C127" s="33" t="str">
        <f t="shared" si="6"/>
        <v/>
      </c>
      <c r="D127" s="31"/>
      <c r="E127" s="31"/>
      <c r="F127" s="11"/>
      <c r="G127" s="11"/>
      <c r="H127" s="9"/>
      <c r="I127" s="11"/>
      <c r="J127" s="9"/>
      <c r="K127" s="12" t="str">
        <f t="shared" si="7"/>
        <v/>
      </c>
      <c r="L127" s="12" t="str">
        <f t="shared" si="8"/>
        <v/>
      </c>
      <c r="M127" s="8" t="str">
        <f t="shared" si="9"/>
        <v/>
      </c>
      <c r="N127" s="9"/>
      <c r="O127" s="31"/>
      <c r="P127" s="8" t="str">
        <f t="shared" si="10"/>
        <v/>
      </c>
      <c r="Q127" s="8" t="str">
        <f t="shared" si="11"/>
        <v/>
      </c>
      <c r="R127" s="8">
        <f>IF(Q127="",0,IF(SUMPRODUCT(--(Q$4:Q127=Q127))&gt;1,1,0))</f>
        <v>0</v>
      </c>
    </row>
    <row r="128" spans="1:18" x14ac:dyDescent="0.25">
      <c r="A128" s="8">
        <v>125</v>
      </c>
      <c r="B128" s="9"/>
      <c r="C128" s="33" t="str">
        <f t="shared" si="6"/>
        <v/>
      </c>
      <c r="D128" s="31"/>
      <c r="E128" s="31"/>
      <c r="F128" s="11"/>
      <c r="G128" s="11"/>
      <c r="H128" s="9"/>
      <c r="I128" s="11"/>
      <c r="J128" s="9"/>
      <c r="K128" s="12" t="str">
        <f t="shared" si="7"/>
        <v/>
      </c>
      <c r="L128" s="12" t="str">
        <f t="shared" si="8"/>
        <v/>
      </c>
      <c r="M128" s="8" t="str">
        <f t="shared" si="9"/>
        <v/>
      </c>
      <c r="N128" s="9"/>
      <c r="O128" s="31"/>
      <c r="P128" s="8" t="str">
        <f t="shared" si="10"/>
        <v/>
      </c>
      <c r="Q128" s="8" t="str">
        <f t="shared" si="11"/>
        <v/>
      </c>
      <c r="R128" s="8">
        <f>IF(Q128="",0,IF(SUMPRODUCT(--(Q$4:Q128=Q128))&gt;1,1,0))</f>
        <v>0</v>
      </c>
    </row>
    <row r="129" spans="1:18" x14ac:dyDescent="0.25">
      <c r="A129" s="8">
        <v>126</v>
      </c>
      <c r="B129" s="9"/>
      <c r="C129" s="33" t="str">
        <f t="shared" si="6"/>
        <v/>
      </c>
      <c r="D129" s="31"/>
      <c r="E129" s="31"/>
      <c r="F129" s="11"/>
      <c r="G129" s="11"/>
      <c r="H129" s="9"/>
      <c r="I129" s="11"/>
      <c r="J129" s="9"/>
      <c r="K129" s="12" t="str">
        <f t="shared" si="7"/>
        <v/>
      </c>
      <c r="L129" s="12" t="str">
        <f t="shared" si="8"/>
        <v/>
      </c>
      <c r="M129" s="8" t="str">
        <f t="shared" si="9"/>
        <v/>
      </c>
      <c r="N129" s="9"/>
      <c r="O129" s="31"/>
      <c r="P129" s="8" t="str">
        <f t="shared" si="10"/>
        <v/>
      </c>
      <c r="Q129" s="8" t="str">
        <f t="shared" si="11"/>
        <v/>
      </c>
      <c r="R129" s="8">
        <f>IF(Q129="",0,IF(SUMPRODUCT(--(Q$4:Q129=Q129))&gt;1,1,0))</f>
        <v>0</v>
      </c>
    </row>
    <row r="130" spans="1:18" x14ac:dyDescent="0.25">
      <c r="A130" s="8">
        <v>127</v>
      </c>
      <c r="B130" s="9"/>
      <c r="C130" s="33" t="str">
        <f t="shared" si="6"/>
        <v/>
      </c>
      <c r="D130" s="31"/>
      <c r="E130" s="31"/>
      <c r="F130" s="11"/>
      <c r="G130" s="11"/>
      <c r="H130" s="9"/>
      <c r="I130" s="11"/>
      <c r="J130" s="9"/>
      <c r="K130" s="12" t="str">
        <f t="shared" si="7"/>
        <v/>
      </c>
      <c r="L130" s="12" t="str">
        <f t="shared" si="8"/>
        <v/>
      </c>
      <c r="M130" s="8" t="str">
        <f t="shared" si="9"/>
        <v/>
      </c>
      <c r="N130" s="9"/>
      <c r="O130" s="31"/>
      <c r="P130" s="8" t="str">
        <f t="shared" si="10"/>
        <v/>
      </c>
      <c r="Q130" s="8" t="str">
        <f t="shared" si="11"/>
        <v/>
      </c>
      <c r="R130" s="8">
        <f>IF(Q130="",0,IF(SUMPRODUCT(--(Q$4:Q130=Q130))&gt;1,1,0))</f>
        <v>0</v>
      </c>
    </row>
    <row r="131" spans="1:18" x14ac:dyDescent="0.25">
      <c r="A131" s="8">
        <v>128</v>
      </c>
      <c r="B131" s="9"/>
      <c r="C131" s="33" t="str">
        <f t="shared" si="6"/>
        <v/>
      </c>
      <c r="D131" s="31"/>
      <c r="E131" s="31"/>
      <c r="F131" s="11"/>
      <c r="G131" s="11"/>
      <c r="H131" s="9"/>
      <c r="I131" s="11"/>
      <c r="J131" s="9"/>
      <c r="K131" s="12" t="str">
        <f t="shared" si="7"/>
        <v/>
      </c>
      <c r="L131" s="12" t="str">
        <f t="shared" si="8"/>
        <v/>
      </c>
      <c r="M131" s="8" t="str">
        <f t="shared" si="9"/>
        <v/>
      </c>
      <c r="N131" s="9"/>
      <c r="O131" s="31"/>
      <c r="P131" s="8" t="str">
        <f t="shared" si="10"/>
        <v/>
      </c>
      <c r="Q131" s="8" t="str">
        <f t="shared" si="11"/>
        <v/>
      </c>
      <c r="R131" s="8">
        <f>IF(Q131="",0,IF(SUMPRODUCT(--(Q$4:Q131=Q131))&gt;1,1,0))</f>
        <v>0</v>
      </c>
    </row>
    <row r="132" spans="1:18" x14ac:dyDescent="0.25">
      <c r="A132" s="8">
        <v>129</v>
      </c>
      <c r="B132" s="9"/>
      <c r="C132" s="33" t="str">
        <f t="shared" ref="C132:C195" si="12">IF(B132="","",IFERROR(INDEX(SpaceNames,MATCH(B132,SpaceCodes,0))&amp;"",""))</f>
        <v/>
      </c>
      <c r="D132" s="31"/>
      <c r="E132" s="31"/>
      <c r="F132" s="11"/>
      <c r="G132" s="11"/>
      <c r="H132" s="9"/>
      <c r="I132" s="11"/>
      <c r="J132" s="9"/>
      <c r="K132" s="12" t="str">
        <f t="shared" ref="K132:K195" si="13">IF(Q132="","",IF(OR(J132="لا",R132=1),0,IF(I132&lt;&gt;"",I132*IF(H132="",1,H132),IF(AND(F132&lt;&gt;"",G132&lt;&gt;""),F132*G132*IF(H132="",1,H132),""))))</f>
        <v/>
      </c>
      <c r="L132" s="12" t="str">
        <f t="shared" ref="L132:L195" si="14">IF(OR(Q132="",B132="",D132=""),"",SUMIFS(FL_Net,FL_Space,B132,FL_Mat,D132))</f>
        <v/>
      </c>
      <c r="M132" s="8" t="str">
        <f t="shared" ref="M132:M195" si="15">IF(D132="","",IFERROR(IF(INDEX(FloorUnit,MATCH(D132,FloorMat,0))="","م²",INDEX(FloorUnit,MATCH(D132,FloorMat,0))),"م²"))</f>
        <v/>
      </c>
      <c r="N132" s="9"/>
      <c r="O132" s="31"/>
      <c r="P132" s="8" t="str">
        <f t="shared" ref="P132:P195" si="16">IF(Q132="","",IF(R132=1,"تكرار — غير محتسب",IF(B132="","ناقص بيانات: كود الفراغ",IF(COUNTIF(SpaceCodes,B132)=0,"ناقص بيانات: الفراغ غير مسجل",IF(D132="","ناقص بيانات: الخامة",IF(AND(I132="",OR(F132="",G132="")),"ناقص قياس",IF(J132="لا","مستبعد من الحصر",IF(N132="نعم","يحتاج مراجعة","مكتمل"))))))))</f>
        <v/>
      </c>
      <c r="Q132" s="8" t="str">
        <f t="shared" ref="Q132:Q195" si="17">IF(COUNTA(B132,D132:I132)=0,"",B132&amp;"|"&amp;D132&amp;"|"&amp;E132&amp;"|"&amp;F132&amp;"|"&amp;G132&amp;"|"&amp;I132)</f>
        <v/>
      </c>
      <c r="R132" s="8">
        <f>IF(Q132="",0,IF(SUMPRODUCT(--(Q$4:Q132=Q132))&gt;1,1,0))</f>
        <v>0</v>
      </c>
    </row>
    <row r="133" spans="1:18" x14ac:dyDescent="0.25">
      <c r="A133" s="8">
        <v>130</v>
      </c>
      <c r="B133" s="9"/>
      <c r="C133" s="33" t="str">
        <f t="shared" si="12"/>
        <v/>
      </c>
      <c r="D133" s="31"/>
      <c r="E133" s="31"/>
      <c r="F133" s="11"/>
      <c r="G133" s="11"/>
      <c r="H133" s="9"/>
      <c r="I133" s="11"/>
      <c r="J133" s="9"/>
      <c r="K133" s="12" t="str">
        <f t="shared" si="13"/>
        <v/>
      </c>
      <c r="L133" s="12" t="str">
        <f t="shared" si="14"/>
        <v/>
      </c>
      <c r="M133" s="8" t="str">
        <f t="shared" si="15"/>
        <v/>
      </c>
      <c r="N133" s="9"/>
      <c r="O133" s="31"/>
      <c r="P133" s="8" t="str">
        <f t="shared" si="16"/>
        <v/>
      </c>
      <c r="Q133" s="8" t="str">
        <f t="shared" si="17"/>
        <v/>
      </c>
      <c r="R133" s="8">
        <f>IF(Q133="",0,IF(SUMPRODUCT(--(Q$4:Q133=Q133))&gt;1,1,0))</f>
        <v>0</v>
      </c>
    </row>
    <row r="134" spans="1:18" x14ac:dyDescent="0.25">
      <c r="A134" s="8">
        <v>131</v>
      </c>
      <c r="B134" s="9"/>
      <c r="C134" s="33" t="str">
        <f t="shared" si="12"/>
        <v/>
      </c>
      <c r="D134" s="31"/>
      <c r="E134" s="31"/>
      <c r="F134" s="11"/>
      <c r="G134" s="11"/>
      <c r="H134" s="9"/>
      <c r="I134" s="11"/>
      <c r="J134" s="9"/>
      <c r="K134" s="12" t="str">
        <f t="shared" si="13"/>
        <v/>
      </c>
      <c r="L134" s="12" t="str">
        <f t="shared" si="14"/>
        <v/>
      </c>
      <c r="M134" s="8" t="str">
        <f t="shared" si="15"/>
        <v/>
      </c>
      <c r="N134" s="9"/>
      <c r="O134" s="31"/>
      <c r="P134" s="8" t="str">
        <f t="shared" si="16"/>
        <v/>
      </c>
      <c r="Q134" s="8" t="str">
        <f t="shared" si="17"/>
        <v/>
      </c>
      <c r="R134" s="8">
        <f>IF(Q134="",0,IF(SUMPRODUCT(--(Q$4:Q134=Q134))&gt;1,1,0))</f>
        <v>0</v>
      </c>
    </row>
    <row r="135" spans="1:18" x14ac:dyDescent="0.25">
      <c r="A135" s="8">
        <v>132</v>
      </c>
      <c r="B135" s="9"/>
      <c r="C135" s="33" t="str">
        <f t="shared" si="12"/>
        <v/>
      </c>
      <c r="D135" s="31"/>
      <c r="E135" s="31"/>
      <c r="F135" s="11"/>
      <c r="G135" s="11"/>
      <c r="H135" s="9"/>
      <c r="I135" s="11"/>
      <c r="J135" s="9"/>
      <c r="K135" s="12" t="str">
        <f t="shared" si="13"/>
        <v/>
      </c>
      <c r="L135" s="12" t="str">
        <f t="shared" si="14"/>
        <v/>
      </c>
      <c r="M135" s="8" t="str">
        <f t="shared" si="15"/>
        <v/>
      </c>
      <c r="N135" s="9"/>
      <c r="O135" s="31"/>
      <c r="P135" s="8" t="str">
        <f t="shared" si="16"/>
        <v/>
      </c>
      <c r="Q135" s="8" t="str">
        <f t="shared" si="17"/>
        <v/>
      </c>
      <c r="R135" s="8">
        <f>IF(Q135="",0,IF(SUMPRODUCT(--(Q$4:Q135=Q135))&gt;1,1,0))</f>
        <v>0</v>
      </c>
    </row>
    <row r="136" spans="1:18" x14ac:dyDescent="0.25">
      <c r="A136" s="8">
        <v>133</v>
      </c>
      <c r="B136" s="9"/>
      <c r="C136" s="33" t="str">
        <f t="shared" si="12"/>
        <v/>
      </c>
      <c r="D136" s="31"/>
      <c r="E136" s="31"/>
      <c r="F136" s="11"/>
      <c r="G136" s="11"/>
      <c r="H136" s="9"/>
      <c r="I136" s="11"/>
      <c r="J136" s="9"/>
      <c r="K136" s="12" t="str">
        <f t="shared" si="13"/>
        <v/>
      </c>
      <c r="L136" s="12" t="str">
        <f t="shared" si="14"/>
        <v/>
      </c>
      <c r="M136" s="8" t="str">
        <f t="shared" si="15"/>
        <v/>
      </c>
      <c r="N136" s="9"/>
      <c r="O136" s="31"/>
      <c r="P136" s="8" t="str">
        <f t="shared" si="16"/>
        <v/>
      </c>
      <c r="Q136" s="8" t="str">
        <f t="shared" si="17"/>
        <v/>
      </c>
      <c r="R136" s="8">
        <f>IF(Q136="",0,IF(SUMPRODUCT(--(Q$4:Q136=Q136))&gt;1,1,0))</f>
        <v>0</v>
      </c>
    </row>
    <row r="137" spans="1:18" x14ac:dyDescent="0.25">
      <c r="A137" s="8">
        <v>134</v>
      </c>
      <c r="B137" s="9"/>
      <c r="C137" s="33" t="str">
        <f t="shared" si="12"/>
        <v/>
      </c>
      <c r="D137" s="31"/>
      <c r="E137" s="31"/>
      <c r="F137" s="11"/>
      <c r="G137" s="11"/>
      <c r="H137" s="9"/>
      <c r="I137" s="11"/>
      <c r="J137" s="9"/>
      <c r="K137" s="12" t="str">
        <f t="shared" si="13"/>
        <v/>
      </c>
      <c r="L137" s="12" t="str">
        <f t="shared" si="14"/>
        <v/>
      </c>
      <c r="M137" s="8" t="str">
        <f t="shared" si="15"/>
        <v/>
      </c>
      <c r="N137" s="9"/>
      <c r="O137" s="31"/>
      <c r="P137" s="8" t="str">
        <f t="shared" si="16"/>
        <v/>
      </c>
      <c r="Q137" s="8" t="str">
        <f t="shared" si="17"/>
        <v/>
      </c>
      <c r="R137" s="8">
        <f>IF(Q137="",0,IF(SUMPRODUCT(--(Q$4:Q137=Q137))&gt;1,1,0))</f>
        <v>0</v>
      </c>
    </row>
    <row r="138" spans="1:18" x14ac:dyDescent="0.25">
      <c r="A138" s="8">
        <v>135</v>
      </c>
      <c r="B138" s="9"/>
      <c r="C138" s="33" t="str">
        <f t="shared" si="12"/>
        <v/>
      </c>
      <c r="D138" s="31"/>
      <c r="E138" s="31"/>
      <c r="F138" s="11"/>
      <c r="G138" s="11"/>
      <c r="H138" s="9"/>
      <c r="I138" s="11"/>
      <c r="J138" s="9"/>
      <c r="K138" s="12" t="str">
        <f t="shared" si="13"/>
        <v/>
      </c>
      <c r="L138" s="12" t="str">
        <f t="shared" si="14"/>
        <v/>
      </c>
      <c r="M138" s="8" t="str">
        <f t="shared" si="15"/>
        <v/>
      </c>
      <c r="N138" s="9"/>
      <c r="O138" s="31"/>
      <c r="P138" s="8" t="str">
        <f t="shared" si="16"/>
        <v/>
      </c>
      <c r="Q138" s="8" t="str">
        <f t="shared" si="17"/>
        <v/>
      </c>
      <c r="R138" s="8">
        <f>IF(Q138="",0,IF(SUMPRODUCT(--(Q$4:Q138=Q138))&gt;1,1,0))</f>
        <v>0</v>
      </c>
    </row>
    <row r="139" spans="1:18" x14ac:dyDescent="0.25">
      <c r="A139" s="8">
        <v>136</v>
      </c>
      <c r="B139" s="9"/>
      <c r="C139" s="33" t="str">
        <f t="shared" si="12"/>
        <v/>
      </c>
      <c r="D139" s="31"/>
      <c r="E139" s="31"/>
      <c r="F139" s="11"/>
      <c r="G139" s="11"/>
      <c r="H139" s="9"/>
      <c r="I139" s="11"/>
      <c r="J139" s="9"/>
      <c r="K139" s="12" t="str">
        <f t="shared" si="13"/>
        <v/>
      </c>
      <c r="L139" s="12" t="str">
        <f t="shared" si="14"/>
        <v/>
      </c>
      <c r="M139" s="8" t="str">
        <f t="shared" si="15"/>
        <v/>
      </c>
      <c r="N139" s="9"/>
      <c r="O139" s="31"/>
      <c r="P139" s="8" t="str">
        <f t="shared" si="16"/>
        <v/>
      </c>
      <c r="Q139" s="8" t="str">
        <f t="shared" si="17"/>
        <v/>
      </c>
      <c r="R139" s="8">
        <f>IF(Q139="",0,IF(SUMPRODUCT(--(Q$4:Q139=Q139))&gt;1,1,0))</f>
        <v>0</v>
      </c>
    </row>
    <row r="140" spans="1:18" x14ac:dyDescent="0.25">
      <c r="A140" s="8">
        <v>137</v>
      </c>
      <c r="B140" s="9"/>
      <c r="C140" s="33" t="str">
        <f t="shared" si="12"/>
        <v/>
      </c>
      <c r="D140" s="31"/>
      <c r="E140" s="31"/>
      <c r="F140" s="11"/>
      <c r="G140" s="11"/>
      <c r="H140" s="9"/>
      <c r="I140" s="11"/>
      <c r="J140" s="9"/>
      <c r="K140" s="12" t="str">
        <f t="shared" si="13"/>
        <v/>
      </c>
      <c r="L140" s="12" t="str">
        <f t="shared" si="14"/>
        <v/>
      </c>
      <c r="M140" s="8" t="str">
        <f t="shared" si="15"/>
        <v/>
      </c>
      <c r="N140" s="9"/>
      <c r="O140" s="31"/>
      <c r="P140" s="8" t="str">
        <f t="shared" si="16"/>
        <v/>
      </c>
      <c r="Q140" s="8" t="str">
        <f t="shared" si="17"/>
        <v/>
      </c>
      <c r="R140" s="8">
        <f>IF(Q140="",0,IF(SUMPRODUCT(--(Q$4:Q140=Q140))&gt;1,1,0))</f>
        <v>0</v>
      </c>
    </row>
    <row r="141" spans="1:18" x14ac:dyDescent="0.25">
      <c r="A141" s="8">
        <v>138</v>
      </c>
      <c r="B141" s="9"/>
      <c r="C141" s="33" t="str">
        <f t="shared" si="12"/>
        <v/>
      </c>
      <c r="D141" s="31"/>
      <c r="E141" s="31"/>
      <c r="F141" s="11"/>
      <c r="G141" s="11"/>
      <c r="H141" s="9"/>
      <c r="I141" s="11"/>
      <c r="J141" s="9"/>
      <c r="K141" s="12" t="str">
        <f t="shared" si="13"/>
        <v/>
      </c>
      <c r="L141" s="12" t="str">
        <f t="shared" si="14"/>
        <v/>
      </c>
      <c r="M141" s="8" t="str">
        <f t="shared" si="15"/>
        <v/>
      </c>
      <c r="N141" s="9"/>
      <c r="O141" s="31"/>
      <c r="P141" s="8" t="str">
        <f t="shared" si="16"/>
        <v/>
      </c>
      <c r="Q141" s="8" t="str">
        <f t="shared" si="17"/>
        <v/>
      </c>
      <c r="R141" s="8">
        <f>IF(Q141="",0,IF(SUMPRODUCT(--(Q$4:Q141=Q141))&gt;1,1,0))</f>
        <v>0</v>
      </c>
    </row>
    <row r="142" spans="1:18" x14ac:dyDescent="0.25">
      <c r="A142" s="8">
        <v>139</v>
      </c>
      <c r="B142" s="9"/>
      <c r="C142" s="33" t="str">
        <f t="shared" si="12"/>
        <v/>
      </c>
      <c r="D142" s="31"/>
      <c r="E142" s="31"/>
      <c r="F142" s="11"/>
      <c r="G142" s="11"/>
      <c r="H142" s="9"/>
      <c r="I142" s="11"/>
      <c r="J142" s="9"/>
      <c r="K142" s="12" t="str">
        <f t="shared" si="13"/>
        <v/>
      </c>
      <c r="L142" s="12" t="str">
        <f t="shared" si="14"/>
        <v/>
      </c>
      <c r="M142" s="8" t="str">
        <f t="shared" si="15"/>
        <v/>
      </c>
      <c r="N142" s="9"/>
      <c r="O142" s="31"/>
      <c r="P142" s="8" t="str">
        <f t="shared" si="16"/>
        <v/>
      </c>
      <c r="Q142" s="8" t="str">
        <f t="shared" si="17"/>
        <v/>
      </c>
      <c r="R142" s="8">
        <f>IF(Q142="",0,IF(SUMPRODUCT(--(Q$4:Q142=Q142))&gt;1,1,0))</f>
        <v>0</v>
      </c>
    </row>
    <row r="143" spans="1:18" x14ac:dyDescent="0.25">
      <c r="A143" s="8">
        <v>140</v>
      </c>
      <c r="B143" s="9"/>
      <c r="C143" s="33" t="str">
        <f t="shared" si="12"/>
        <v/>
      </c>
      <c r="D143" s="31"/>
      <c r="E143" s="31"/>
      <c r="F143" s="11"/>
      <c r="G143" s="11"/>
      <c r="H143" s="9"/>
      <c r="I143" s="11"/>
      <c r="J143" s="9"/>
      <c r="K143" s="12" t="str">
        <f t="shared" si="13"/>
        <v/>
      </c>
      <c r="L143" s="12" t="str">
        <f t="shared" si="14"/>
        <v/>
      </c>
      <c r="M143" s="8" t="str">
        <f t="shared" si="15"/>
        <v/>
      </c>
      <c r="N143" s="9"/>
      <c r="O143" s="31"/>
      <c r="P143" s="8" t="str">
        <f t="shared" si="16"/>
        <v/>
      </c>
      <c r="Q143" s="8" t="str">
        <f t="shared" si="17"/>
        <v/>
      </c>
      <c r="R143" s="8">
        <f>IF(Q143="",0,IF(SUMPRODUCT(--(Q$4:Q143=Q143))&gt;1,1,0))</f>
        <v>0</v>
      </c>
    </row>
    <row r="144" spans="1:18" x14ac:dyDescent="0.25">
      <c r="A144" s="8">
        <v>141</v>
      </c>
      <c r="B144" s="9"/>
      <c r="C144" s="33" t="str">
        <f t="shared" si="12"/>
        <v/>
      </c>
      <c r="D144" s="31"/>
      <c r="E144" s="31"/>
      <c r="F144" s="11"/>
      <c r="G144" s="11"/>
      <c r="H144" s="9"/>
      <c r="I144" s="11"/>
      <c r="J144" s="9"/>
      <c r="K144" s="12" t="str">
        <f t="shared" si="13"/>
        <v/>
      </c>
      <c r="L144" s="12" t="str">
        <f t="shared" si="14"/>
        <v/>
      </c>
      <c r="M144" s="8" t="str">
        <f t="shared" si="15"/>
        <v/>
      </c>
      <c r="N144" s="9"/>
      <c r="O144" s="31"/>
      <c r="P144" s="8" t="str">
        <f t="shared" si="16"/>
        <v/>
      </c>
      <c r="Q144" s="8" t="str">
        <f t="shared" si="17"/>
        <v/>
      </c>
      <c r="R144" s="8">
        <f>IF(Q144="",0,IF(SUMPRODUCT(--(Q$4:Q144=Q144))&gt;1,1,0))</f>
        <v>0</v>
      </c>
    </row>
    <row r="145" spans="1:18" x14ac:dyDescent="0.25">
      <c r="A145" s="8">
        <v>142</v>
      </c>
      <c r="B145" s="9"/>
      <c r="C145" s="33" t="str">
        <f t="shared" si="12"/>
        <v/>
      </c>
      <c r="D145" s="31"/>
      <c r="E145" s="31"/>
      <c r="F145" s="11"/>
      <c r="G145" s="11"/>
      <c r="H145" s="9"/>
      <c r="I145" s="11"/>
      <c r="J145" s="9"/>
      <c r="K145" s="12" t="str">
        <f t="shared" si="13"/>
        <v/>
      </c>
      <c r="L145" s="12" t="str">
        <f t="shared" si="14"/>
        <v/>
      </c>
      <c r="M145" s="8" t="str">
        <f t="shared" si="15"/>
        <v/>
      </c>
      <c r="N145" s="9"/>
      <c r="O145" s="31"/>
      <c r="P145" s="8" t="str">
        <f t="shared" si="16"/>
        <v/>
      </c>
      <c r="Q145" s="8" t="str">
        <f t="shared" si="17"/>
        <v/>
      </c>
      <c r="R145" s="8">
        <f>IF(Q145="",0,IF(SUMPRODUCT(--(Q$4:Q145=Q145))&gt;1,1,0))</f>
        <v>0</v>
      </c>
    </row>
    <row r="146" spans="1:18" x14ac:dyDescent="0.25">
      <c r="A146" s="8">
        <v>143</v>
      </c>
      <c r="B146" s="9"/>
      <c r="C146" s="33" t="str">
        <f t="shared" si="12"/>
        <v/>
      </c>
      <c r="D146" s="31"/>
      <c r="E146" s="31"/>
      <c r="F146" s="11"/>
      <c r="G146" s="11"/>
      <c r="H146" s="9"/>
      <c r="I146" s="11"/>
      <c r="J146" s="9"/>
      <c r="K146" s="12" t="str">
        <f t="shared" si="13"/>
        <v/>
      </c>
      <c r="L146" s="12" t="str">
        <f t="shared" si="14"/>
        <v/>
      </c>
      <c r="M146" s="8" t="str">
        <f t="shared" si="15"/>
        <v/>
      </c>
      <c r="N146" s="9"/>
      <c r="O146" s="31"/>
      <c r="P146" s="8" t="str">
        <f t="shared" si="16"/>
        <v/>
      </c>
      <c r="Q146" s="8" t="str">
        <f t="shared" si="17"/>
        <v/>
      </c>
      <c r="R146" s="8">
        <f>IF(Q146="",0,IF(SUMPRODUCT(--(Q$4:Q146=Q146))&gt;1,1,0))</f>
        <v>0</v>
      </c>
    </row>
    <row r="147" spans="1:18" x14ac:dyDescent="0.25">
      <c r="A147" s="8">
        <v>144</v>
      </c>
      <c r="B147" s="9"/>
      <c r="C147" s="33" t="str">
        <f t="shared" si="12"/>
        <v/>
      </c>
      <c r="D147" s="31"/>
      <c r="E147" s="31"/>
      <c r="F147" s="11"/>
      <c r="G147" s="11"/>
      <c r="H147" s="9"/>
      <c r="I147" s="11"/>
      <c r="J147" s="9"/>
      <c r="K147" s="12" t="str">
        <f t="shared" si="13"/>
        <v/>
      </c>
      <c r="L147" s="12" t="str">
        <f t="shared" si="14"/>
        <v/>
      </c>
      <c r="M147" s="8" t="str">
        <f t="shared" si="15"/>
        <v/>
      </c>
      <c r="N147" s="9"/>
      <c r="O147" s="31"/>
      <c r="P147" s="8" t="str">
        <f t="shared" si="16"/>
        <v/>
      </c>
      <c r="Q147" s="8" t="str">
        <f t="shared" si="17"/>
        <v/>
      </c>
      <c r="R147" s="8">
        <f>IF(Q147="",0,IF(SUMPRODUCT(--(Q$4:Q147=Q147))&gt;1,1,0))</f>
        <v>0</v>
      </c>
    </row>
    <row r="148" spans="1:18" x14ac:dyDescent="0.25">
      <c r="A148" s="8">
        <v>145</v>
      </c>
      <c r="B148" s="9"/>
      <c r="C148" s="33" t="str">
        <f t="shared" si="12"/>
        <v/>
      </c>
      <c r="D148" s="31"/>
      <c r="E148" s="31"/>
      <c r="F148" s="11"/>
      <c r="G148" s="11"/>
      <c r="H148" s="9"/>
      <c r="I148" s="11"/>
      <c r="J148" s="9"/>
      <c r="K148" s="12" t="str">
        <f t="shared" si="13"/>
        <v/>
      </c>
      <c r="L148" s="12" t="str">
        <f t="shared" si="14"/>
        <v/>
      </c>
      <c r="M148" s="8" t="str">
        <f t="shared" si="15"/>
        <v/>
      </c>
      <c r="N148" s="9"/>
      <c r="O148" s="31"/>
      <c r="P148" s="8" t="str">
        <f t="shared" si="16"/>
        <v/>
      </c>
      <c r="Q148" s="8" t="str">
        <f t="shared" si="17"/>
        <v/>
      </c>
      <c r="R148" s="8">
        <f>IF(Q148="",0,IF(SUMPRODUCT(--(Q$4:Q148=Q148))&gt;1,1,0))</f>
        <v>0</v>
      </c>
    </row>
    <row r="149" spans="1:18" x14ac:dyDescent="0.25">
      <c r="A149" s="8">
        <v>146</v>
      </c>
      <c r="B149" s="9"/>
      <c r="C149" s="33" t="str">
        <f t="shared" si="12"/>
        <v/>
      </c>
      <c r="D149" s="31"/>
      <c r="E149" s="31"/>
      <c r="F149" s="11"/>
      <c r="G149" s="11"/>
      <c r="H149" s="9"/>
      <c r="I149" s="11"/>
      <c r="J149" s="9"/>
      <c r="K149" s="12" t="str">
        <f t="shared" si="13"/>
        <v/>
      </c>
      <c r="L149" s="12" t="str">
        <f t="shared" si="14"/>
        <v/>
      </c>
      <c r="M149" s="8" t="str">
        <f t="shared" si="15"/>
        <v/>
      </c>
      <c r="N149" s="9"/>
      <c r="O149" s="31"/>
      <c r="P149" s="8" t="str">
        <f t="shared" si="16"/>
        <v/>
      </c>
      <c r="Q149" s="8" t="str">
        <f t="shared" si="17"/>
        <v/>
      </c>
      <c r="R149" s="8">
        <f>IF(Q149="",0,IF(SUMPRODUCT(--(Q$4:Q149=Q149))&gt;1,1,0))</f>
        <v>0</v>
      </c>
    </row>
    <row r="150" spans="1:18" x14ac:dyDescent="0.25">
      <c r="A150" s="8">
        <v>147</v>
      </c>
      <c r="B150" s="9"/>
      <c r="C150" s="33" t="str">
        <f t="shared" si="12"/>
        <v/>
      </c>
      <c r="D150" s="31"/>
      <c r="E150" s="31"/>
      <c r="F150" s="11"/>
      <c r="G150" s="11"/>
      <c r="H150" s="9"/>
      <c r="I150" s="11"/>
      <c r="J150" s="9"/>
      <c r="K150" s="12" t="str">
        <f t="shared" si="13"/>
        <v/>
      </c>
      <c r="L150" s="12" t="str">
        <f t="shared" si="14"/>
        <v/>
      </c>
      <c r="M150" s="8" t="str">
        <f t="shared" si="15"/>
        <v/>
      </c>
      <c r="N150" s="9"/>
      <c r="O150" s="31"/>
      <c r="P150" s="8" t="str">
        <f t="shared" si="16"/>
        <v/>
      </c>
      <c r="Q150" s="8" t="str">
        <f t="shared" si="17"/>
        <v/>
      </c>
      <c r="R150" s="8">
        <f>IF(Q150="",0,IF(SUMPRODUCT(--(Q$4:Q150=Q150))&gt;1,1,0))</f>
        <v>0</v>
      </c>
    </row>
    <row r="151" spans="1:18" x14ac:dyDescent="0.25">
      <c r="A151" s="8">
        <v>148</v>
      </c>
      <c r="B151" s="9"/>
      <c r="C151" s="33" t="str">
        <f t="shared" si="12"/>
        <v/>
      </c>
      <c r="D151" s="31"/>
      <c r="E151" s="31"/>
      <c r="F151" s="11"/>
      <c r="G151" s="11"/>
      <c r="H151" s="9"/>
      <c r="I151" s="11"/>
      <c r="J151" s="9"/>
      <c r="K151" s="12" t="str">
        <f t="shared" si="13"/>
        <v/>
      </c>
      <c r="L151" s="12" t="str">
        <f t="shared" si="14"/>
        <v/>
      </c>
      <c r="M151" s="8" t="str">
        <f t="shared" si="15"/>
        <v/>
      </c>
      <c r="N151" s="9"/>
      <c r="O151" s="31"/>
      <c r="P151" s="8" t="str">
        <f t="shared" si="16"/>
        <v/>
      </c>
      <c r="Q151" s="8" t="str">
        <f t="shared" si="17"/>
        <v/>
      </c>
      <c r="R151" s="8">
        <f>IF(Q151="",0,IF(SUMPRODUCT(--(Q$4:Q151=Q151))&gt;1,1,0))</f>
        <v>0</v>
      </c>
    </row>
    <row r="152" spans="1:18" x14ac:dyDescent="0.25">
      <c r="A152" s="8">
        <v>149</v>
      </c>
      <c r="B152" s="9"/>
      <c r="C152" s="33" t="str">
        <f t="shared" si="12"/>
        <v/>
      </c>
      <c r="D152" s="31"/>
      <c r="E152" s="31"/>
      <c r="F152" s="11"/>
      <c r="G152" s="11"/>
      <c r="H152" s="9"/>
      <c r="I152" s="11"/>
      <c r="J152" s="9"/>
      <c r="K152" s="12" t="str">
        <f t="shared" si="13"/>
        <v/>
      </c>
      <c r="L152" s="12" t="str">
        <f t="shared" si="14"/>
        <v/>
      </c>
      <c r="M152" s="8" t="str">
        <f t="shared" si="15"/>
        <v/>
      </c>
      <c r="N152" s="9"/>
      <c r="O152" s="31"/>
      <c r="P152" s="8" t="str">
        <f t="shared" si="16"/>
        <v/>
      </c>
      <c r="Q152" s="8" t="str">
        <f t="shared" si="17"/>
        <v/>
      </c>
      <c r="R152" s="8">
        <f>IF(Q152="",0,IF(SUMPRODUCT(--(Q$4:Q152=Q152))&gt;1,1,0))</f>
        <v>0</v>
      </c>
    </row>
    <row r="153" spans="1:18" x14ac:dyDescent="0.25">
      <c r="A153" s="8">
        <v>150</v>
      </c>
      <c r="B153" s="9"/>
      <c r="C153" s="33" t="str">
        <f t="shared" si="12"/>
        <v/>
      </c>
      <c r="D153" s="31"/>
      <c r="E153" s="31"/>
      <c r="F153" s="11"/>
      <c r="G153" s="11"/>
      <c r="H153" s="9"/>
      <c r="I153" s="11"/>
      <c r="J153" s="9"/>
      <c r="K153" s="12" t="str">
        <f t="shared" si="13"/>
        <v/>
      </c>
      <c r="L153" s="12" t="str">
        <f t="shared" si="14"/>
        <v/>
      </c>
      <c r="M153" s="8" t="str">
        <f t="shared" si="15"/>
        <v/>
      </c>
      <c r="N153" s="9"/>
      <c r="O153" s="31"/>
      <c r="P153" s="8" t="str">
        <f t="shared" si="16"/>
        <v/>
      </c>
      <c r="Q153" s="8" t="str">
        <f t="shared" si="17"/>
        <v/>
      </c>
      <c r="R153" s="8">
        <f>IF(Q153="",0,IF(SUMPRODUCT(--(Q$4:Q153=Q153))&gt;1,1,0))</f>
        <v>0</v>
      </c>
    </row>
    <row r="154" spans="1:18" x14ac:dyDescent="0.25">
      <c r="A154" s="8">
        <v>151</v>
      </c>
      <c r="B154" s="9"/>
      <c r="C154" s="33" t="str">
        <f t="shared" si="12"/>
        <v/>
      </c>
      <c r="D154" s="31"/>
      <c r="E154" s="31"/>
      <c r="F154" s="11"/>
      <c r="G154" s="11"/>
      <c r="H154" s="9"/>
      <c r="I154" s="11"/>
      <c r="J154" s="9"/>
      <c r="K154" s="12" t="str">
        <f t="shared" si="13"/>
        <v/>
      </c>
      <c r="L154" s="12" t="str">
        <f t="shared" si="14"/>
        <v/>
      </c>
      <c r="M154" s="8" t="str">
        <f t="shared" si="15"/>
        <v/>
      </c>
      <c r="N154" s="9"/>
      <c r="O154" s="31"/>
      <c r="P154" s="8" t="str">
        <f t="shared" si="16"/>
        <v/>
      </c>
      <c r="Q154" s="8" t="str">
        <f t="shared" si="17"/>
        <v/>
      </c>
      <c r="R154" s="8">
        <f>IF(Q154="",0,IF(SUMPRODUCT(--(Q$4:Q154=Q154))&gt;1,1,0))</f>
        <v>0</v>
      </c>
    </row>
    <row r="155" spans="1:18" x14ac:dyDescent="0.25">
      <c r="A155" s="8">
        <v>152</v>
      </c>
      <c r="B155" s="9"/>
      <c r="C155" s="33" t="str">
        <f t="shared" si="12"/>
        <v/>
      </c>
      <c r="D155" s="31"/>
      <c r="E155" s="31"/>
      <c r="F155" s="11"/>
      <c r="G155" s="11"/>
      <c r="H155" s="9"/>
      <c r="I155" s="11"/>
      <c r="J155" s="9"/>
      <c r="K155" s="12" t="str">
        <f t="shared" si="13"/>
        <v/>
      </c>
      <c r="L155" s="12" t="str">
        <f t="shared" si="14"/>
        <v/>
      </c>
      <c r="M155" s="8" t="str">
        <f t="shared" si="15"/>
        <v/>
      </c>
      <c r="N155" s="9"/>
      <c r="O155" s="31"/>
      <c r="P155" s="8" t="str">
        <f t="shared" si="16"/>
        <v/>
      </c>
      <c r="Q155" s="8" t="str">
        <f t="shared" si="17"/>
        <v/>
      </c>
      <c r="R155" s="8">
        <f>IF(Q155="",0,IF(SUMPRODUCT(--(Q$4:Q155=Q155))&gt;1,1,0))</f>
        <v>0</v>
      </c>
    </row>
    <row r="156" spans="1:18" x14ac:dyDescent="0.25">
      <c r="A156" s="8">
        <v>153</v>
      </c>
      <c r="B156" s="9"/>
      <c r="C156" s="33" t="str">
        <f t="shared" si="12"/>
        <v/>
      </c>
      <c r="D156" s="31"/>
      <c r="E156" s="31"/>
      <c r="F156" s="11"/>
      <c r="G156" s="11"/>
      <c r="H156" s="9"/>
      <c r="I156" s="11"/>
      <c r="J156" s="9"/>
      <c r="K156" s="12" t="str">
        <f t="shared" si="13"/>
        <v/>
      </c>
      <c r="L156" s="12" t="str">
        <f t="shared" si="14"/>
        <v/>
      </c>
      <c r="M156" s="8" t="str">
        <f t="shared" si="15"/>
        <v/>
      </c>
      <c r="N156" s="9"/>
      <c r="O156" s="31"/>
      <c r="P156" s="8" t="str">
        <f t="shared" si="16"/>
        <v/>
      </c>
      <c r="Q156" s="8" t="str">
        <f t="shared" si="17"/>
        <v/>
      </c>
      <c r="R156" s="8">
        <f>IF(Q156="",0,IF(SUMPRODUCT(--(Q$4:Q156=Q156))&gt;1,1,0))</f>
        <v>0</v>
      </c>
    </row>
    <row r="157" spans="1:18" x14ac:dyDescent="0.25">
      <c r="A157" s="8">
        <v>154</v>
      </c>
      <c r="B157" s="9"/>
      <c r="C157" s="33" t="str">
        <f t="shared" si="12"/>
        <v/>
      </c>
      <c r="D157" s="31"/>
      <c r="E157" s="31"/>
      <c r="F157" s="11"/>
      <c r="G157" s="11"/>
      <c r="H157" s="9"/>
      <c r="I157" s="11"/>
      <c r="J157" s="9"/>
      <c r="K157" s="12" t="str">
        <f t="shared" si="13"/>
        <v/>
      </c>
      <c r="L157" s="12" t="str">
        <f t="shared" si="14"/>
        <v/>
      </c>
      <c r="M157" s="8" t="str">
        <f t="shared" si="15"/>
        <v/>
      </c>
      <c r="N157" s="9"/>
      <c r="O157" s="31"/>
      <c r="P157" s="8" t="str">
        <f t="shared" si="16"/>
        <v/>
      </c>
      <c r="Q157" s="8" t="str">
        <f t="shared" si="17"/>
        <v/>
      </c>
      <c r="R157" s="8">
        <f>IF(Q157="",0,IF(SUMPRODUCT(--(Q$4:Q157=Q157))&gt;1,1,0))</f>
        <v>0</v>
      </c>
    </row>
    <row r="158" spans="1:18" x14ac:dyDescent="0.25">
      <c r="A158" s="8">
        <v>155</v>
      </c>
      <c r="B158" s="9"/>
      <c r="C158" s="33" t="str">
        <f t="shared" si="12"/>
        <v/>
      </c>
      <c r="D158" s="31"/>
      <c r="E158" s="31"/>
      <c r="F158" s="11"/>
      <c r="G158" s="11"/>
      <c r="H158" s="9"/>
      <c r="I158" s="11"/>
      <c r="J158" s="9"/>
      <c r="K158" s="12" t="str">
        <f t="shared" si="13"/>
        <v/>
      </c>
      <c r="L158" s="12" t="str">
        <f t="shared" si="14"/>
        <v/>
      </c>
      <c r="M158" s="8" t="str">
        <f t="shared" si="15"/>
        <v/>
      </c>
      <c r="N158" s="9"/>
      <c r="O158" s="31"/>
      <c r="P158" s="8" t="str">
        <f t="shared" si="16"/>
        <v/>
      </c>
      <c r="Q158" s="8" t="str">
        <f t="shared" si="17"/>
        <v/>
      </c>
      <c r="R158" s="8">
        <f>IF(Q158="",0,IF(SUMPRODUCT(--(Q$4:Q158=Q158))&gt;1,1,0))</f>
        <v>0</v>
      </c>
    </row>
    <row r="159" spans="1:18" x14ac:dyDescent="0.25">
      <c r="A159" s="8">
        <v>156</v>
      </c>
      <c r="B159" s="9"/>
      <c r="C159" s="33" t="str">
        <f t="shared" si="12"/>
        <v/>
      </c>
      <c r="D159" s="31"/>
      <c r="E159" s="31"/>
      <c r="F159" s="11"/>
      <c r="G159" s="11"/>
      <c r="H159" s="9"/>
      <c r="I159" s="11"/>
      <c r="J159" s="9"/>
      <c r="K159" s="12" t="str">
        <f t="shared" si="13"/>
        <v/>
      </c>
      <c r="L159" s="12" t="str">
        <f t="shared" si="14"/>
        <v/>
      </c>
      <c r="M159" s="8" t="str">
        <f t="shared" si="15"/>
        <v/>
      </c>
      <c r="N159" s="9"/>
      <c r="O159" s="31"/>
      <c r="P159" s="8" t="str">
        <f t="shared" si="16"/>
        <v/>
      </c>
      <c r="Q159" s="8" t="str">
        <f t="shared" si="17"/>
        <v/>
      </c>
      <c r="R159" s="8">
        <f>IF(Q159="",0,IF(SUMPRODUCT(--(Q$4:Q159=Q159))&gt;1,1,0))</f>
        <v>0</v>
      </c>
    </row>
    <row r="160" spans="1:18" x14ac:dyDescent="0.25">
      <c r="A160" s="8">
        <v>157</v>
      </c>
      <c r="B160" s="9"/>
      <c r="C160" s="33" t="str">
        <f t="shared" si="12"/>
        <v/>
      </c>
      <c r="D160" s="31"/>
      <c r="E160" s="31"/>
      <c r="F160" s="11"/>
      <c r="G160" s="11"/>
      <c r="H160" s="9"/>
      <c r="I160" s="11"/>
      <c r="J160" s="9"/>
      <c r="K160" s="12" t="str">
        <f t="shared" si="13"/>
        <v/>
      </c>
      <c r="L160" s="12" t="str">
        <f t="shared" si="14"/>
        <v/>
      </c>
      <c r="M160" s="8" t="str">
        <f t="shared" si="15"/>
        <v/>
      </c>
      <c r="N160" s="9"/>
      <c r="O160" s="31"/>
      <c r="P160" s="8" t="str">
        <f t="shared" si="16"/>
        <v/>
      </c>
      <c r="Q160" s="8" t="str">
        <f t="shared" si="17"/>
        <v/>
      </c>
      <c r="R160" s="8">
        <f>IF(Q160="",0,IF(SUMPRODUCT(--(Q$4:Q160=Q160))&gt;1,1,0))</f>
        <v>0</v>
      </c>
    </row>
    <row r="161" spans="1:18" x14ac:dyDescent="0.25">
      <c r="A161" s="8">
        <v>158</v>
      </c>
      <c r="B161" s="9"/>
      <c r="C161" s="33" t="str">
        <f t="shared" si="12"/>
        <v/>
      </c>
      <c r="D161" s="31"/>
      <c r="E161" s="31"/>
      <c r="F161" s="11"/>
      <c r="G161" s="11"/>
      <c r="H161" s="9"/>
      <c r="I161" s="11"/>
      <c r="J161" s="9"/>
      <c r="K161" s="12" t="str">
        <f t="shared" si="13"/>
        <v/>
      </c>
      <c r="L161" s="12" t="str">
        <f t="shared" si="14"/>
        <v/>
      </c>
      <c r="M161" s="8" t="str">
        <f t="shared" si="15"/>
        <v/>
      </c>
      <c r="N161" s="9"/>
      <c r="O161" s="31"/>
      <c r="P161" s="8" t="str">
        <f t="shared" si="16"/>
        <v/>
      </c>
      <c r="Q161" s="8" t="str">
        <f t="shared" si="17"/>
        <v/>
      </c>
      <c r="R161" s="8">
        <f>IF(Q161="",0,IF(SUMPRODUCT(--(Q$4:Q161=Q161))&gt;1,1,0))</f>
        <v>0</v>
      </c>
    </row>
    <row r="162" spans="1:18" x14ac:dyDescent="0.25">
      <c r="A162" s="8">
        <v>159</v>
      </c>
      <c r="B162" s="9"/>
      <c r="C162" s="33" t="str">
        <f t="shared" si="12"/>
        <v/>
      </c>
      <c r="D162" s="31"/>
      <c r="E162" s="31"/>
      <c r="F162" s="11"/>
      <c r="G162" s="11"/>
      <c r="H162" s="9"/>
      <c r="I162" s="11"/>
      <c r="J162" s="9"/>
      <c r="K162" s="12" t="str">
        <f t="shared" si="13"/>
        <v/>
      </c>
      <c r="L162" s="12" t="str">
        <f t="shared" si="14"/>
        <v/>
      </c>
      <c r="M162" s="8" t="str">
        <f t="shared" si="15"/>
        <v/>
      </c>
      <c r="N162" s="9"/>
      <c r="O162" s="31"/>
      <c r="P162" s="8" t="str">
        <f t="shared" si="16"/>
        <v/>
      </c>
      <c r="Q162" s="8" t="str">
        <f t="shared" si="17"/>
        <v/>
      </c>
      <c r="R162" s="8">
        <f>IF(Q162="",0,IF(SUMPRODUCT(--(Q$4:Q162=Q162))&gt;1,1,0))</f>
        <v>0</v>
      </c>
    </row>
    <row r="163" spans="1:18" x14ac:dyDescent="0.25">
      <c r="A163" s="8">
        <v>160</v>
      </c>
      <c r="B163" s="9"/>
      <c r="C163" s="33" t="str">
        <f t="shared" si="12"/>
        <v/>
      </c>
      <c r="D163" s="31"/>
      <c r="E163" s="31"/>
      <c r="F163" s="11"/>
      <c r="G163" s="11"/>
      <c r="H163" s="9"/>
      <c r="I163" s="11"/>
      <c r="J163" s="9"/>
      <c r="K163" s="12" t="str">
        <f t="shared" si="13"/>
        <v/>
      </c>
      <c r="L163" s="12" t="str">
        <f t="shared" si="14"/>
        <v/>
      </c>
      <c r="M163" s="8" t="str">
        <f t="shared" si="15"/>
        <v/>
      </c>
      <c r="N163" s="9"/>
      <c r="O163" s="31"/>
      <c r="P163" s="8" t="str">
        <f t="shared" si="16"/>
        <v/>
      </c>
      <c r="Q163" s="8" t="str">
        <f t="shared" si="17"/>
        <v/>
      </c>
      <c r="R163" s="8">
        <f>IF(Q163="",0,IF(SUMPRODUCT(--(Q$4:Q163=Q163))&gt;1,1,0))</f>
        <v>0</v>
      </c>
    </row>
    <row r="164" spans="1:18" x14ac:dyDescent="0.25">
      <c r="A164" s="8">
        <v>161</v>
      </c>
      <c r="B164" s="9"/>
      <c r="C164" s="33" t="str">
        <f t="shared" si="12"/>
        <v/>
      </c>
      <c r="D164" s="31"/>
      <c r="E164" s="31"/>
      <c r="F164" s="11"/>
      <c r="G164" s="11"/>
      <c r="H164" s="9"/>
      <c r="I164" s="11"/>
      <c r="J164" s="9"/>
      <c r="K164" s="12" t="str">
        <f t="shared" si="13"/>
        <v/>
      </c>
      <c r="L164" s="12" t="str">
        <f t="shared" si="14"/>
        <v/>
      </c>
      <c r="M164" s="8" t="str">
        <f t="shared" si="15"/>
        <v/>
      </c>
      <c r="N164" s="9"/>
      <c r="O164" s="31"/>
      <c r="P164" s="8" t="str">
        <f t="shared" si="16"/>
        <v/>
      </c>
      <c r="Q164" s="8" t="str">
        <f t="shared" si="17"/>
        <v/>
      </c>
      <c r="R164" s="8">
        <f>IF(Q164="",0,IF(SUMPRODUCT(--(Q$4:Q164=Q164))&gt;1,1,0))</f>
        <v>0</v>
      </c>
    </row>
    <row r="165" spans="1:18" x14ac:dyDescent="0.25">
      <c r="A165" s="8">
        <v>162</v>
      </c>
      <c r="B165" s="9"/>
      <c r="C165" s="33" t="str">
        <f t="shared" si="12"/>
        <v/>
      </c>
      <c r="D165" s="31"/>
      <c r="E165" s="31"/>
      <c r="F165" s="11"/>
      <c r="G165" s="11"/>
      <c r="H165" s="9"/>
      <c r="I165" s="11"/>
      <c r="J165" s="9"/>
      <c r="K165" s="12" t="str">
        <f t="shared" si="13"/>
        <v/>
      </c>
      <c r="L165" s="12" t="str">
        <f t="shared" si="14"/>
        <v/>
      </c>
      <c r="M165" s="8" t="str">
        <f t="shared" si="15"/>
        <v/>
      </c>
      <c r="N165" s="9"/>
      <c r="O165" s="31"/>
      <c r="P165" s="8" t="str">
        <f t="shared" si="16"/>
        <v/>
      </c>
      <c r="Q165" s="8" t="str">
        <f t="shared" si="17"/>
        <v/>
      </c>
      <c r="R165" s="8">
        <f>IF(Q165="",0,IF(SUMPRODUCT(--(Q$4:Q165=Q165))&gt;1,1,0))</f>
        <v>0</v>
      </c>
    </row>
    <row r="166" spans="1:18" x14ac:dyDescent="0.25">
      <c r="A166" s="8">
        <v>163</v>
      </c>
      <c r="B166" s="9"/>
      <c r="C166" s="33" t="str">
        <f t="shared" si="12"/>
        <v/>
      </c>
      <c r="D166" s="31"/>
      <c r="E166" s="31"/>
      <c r="F166" s="11"/>
      <c r="G166" s="11"/>
      <c r="H166" s="9"/>
      <c r="I166" s="11"/>
      <c r="J166" s="9"/>
      <c r="K166" s="12" t="str">
        <f t="shared" si="13"/>
        <v/>
      </c>
      <c r="L166" s="12" t="str">
        <f t="shared" si="14"/>
        <v/>
      </c>
      <c r="M166" s="8" t="str">
        <f t="shared" si="15"/>
        <v/>
      </c>
      <c r="N166" s="9"/>
      <c r="O166" s="31"/>
      <c r="P166" s="8" t="str">
        <f t="shared" si="16"/>
        <v/>
      </c>
      <c r="Q166" s="8" t="str">
        <f t="shared" si="17"/>
        <v/>
      </c>
      <c r="R166" s="8">
        <f>IF(Q166="",0,IF(SUMPRODUCT(--(Q$4:Q166=Q166))&gt;1,1,0))</f>
        <v>0</v>
      </c>
    </row>
    <row r="167" spans="1:18" x14ac:dyDescent="0.25">
      <c r="A167" s="8">
        <v>164</v>
      </c>
      <c r="B167" s="9"/>
      <c r="C167" s="33" t="str">
        <f t="shared" si="12"/>
        <v/>
      </c>
      <c r="D167" s="31"/>
      <c r="E167" s="31"/>
      <c r="F167" s="11"/>
      <c r="G167" s="11"/>
      <c r="H167" s="9"/>
      <c r="I167" s="11"/>
      <c r="J167" s="9"/>
      <c r="K167" s="12" t="str">
        <f t="shared" si="13"/>
        <v/>
      </c>
      <c r="L167" s="12" t="str">
        <f t="shared" si="14"/>
        <v/>
      </c>
      <c r="M167" s="8" t="str">
        <f t="shared" si="15"/>
        <v/>
      </c>
      <c r="N167" s="9"/>
      <c r="O167" s="31"/>
      <c r="P167" s="8" t="str">
        <f t="shared" si="16"/>
        <v/>
      </c>
      <c r="Q167" s="8" t="str">
        <f t="shared" si="17"/>
        <v/>
      </c>
      <c r="R167" s="8">
        <f>IF(Q167="",0,IF(SUMPRODUCT(--(Q$4:Q167=Q167))&gt;1,1,0))</f>
        <v>0</v>
      </c>
    </row>
    <row r="168" spans="1:18" x14ac:dyDescent="0.25">
      <c r="A168" s="8">
        <v>165</v>
      </c>
      <c r="B168" s="9"/>
      <c r="C168" s="33" t="str">
        <f t="shared" si="12"/>
        <v/>
      </c>
      <c r="D168" s="31"/>
      <c r="E168" s="31"/>
      <c r="F168" s="11"/>
      <c r="G168" s="11"/>
      <c r="H168" s="9"/>
      <c r="I168" s="11"/>
      <c r="J168" s="9"/>
      <c r="K168" s="12" t="str">
        <f t="shared" si="13"/>
        <v/>
      </c>
      <c r="L168" s="12" t="str">
        <f t="shared" si="14"/>
        <v/>
      </c>
      <c r="M168" s="8" t="str">
        <f t="shared" si="15"/>
        <v/>
      </c>
      <c r="N168" s="9"/>
      <c r="O168" s="31"/>
      <c r="P168" s="8" t="str">
        <f t="shared" si="16"/>
        <v/>
      </c>
      <c r="Q168" s="8" t="str">
        <f t="shared" si="17"/>
        <v/>
      </c>
      <c r="R168" s="8">
        <f>IF(Q168="",0,IF(SUMPRODUCT(--(Q$4:Q168=Q168))&gt;1,1,0))</f>
        <v>0</v>
      </c>
    </row>
    <row r="169" spans="1:18" x14ac:dyDescent="0.25">
      <c r="A169" s="8">
        <v>166</v>
      </c>
      <c r="B169" s="9"/>
      <c r="C169" s="33" t="str">
        <f t="shared" si="12"/>
        <v/>
      </c>
      <c r="D169" s="31"/>
      <c r="E169" s="31"/>
      <c r="F169" s="11"/>
      <c r="G169" s="11"/>
      <c r="H169" s="9"/>
      <c r="I169" s="11"/>
      <c r="J169" s="9"/>
      <c r="K169" s="12" t="str">
        <f t="shared" si="13"/>
        <v/>
      </c>
      <c r="L169" s="12" t="str">
        <f t="shared" si="14"/>
        <v/>
      </c>
      <c r="M169" s="8" t="str">
        <f t="shared" si="15"/>
        <v/>
      </c>
      <c r="N169" s="9"/>
      <c r="O169" s="31"/>
      <c r="P169" s="8" t="str">
        <f t="shared" si="16"/>
        <v/>
      </c>
      <c r="Q169" s="8" t="str">
        <f t="shared" si="17"/>
        <v/>
      </c>
      <c r="R169" s="8">
        <f>IF(Q169="",0,IF(SUMPRODUCT(--(Q$4:Q169=Q169))&gt;1,1,0))</f>
        <v>0</v>
      </c>
    </row>
    <row r="170" spans="1:18" x14ac:dyDescent="0.25">
      <c r="A170" s="8">
        <v>167</v>
      </c>
      <c r="B170" s="9"/>
      <c r="C170" s="33" t="str">
        <f t="shared" si="12"/>
        <v/>
      </c>
      <c r="D170" s="31"/>
      <c r="E170" s="31"/>
      <c r="F170" s="11"/>
      <c r="G170" s="11"/>
      <c r="H170" s="9"/>
      <c r="I170" s="11"/>
      <c r="J170" s="9"/>
      <c r="K170" s="12" t="str">
        <f t="shared" si="13"/>
        <v/>
      </c>
      <c r="L170" s="12" t="str">
        <f t="shared" si="14"/>
        <v/>
      </c>
      <c r="M170" s="8" t="str">
        <f t="shared" si="15"/>
        <v/>
      </c>
      <c r="N170" s="9"/>
      <c r="O170" s="31"/>
      <c r="P170" s="8" t="str">
        <f t="shared" si="16"/>
        <v/>
      </c>
      <c r="Q170" s="8" t="str">
        <f t="shared" si="17"/>
        <v/>
      </c>
      <c r="R170" s="8">
        <f>IF(Q170="",0,IF(SUMPRODUCT(--(Q$4:Q170=Q170))&gt;1,1,0))</f>
        <v>0</v>
      </c>
    </row>
    <row r="171" spans="1:18" x14ac:dyDescent="0.25">
      <c r="A171" s="8">
        <v>168</v>
      </c>
      <c r="B171" s="9"/>
      <c r="C171" s="33" t="str">
        <f t="shared" si="12"/>
        <v/>
      </c>
      <c r="D171" s="31"/>
      <c r="E171" s="31"/>
      <c r="F171" s="11"/>
      <c r="G171" s="11"/>
      <c r="H171" s="9"/>
      <c r="I171" s="11"/>
      <c r="J171" s="9"/>
      <c r="K171" s="12" t="str">
        <f t="shared" si="13"/>
        <v/>
      </c>
      <c r="L171" s="12" t="str">
        <f t="shared" si="14"/>
        <v/>
      </c>
      <c r="M171" s="8" t="str">
        <f t="shared" si="15"/>
        <v/>
      </c>
      <c r="N171" s="9"/>
      <c r="O171" s="31"/>
      <c r="P171" s="8" t="str">
        <f t="shared" si="16"/>
        <v/>
      </c>
      <c r="Q171" s="8" t="str">
        <f t="shared" si="17"/>
        <v/>
      </c>
      <c r="R171" s="8">
        <f>IF(Q171="",0,IF(SUMPRODUCT(--(Q$4:Q171=Q171))&gt;1,1,0))</f>
        <v>0</v>
      </c>
    </row>
    <row r="172" spans="1:18" x14ac:dyDescent="0.25">
      <c r="A172" s="8">
        <v>169</v>
      </c>
      <c r="B172" s="9"/>
      <c r="C172" s="33" t="str">
        <f t="shared" si="12"/>
        <v/>
      </c>
      <c r="D172" s="31"/>
      <c r="E172" s="31"/>
      <c r="F172" s="11"/>
      <c r="G172" s="11"/>
      <c r="H172" s="9"/>
      <c r="I172" s="11"/>
      <c r="J172" s="9"/>
      <c r="K172" s="12" t="str">
        <f t="shared" si="13"/>
        <v/>
      </c>
      <c r="L172" s="12" t="str">
        <f t="shared" si="14"/>
        <v/>
      </c>
      <c r="M172" s="8" t="str">
        <f t="shared" si="15"/>
        <v/>
      </c>
      <c r="N172" s="9"/>
      <c r="O172" s="31"/>
      <c r="P172" s="8" t="str">
        <f t="shared" si="16"/>
        <v/>
      </c>
      <c r="Q172" s="8" t="str">
        <f t="shared" si="17"/>
        <v/>
      </c>
      <c r="R172" s="8">
        <f>IF(Q172="",0,IF(SUMPRODUCT(--(Q$4:Q172=Q172))&gt;1,1,0))</f>
        <v>0</v>
      </c>
    </row>
    <row r="173" spans="1:18" x14ac:dyDescent="0.25">
      <c r="A173" s="8">
        <v>170</v>
      </c>
      <c r="B173" s="9"/>
      <c r="C173" s="33" t="str">
        <f t="shared" si="12"/>
        <v/>
      </c>
      <c r="D173" s="31"/>
      <c r="E173" s="31"/>
      <c r="F173" s="11"/>
      <c r="G173" s="11"/>
      <c r="H173" s="9"/>
      <c r="I173" s="11"/>
      <c r="J173" s="9"/>
      <c r="K173" s="12" t="str">
        <f t="shared" si="13"/>
        <v/>
      </c>
      <c r="L173" s="12" t="str">
        <f t="shared" si="14"/>
        <v/>
      </c>
      <c r="M173" s="8" t="str">
        <f t="shared" si="15"/>
        <v/>
      </c>
      <c r="N173" s="9"/>
      <c r="O173" s="31"/>
      <c r="P173" s="8" t="str">
        <f t="shared" si="16"/>
        <v/>
      </c>
      <c r="Q173" s="8" t="str">
        <f t="shared" si="17"/>
        <v/>
      </c>
      <c r="R173" s="8">
        <f>IF(Q173="",0,IF(SUMPRODUCT(--(Q$4:Q173=Q173))&gt;1,1,0))</f>
        <v>0</v>
      </c>
    </row>
    <row r="174" spans="1:18" x14ac:dyDescent="0.25">
      <c r="A174" s="8">
        <v>171</v>
      </c>
      <c r="B174" s="9"/>
      <c r="C174" s="33" t="str">
        <f t="shared" si="12"/>
        <v/>
      </c>
      <c r="D174" s="31"/>
      <c r="E174" s="31"/>
      <c r="F174" s="11"/>
      <c r="G174" s="11"/>
      <c r="H174" s="9"/>
      <c r="I174" s="11"/>
      <c r="J174" s="9"/>
      <c r="K174" s="12" t="str">
        <f t="shared" si="13"/>
        <v/>
      </c>
      <c r="L174" s="12" t="str">
        <f t="shared" si="14"/>
        <v/>
      </c>
      <c r="M174" s="8" t="str">
        <f t="shared" si="15"/>
        <v/>
      </c>
      <c r="N174" s="9"/>
      <c r="O174" s="31"/>
      <c r="P174" s="8" t="str">
        <f t="shared" si="16"/>
        <v/>
      </c>
      <c r="Q174" s="8" t="str">
        <f t="shared" si="17"/>
        <v/>
      </c>
      <c r="R174" s="8">
        <f>IF(Q174="",0,IF(SUMPRODUCT(--(Q$4:Q174=Q174))&gt;1,1,0))</f>
        <v>0</v>
      </c>
    </row>
    <row r="175" spans="1:18" x14ac:dyDescent="0.25">
      <c r="A175" s="8">
        <v>172</v>
      </c>
      <c r="B175" s="9"/>
      <c r="C175" s="33" t="str">
        <f t="shared" si="12"/>
        <v/>
      </c>
      <c r="D175" s="31"/>
      <c r="E175" s="31"/>
      <c r="F175" s="11"/>
      <c r="G175" s="11"/>
      <c r="H175" s="9"/>
      <c r="I175" s="11"/>
      <c r="J175" s="9"/>
      <c r="K175" s="12" t="str">
        <f t="shared" si="13"/>
        <v/>
      </c>
      <c r="L175" s="12" t="str">
        <f t="shared" si="14"/>
        <v/>
      </c>
      <c r="M175" s="8" t="str">
        <f t="shared" si="15"/>
        <v/>
      </c>
      <c r="N175" s="9"/>
      <c r="O175" s="31"/>
      <c r="P175" s="8" t="str">
        <f t="shared" si="16"/>
        <v/>
      </c>
      <c r="Q175" s="8" t="str">
        <f t="shared" si="17"/>
        <v/>
      </c>
      <c r="R175" s="8">
        <f>IF(Q175="",0,IF(SUMPRODUCT(--(Q$4:Q175=Q175))&gt;1,1,0))</f>
        <v>0</v>
      </c>
    </row>
    <row r="176" spans="1:18" x14ac:dyDescent="0.25">
      <c r="A176" s="8">
        <v>173</v>
      </c>
      <c r="B176" s="9"/>
      <c r="C176" s="33" t="str">
        <f t="shared" si="12"/>
        <v/>
      </c>
      <c r="D176" s="31"/>
      <c r="E176" s="31"/>
      <c r="F176" s="11"/>
      <c r="G176" s="11"/>
      <c r="H176" s="9"/>
      <c r="I176" s="11"/>
      <c r="J176" s="9"/>
      <c r="K176" s="12" t="str">
        <f t="shared" si="13"/>
        <v/>
      </c>
      <c r="L176" s="12" t="str">
        <f t="shared" si="14"/>
        <v/>
      </c>
      <c r="M176" s="8" t="str">
        <f t="shared" si="15"/>
        <v/>
      </c>
      <c r="N176" s="9"/>
      <c r="O176" s="31"/>
      <c r="P176" s="8" t="str">
        <f t="shared" si="16"/>
        <v/>
      </c>
      <c r="Q176" s="8" t="str">
        <f t="shared" si="17"/>
        <v/>
      </c>
      <c r="R176" s="8">
        <f>IF(Q176="",0,IF(SUMPRODUCT(--(Q$4:Q176=Q176))&gt;1,1,0))</f>
        <v>0</v>
      </c>
    </row>
    <row r="177" spans="1:18" x14ac:dyDescent="0.25">
      <c r="A177" s="8">
        <v>174</v>
      </c>
      <c r="B177" s="9"/>
      <c r="C177" s="33" t="str">
        <f t="shared" si="12"/>
        <v/>
      </c>
      <c r="D177" s="31"/>
      <c r="E177" s="31"/>
      <c r="F177" s="11"/>
      <c r="G177" s="11"/>
      <c r="H177" s="9"/>
      <c r="I177" s="11"/>
      <c r="J177" s="9"/>
      <c r="K177" s="12" t="str">
        <f t="shared" si="13"/>
        <v/>
      </c>
      <c r="L177" s="12" t="str">
        <f t="shared" si="14"/>
        <v/>
      </c>
      <c r="M177" s="8" t="str">
        <f t="shared" si="15"/>
        <v/>
      </c>
      <c r="N177" s="9"/>
      <c r="O177" s="31"/>
      <c r="P177" s="8" t="str">
        <f t="shared" si="16"/>
        <v/>
      </c>
      <c r="Q177" s="8" t="str">
        <f t="shared" si="17"/>
        <v/>
      </c>
      <c r="R177" s="8">
        <f>IF(Q177="",0,IF(SUMPRODUCT(--(Q$4:Q177=Q177))&gt;1,1,0))</f>
        <v>0</v>
      </c>
    </row>
    <row r="178" spans="1:18" x14ac:dyDescent="0.25">
      <c r="A178" s="8">
        <v>175</v>
      </c>
      <c r="B178" s="9"/>
      <c r="C178" s="33" t="str">
        <f t="shared" si="12"/>
        <v/>
      </c>
      <c r="D178" s="31"/>
      <c r="E178" s="31"/>
      <c r="F178" s="11"/>
      <c r="G178" s="11"/>
      <c r="H178" s="9"/>
      <c r="I178" s="11"/>
      <c r="J178" s="9"/>
      <c r="K178" s="12" t="str">
        <f t="shared" si="13"/>
        <v/>
      </c>
      <c r="L178" s="12" t="str">
        <f t="shared" si="14"/>
        <v/>
      </c>
      <c r="M178" s="8" t="str">
        <f t="shared" si="15"/>
        <v/>
      </c>
      <c r="N178" s="9"/>
      <c r="O178" s="31"/>
      <c r="P178" s="8" t="str">
        <f t="shared" si="16"/>
        <v/>
      </c>
      <c r="Q178" s="8" t="str">
        <f t="shared" si="17"/>
        <v/>
      </c>
      <c r="R178" s="8">
        <f>IF(Q178="",0,IF(SUMPRODUCT(--(Q$4:Q178=Q178))&gt;1,1,0))</f>
        <v>0</v>
      </c>
    </row>
    <row r="179" spans="1:18" x14ac:dyDescent="0.25">
      <c r="A179" s="8">
        <v>176</v>
      </c>
      <c r="B179" s="9"/>
      <c r="C179" s="33" t="str">
        <f t="shared" si="12"/>
        <v/>
      </c>
      <c r="D179" s="31"/>
      <c r="E179" s="31"/>
      <c r="F179" s="11"/>
      <c r="G179" s="11"/>
      <c r="H179" s="9"/>
      <c r="I179" s="11"/>
      <c r="J179" s="9"/>
      <c r="K179" s="12" t="str">
        <f t="shared" si="13"/>
        <v/>
      </c>
      <c r="L179" s="12" t="str">
        <f t="shared" si="14"/>
        <v/>
      </c>
      <c r="M179" s="8" t="str">
        <f t="shared" si="15"/>
        <v/>
      </c>
      <c r="N179" s="9"/>
      <c r="O179" s="31"/>
      <c r="P179" s="8" t="str">
        <f t="shared" si="16"/>
        <v/>
      </c>
      <c r="Q179" s="8" t="str">
        <f t="shared" si="17"/>
        <v/>
      </c>
      <c r="R179" s="8">
        <f>IF(Q179="",0,IF(SUMPRODUCT(--(Q$4:Q179=Q179))&gt;1,1,0))</f>
        <v>0</v>
      </c>
    </row>
    <row r="180" spans="1:18" x14ac:dyDescent="0.25">
      <c r="A180" s="8">
        <v>177</v>
      </c>
      <c r="B180" s="9"/>
      <c r="C180" s="33" t="str">
        <f t="shared" si="12"/>
        <v/>
      </c>
      <c r="D180" s="31"/>
      <c r="E180" s="31"/>
      <c r="F180" s="11"/>
      <c r="G180" s="11"/>
      <c r="H180" s="9"/>
      <c r="I180" s="11"/>
      <c r="J180" s="9"/>
      <c r="K180" s="12" t="str">
        <f t="shared" si="13"/>
        <v/>
      </c>
      <c r="L180" s="12" t="str">
        <f t="shared" si="14"/>
        <v/>
      </c>
      <c r="M180" s="8" t="str">
        <f t="shared" si="15"/>
        <v/>
      </c>
      <c r="N180" s="9"/>
      <c r="O180" s="31"/>
      <c r="P180" s="8" t="str">
        <f t="shared" si="16"/>
        <v/>
      </c>
      <c r="Q180" s="8" t="str">
        <f t="shared" si="17"/>
        <v/>
      </c>
      <c r="R180" s="8">
        <f>IF(Q180="",0,IF(SUMPRODUCT(--(Q$4:Q180=Q180))&gt;1,1,0))</f>
        <v>0</v>
      </c>
    </row>
    <row r="181" spans="1:18" x14ac:dyDescent="0.25">
      <c r="A181" s="8">
        <v>178</v>
      </c>
      <c r="B181" s="9"/>
      <c r="C181" s="33" t="str">
        <f t="shared" si="12"/>
        <v/>
      </c>
      <c r="D181" s="31"/>
      <c r="E181" s="31"/>
      <c r="F181" s="11"/>
      <c r="G181" s="11"/>
      <c r="H181" s="9"/>
      <c r="I181" s="11"/>
      <c r="J181" s="9"/>
      <c r="K181" s="12" t="str">
        <f t="shared" si="13"/>
        <v/>
      </c>
      <c r="L181" s="12" t="str">
        <f t="shared" si="14"/>
        <v/>
      </c>
      <c r="M181" s="8" t="str">
        <f t="shared" si="15"/>
        <v/>
      </c>
      <c r="N181" s="9"/>
      <c r="O181" s="31"/>
      <c r="P181" s="8" t="str">
        <f t="shared" si="16"/>
        <v/>
      </c>
      <c r="Q181" s="8" t="str">
        <f t="shared" si="17"/>
        <v/>
      </c>
      <c r="R181" s="8">
        <f>IF(Q181="",0,IF(SUMPRODUCT(--(Q$4:Q181=Q181))&gt;1,1,0))</f>
        <v>0</v>
      </c>
    </row>
    <row r="182" spans="1:18" x14ac:dyDescent="0.25">
      <c r="A182" s="8">
        <v>179</v>
      </c>
      <c r="B182" s="9"/>
      <c r="C182" s="33" t="str">
        <f t="shared" si="12"/>
        <v/>
      </c>
      <c r="D182" s="31"/>
      <c r="E182" s="31"/>
      <c r="F182" s="11"/>
      <c r="G182" s="11"/>
      <c r="H182" s="9"/>
      <c r="I182" s="11"/>
      <c r="J182" s="9"/>
      <c r="K182" s="12" t="str">
        <f t="shared" si="13"/>
        <v/>
      </c>
      <c r="L182" s="12" t="str">
        <f t="shared" si="14"/>
        <v/>
      </c>
      <c r="M182" s="8" t="str">
        <f t="shared" si="15"/>
        <v/>
      </c>
      <c r="N182" s="9"/>
      <c r="O182" s="31"/>
      <c r="P182" s="8" t="str">
        <f t="shared" si="16"/>
        <v/>
      </c>
      <c r="Q182" s="8" t="str">
        <f t="shared" si="17"/>
        <v/>
      </c>
      <c r="R182" s="8">
        <f>IF(Q182="",0,IF(SUMPRODUCT(--(Q$4:Q182=Q182))&gt;1,1,0))</f>
        <v>0</v>
      </c>
    </row>
    <row r="183" spans="1:18" x14ac:dyDescent="0.25">
      <c r="A183" s="8">
        <v>180</v>
      </c>
      <c r="B183" s="9"/>
      <c r="C183" s="33" t="str">
        <f t="shared" si="12"/>
        <v/>
      </c>
      <c r="D183" s="31"/>
      <c r="E183" s="31"/>
      <c r="F183" s="11"/>
      <c r="G183" s="11"/>
      <c r="H183" s="9"/>
      <c r="I183" s="11"/>
      <c r="J183" s="9"/>
      <c r="K183" s="12" t="str">
        <f t="shared" si="13"/>
        <v/>
      </c>
      <c r="L183" s="12" t="str">
        <f t="shared" si="14"/>
        <v/>
      </c>
      <c r="M183" s="8" t="str">
        <f t="shared" si="15"/>
        <v/>
      </c>
      <c r="N183" s="9"/>
      <c r="O183" s="31"/>
      <c r="P183" s="8" t="str">
        <f t="shared" si="16"/>
        <v/>
      </c>
      <c r="Q183" s="8" t="str">
        <f t="shared" si="17"/>
        <v/>
      </c>
      <c r="R183" s="8">
        <f>IF(Q183="",0,IF(SUMPRODUCT(--(Q$4:Q183=Q183))&gt;1,1,0))</f>
        <v>0</v>
      </c>
    </row>
    <row r="184" spans="1:18" x14ac:dyDescent="0.25">
      <c r="A184" s="8">
        <v>181</v>
      </c>
      <c r="B184" s="9"/>
      <c r="C184" s="33" t="str">
        <f t="shared" si="12"/>
        <v/>
      </c>
      <c r="D184" s="31"/>
      <c r="E184" s="31"/>
      <c r="F184" s="11"/>
      <c r="G184" s="11"/>
      <c r="H184" s="9"/>
      <c r="I184" s="11"/>
      <c r="J184" s="9"/>
      <c r="K184" s="12" t="str">
        <f t="shared" si="13"/>
        <v/>
      </c>
      <c r="L184" s="12" t="str">
        <f t="shared" si="14"/>
        <v/>
      </c>
      <c r="M184" s="8" t="str">
        <f t="shared" si="15"/>
        <v/>
      </c>
      <c r="N184" s="9"/>
      <c r="O184" s="31"/>
      <c r="P184" s="8" t="str">
        <f t="shared" si="16"/>
        <v/>
      </c>
      <c r="Q184" s="8" t="str">
        <f t="shared" si="17"/>
        <v/>
      </c>
      <c r="R184" s="8">
        <f>IF(Q184="",0,IF(SUMPRODUCT(--(Q$4:Q184=Q184))&gt;1,1,0))</f>
        <v>0</v>
      </c>
    </row>
    <row r="185" spans="1:18" x14ac:dyDescent="0.25">
      <c r="A185" s="8">
        <v>182</v>
      </c>
      <c r="B185" s="9"/>
      <c r="C185" s="33" t="str">
        <f t="shared" si="12"/>
        <v/>
      </c>
      <c r="D185" s="31"/>
      <c r="E185" s="31"/>
      <c r="F185" s="11"/>
      <c r="G185" s="11"/>
      <c r="H185" s="9"/>
      <c r="I185" s="11"/>
      <c r="J185" s="9"/>
      <c r="K185" s="12" t="str">
        <f t="shared" si="13"/>
        <v/>
      </c>
      <c r="L185" s="12" t="str">
        <f t="shared" si="14"/>
        <v/>
      </c>
      <c r="M185" s="8" t="str">
        <f t="shared" si="15"/>
        <v/>
      </c>
      <c r="N185" s="9"/>
      <c r="O185" s="31"/>
      <c r="P185" s="8" t="str">
        <f t="shared" si="16"/>
        <v/>
      </c>
      <c r="Q185" s="8" t="str">
        <f t="shared" si="17"/>
        <v/>
      </c>
      <c r="R185" s="8">
        <f>IF(Q185="",0,IF(SUMPRODUCT(--(Q$4:Q185=Q185))&gt;1,1,0))</f>
        <v>0</v>
      </c>
    </row>
    <row r="186" spans="1:18" x14ac:dyDescent="0.25">
      <c r="A186" s="8">
        <v>183</v>
      </c>
      <c r="B186" s="9"/>
      <c r="C186" s="33" t="str">
        <f t="shared" si="12"/>
        <v/>
      </c>
      <c r="D186" s="31"/>
      <c r="E186" s="31"/>
      <c r="F186" s="11"/>
      <c r="G186" s="11"/>
      <c r="H186" s="9"/>
      <c r="I186" s="11"/>
      <c r="J186" s="9"/>
      <c r="K186" s="12" t="str">
        <f t="shared" si="13"/>
        <v/>
      </c>
      <c r="L186" s="12" t="str">
        <f t="shared" si="14"/>
        <v/>
      </c>
      <c r="M186" s="8" t="str">
        <f t="shared" si="15"/>
        <v/>
      </c>
      <c r="N186" s="9"/>
      <c r="O186" s="31"/>
      <c r="P186" s="8" t="str">
        <f t="shared" si="16"/>
        <v/>
      </c>
      <c r="Q186" s="8" t="str">
        <f t="shared" si="17"/>
        <v/>
      </c>
      <c r="R186" s="8">
        <f>IF(Q186="",0,IF(SUMPRODUCT(--(Q$4:Q186=Q186))&gt;1,1,0))</f>
        <v>0</v>
      </c>
    </row>
    <row r="187" spans="1:18" x14ac:dyDescent="0.25">
      <c r="A187" s="8">
        <v>184</v>
      </c>
      <c r="B187" s="9"/>
      <c r="C187" s="33" t="str">
        <f t="shared" si="12"/>
        <v/>
      </c>
      <c r="D187" s="31"/>
      <c r="E187" s="31"/>
      <c r="F187" s="11"/>
      <c r="G187" s="11"/>
      <c r="H187" s="9"/>
      <c r="I187" s="11"/>
      <c r="J187" s="9"/>
      <c r="K187" s="12" t="str">
        <f t="shared" si="13"/>
        <v/>
      </c>
      <c r="L187" s="12" t="str">
        <f t="shared" si="14"/>
        <v/>
      </c>
      <c r="M187" s="8" t="str">
        <f t="shared" si="15"/>
        <v/>
      </c>
      <c r="N187" s="9"/>
      <c r="O187" s="31"/>
      <c r="P187" s="8" t="str">
        <f t="shared" si="16"/>
        <v/>
      </c>
      <c r="Q187" s="8" t="str">
        <f t="shared" si="17"/>
        <v/>
      </c>
      <c r="R187" s="8">
        <f>IF(Q187="",0,IF(SUMPRODUCT(--(Q$4:Q187=Q187))&gt;1,1,0))</f>
        <v>0</v>
      </c>
    </row>
    <row r="188" spans="1:18" x14ac:dyDescent="0.25">
      <c r="A188" s="8">
        <v>185</v>
      </c>
      <c r="B188" s="9"/>
      <c r="C188" s="33" t="str">
        <f t="shared" si="12"/>
        <v/>
      </c>
      <c r="D188" s="31"/>
      <c r="E188" s="31"/>
      <c r="F188" s="11"/>
      <c r="G188" s="11"/>
      <c r="H188" s="9"/>
      <c r="I188" s="11"/>
      <c r="J188" s="9"/>
      <c r="K188" s="12" t="str">
        <f t="shared" si="13"/>
        <v/>
      </c>
      <c r="L188" s="12" t="str">
        <f t="shared" si="14"/>
        <v/>
      </c>
      <c r="M188" s="8" t="str">
        <f t="shared" si="15"/>
        <v/>
      </c>
      <c r="N188" s="9"/>
      <c r="O188" s="31"/>
      <c r="P188" s="8" t="str">
        <f t="shared" si="16"/>
        <v/>
      </c>
      <c r="Q188" s="8" t="str">
        <f t="shared" si="17"/>
        <v/>
      </c>
      <c r="R188" s="8">
        <f>IF(Q188="",0,IF(SUMPRODUCT(--(Q$4:Q188=Q188))&gt;1,1,0))</f>
        <v>0</v>
      </c>
    </row>
    <row r="189" spans="1:18" x14ac:dyDescent="0.25">
      <c r="A189" s="8">
        <v>186</v>
      </c>
      <c r="B189" s="9"/>
      <c r="C189" s="33" t="str">
        <f t="shared" si="12"/>
        <v/>
      </c>
      <c r="D189" s="31"/>
      <c r="E189" s="31"/>
      <c r="F189" s="11"/>
      <c r="G189" s="11"/>
      <c r="H189" s="9"/>
      <c r="I189" s="11"/>
      <c r="J189" s="9"/>
      <c r="K189" s="12" t="str">
        <f t="shared" si="13"/>
        <v/>
      </c>
      <c r="L189" s="12" t="str">
        <f t="shared" si="14"/>
        <v/>
      </c>
      <c r="M189" s="8" t="str">
        <f t="shared" si="15"/>
        <v/>
      </c>
      <c r="N189" s="9"/>
      <c r="O189" s="31"/>
      <c r="P189" s="8" t="str">
        <f t="shared" si="16"/>
        <v/>
      </c>
      <c r="Q189" s="8" t="str">
        <f t="shared" si="17"/>
        <v/>
      </c>
      <c r="R189" s="8">
        <f>IF(Q189="",0,IF(SUMPRODUCT(--(Q$4:Q189=Q189))&gt;1,1,0))</f>
        <v>0</v>
      </c>
    </row>
    <row r="190" spans="1:18" x14ac:dyDescent="0.25">
      <c r="A190" s="8">
        <v>187</v>
      </c>
      <c r="B190" s="9"/>
      <c r="C190" s="33" t="str">
        <f t="shared" si="12"/>
        <v/>
      </c>
      <c r="D190" s="31"/>
      <c r="E190" s="31"/>
      <c r="F190" s="11"/>
      <c r="G190" s="11"/>
      <c r="H190" s="9"/>
      <c r="I190" s="11"/>
      <c r="J190" s="9"/>
      <c r="K190" s="12" t="str">
        <f t="shared" si="13"/>
        <v/>
      </c>
      <c r="L190" s="12" t="str">
        <f t="shared" si="14"/>
        <v/>
      </c>
      <c r="M190" s="8" t="str">
        <f t="shared" si="15"/>
        <v/>
      </c>
      <c r="N190" s="9"/>
      <c r="O190" s="31"/>
      <c r="P190" s="8" t="str">
        <f t="shared" si="16"/>
        <v/>
      </c>
      <c r="Q190" s="8" t="str">
        <f t="shared" si="17"/>
        <v/>
      </c>
      <c r="R190" s="8">
        <f>IF(Q190="",0,IF(SUMPRODUCT(--(Q$4:Q190=Q190))&gt;1,1,0))</f>
        <v>0</v>
      </c>
    </row>
    <row r="191" spans="1:18" x14ac:dyDescent="0.25">
      <c r="A191" s="8">
        <v>188</v>
      </c>
      <c r="B191" s="9"/>
      <c r="C191" s="33" t="str">
        <f t="shared" si="12"/>
        <v/>
      </c>
      <c r="D191" s="31"/>
      <c r="E191" s="31"/>
      <c r="F191" s="11"/>
      <c r="G191" s="11"/>
      <c r="H191" s="9"/>
      <c r="I191" s="11"/>
      <c r="J191" s="9"/>
      <c r="K191" s="12" t="str">
        <f t="shared" si="13"/>
        <v/>
      </c>
      <c r="L191" s="12" t="str">
        <f t="shared" si="14"/>
        <v/>
      </c>
      <c r="M191" s="8" t="str">
        <f t="shared" si="15"/>
        <v/>
      </c>
      <c r="N191" s="9"/>
      <c r="O191" s="31"/>
      <c r="P191" s="8" t="str">
        <f t="shared" si="16"/>
        <v/>
      </c>
      <c r="Q191" s="8" t="str">
        <f t="shared" si="17"/>
        <v/>
      </c>
      <c r="R191" s="8">
        <f>IF(Q191="",0,IF(SUMPRODUCT(--(Q$4:Q191=Q191))&gt;1,1,0))</f>
        <v>0</v>
      </c>
    </row>
    <row r="192" spans="1:18" x14ac:dyDescent="0.25">
      <c r="A192" s="8">
        <v>189</v>
      </c>
      <c r="B192" s="9"/>
      <c r="C192" s="33" t="str">
        <f t="shared" si="12"/>
        <v/>
      </c>
      <c r="D192" s="31"/>
      <c r="E192" s="31"/>
      <c r="F192" s="11"/>
      <c r="G192" s="11"/>
      <c r="H192" s="9"/>
      <c r="I192" s="11"/>
      <c r="J192" s="9"/>
      <c r="K192" s="12" t="str">
        <f t="shared" si="13"/>
        <v/>
      </c>
      <c r="L192" s="12" t="str">
        <f t="shared" si="14"/>
        <v/>
      </c>
      <c r="M192" s="8" t="str">
        <f t="shared" si="15"/>
        <v/>
      </c>
      <c r="N192" s="9"/>
      <c r="O192" s="31"/>
      <c r="P192" s="8" t="str">
        <f t="shared" si="16"/>
        <v/>
      </c>
      <c r="Q192" s="8" t="str">
        <f t="shared" si="17"/>
        <v/>
      </c>
      <c r="R192" s="8">
        <f>IF(Q192="",0,IF(SUMPRODUCT(--(Q$4:Q192=Q192))&gt;1,1,0))</f>
        <v>0</v>
      </c>
    </row>
    <row r="193" spans="1:18" x14ac:dyDescent="0.25">
      <c r="A193" s="8">
        <v>190</v>
      </c>
      <c r="B193" s="9"/>
      <c r="C193" s="33" t="str">
        <f t="shared" si="12"/>
        <v/>
      </c>
      <c r="D193" s="31"/>
      <c r="E193" s="31"/>
      <c r="F193" s="11"/>
      <c r="G193" s="11"/>
      <c r="H193" s="9"/>
      <c r="I193" s="11"/>
      <c r="J193" s="9"/>
      <c r="K193" s="12" t="str">
        <f t="shared" si="13"/>
        <v/>
      </c>
      <c r="L193" s="12" t="str">
        <f t="shared" si="14"/>
        <v/>
      </c>
      <c r="M193" s="8" t="str">
        <f t="shared" si="15"/>
        <v/>
      </c>
      <c r="N193" s="9"/>
      <c r="O193" s="31"/>
      <c r="P193" s="8" t="str">
        <f t="shared" si="16"/>
        <v/>
      </c>
      <c r="Q193" s="8" t="str">
        <f t="shared" si="17"/>
        <v/>
      </c>
      <c r="R193" s="8">
        <f>IF(Q193="",0,IF(SUMPRODUCT(--(Q$4:Q193=Q193))&gt;1,1,0))</f>
        <v>0</v>
      </c>
    </row>
    <row r="194" spans="1:18" x14ac:dyDescent="0.25">
      <c r="A194" s="8">
        <v>191</v>
      </c>
      <c r="B194" s="9"/>
      <c r="C194" s="33" t="str">
        <f t="shared" si="12"/>
        <v/>
      </c>
      <c r="D194" s="31"/>
      <c r="E194" s="31"/>
      <c r="F194" s="11"/>
      <c r="G194" s="11"/>
      <c r="H194" s="9"/>
      <c r="I194" s="11"/>
      <c r="J194" s="9"/>
      <c r="K194" s="12" t="str">
        <f t="shared" si="13"/>
        <v/>
      </c>
      <c r="L194" s="12" t="str">
        <f t="shared" si="14"/>
        <v/>
      </c>
      <c r="M194" s="8" t="str">
        <f t="shared" si="15"/>
        <v/>
      </c>
      <c r="N194" s="9"/>
      <c r="O194" s="31"/>
      <c r="P194" s="8" t="str">
        <f t="shared" si="16"/>
        <v/>
      </c>
      <c r="Q194" s="8" t="str">
        <f t="shared" si="17"/>
        <v/>
      </c>
      <c r="R194" s="8">
        <f>IF(Q194="",0,IF(SUMPRODUCT(--(Q$4:Q194=Q194))&gt;1,1,0))</f>
        <v>0</v>
      </c>
    </row>
    <row r="195" spans="1:18" x14ac:dyDescent="0.25">
      <c r="A195" s="8">
        <v>192</v>
      </c>
      <c r="B195" s="9"/>
      <c r="C195" s="33" t="str">
        <f t="shared" si="12"/>
        <v/>
      </c>
      <c r="D195" s="31"/>
      <c r="E195" s="31"/>
      <c r="F195" s="11"/>
      <c r="G195" s="11"/>
      <c r="H195" s="9"/>
      <c r="I195" s="11"/>
      <c r="J195" s="9"/>
      <c r="K195" s="12" t="str">
        <f t="shared" si="13"/>
        <v/>
      </c>
      <c r="L195" s="12" t="str">
        <f t="shared" si="14"/>
        <v/>
      </c>
      <c r="M195" s="8" t="str">
        <f t="shared" si="15"/>
        <v/>
      </c>
      <c r="N195" s="9"/>
      <c r="O195" s="31"/>
      <c r="P195" s="8" t="str">
        <f t="shared" si="16"/>
        <v/>
      </c>
      <c r="Q195" s="8" t="str">
        <f t="shared" si="17"/>
        <v/>
      </c>
      <c r="R195" s="8">
        <f>IF(Q195="",0,IF(SUMPRODUCT(--(Q$4:Q195=Q195))&gt;1,1,0))</f>
        <v>0</v>
      </c>
    </row>
    <row r="196" spans="1:18" x14ac:dyDescent="0.25">
      <c r="A196" s="8">
        <v>193</v>
      </c>
      <c r="B196" s="9"/>
      <c r="C196" s="33" t="str">
        <f t="shared" ref="C196:C259" si="18">IF(B196="","",IFERROR(INDEX(SpaceNames,MATCH(B196,SpaceCodes,0))&amp;"",""))</f>
        <v/>
      </c>
      <c r="D196" s="31"/>
      <c r="E196" s="31"/>
      <c r="F196" s="11"/>
      <c r="G196" s="11"/>
      <c r="H196" s="9"/>
      <c r="I196" s="11"/>
      <c r="J196" s="9"/>
      <c r="K196" s="12" t="str">
        <f t="shared" ref="K196:K259" si="19">IF(Q196="","",IF(OR(J196="لا",R196=1),0,IF(I196&lt;&gt;"",I196*IF(H196="",1,H196),IF(AND(F196&lt;&gt;"",G196&lt;&gt;""),F196*G196*IF(H196="",1,H196),""))))</f>
        <v/>
      </c>
      <c r="L196" s="12" t="str">
        <f t="shared" ref="L196:L259" si="20">IF(OR(Q196="",B196="",D196=""),"",SUMIFS(FL_Net,FL_Space,B196,FL_Mat,D196))</f>
        <v/>
      </c>
      <c r="M196" s="8" t="str">
        <f t="shared" ref="M196:M259" si="21">IF(D196="","",IFERROR(IF(INDEX(FloorUnit,MATCH(D196,FloorMat,0))="","م²",INDEX(FloorUnit,MATCH(D196,FloorMat,0))),"م²"))</f>
        <v/>
      </c>
      <c r="N196" s="9"/>
      <c r="O196" s="31"/>
      <c r="P196" s="8" t="str">
        <f t="shared" ref="P196:P259" si="22">IF(Q196="","",IF(R196=1,"تكرار — غير محتسب",IF(B196="","ناقص بيانات: كود الفراغ",IF(COUNTIF(SpaceCodes,B196)=0,"ناقص بيانات: الفراغ غير مسجل",IF(D196="","ناقص بيانات: الخامة",IF(AND(I196="",OR(F196="",G196="")),"ناقص قياس",IF(J196="لا","مستبعد من الحصر",IF(N196="نعم","يحتاج مراجعة","مكتمل"))))))))</f>
        <v/>
      </c>
      <c r="Q196" s="8" t="str">
        <f t="shared" ref="Q196:Q259" si="23">IF(COUNTA(B196,D196:I196)=0,"",B196&amp;"|"&amp;D196&amp;"|"&amp;E196&amp;"|"&amp;F196&amp;"|"&amp;G196&amp;"|"&amp;I196)</f>
        <v/>
      </c>
      <c r="R196" s="8">
        <f>IF(Q196="",0,IF(SUMPRODUCT(--(Q$4:Q196=Q196))&gt;1,1,0))</f>
        <v>0</v>
      </c>
    </row>
    <row r="197" spans="1:18" x14ac:dyDescent="0.25">
      <c r="A197" s="8">
        <v>194</v>
      </c>
      <c r="B197" s="9"/>
      <c r="C197" s="33" t="str">
        <f t="shared" si="18"/>
        <v/>
      </c>
      <c r="D197" s="31"/>
      <c r="E197" s="31"/>
      <c r="F197" s="11"/>
      <c r="G197" s="11"/>
      <c r="H197" s="9"/>
      <c r="I197" s="11"/>
      <c r="J197" s="9"/>
      <c r="K197" s="12" t="str">
        <f t="shared" si="19"/>
        <v/>
      </c>
      <c r="L197" s="12" t="str">
        <f t="shared" si="20"/>
        <v/>
      </c>
      <c r="M197" s="8" t="str">
        <f t="shared" si="21"/>
        <v/>
      </c>
      <c r="N197" s="9"/>
      <c r="O197" s="31"/>
      <c r="P197" s="8" t="str">
        <f t="shared" si="22"/>
        <v/>
      </c>
      <c r="Q197" s="8" t="str">
        <f t="shared" si="23"/>
        <v/>
      </c>
      <c r="R197" s="8">
        <f>IF(Q197="",0,IF(SUMPRODUCT(--(Q$4:Q197=Q197))&gt;1,1,0))</f>
        <v>0</v>
      </c>
    </row>
    <row r="198" spans="1:18" x14ac:dyDescent="0.25">
      <c r="A198" s="8">
        <v>195</v>
      </c>
      <c r="B198" s="9"/>
      <c r="C198" s="33" t="str">
        <f t="shared" si="18"/>
        <v/>
      </c>
      <c r="D198" s="31"/>
      <c r="E198" s="31"/>
      <c r="F198" s="11"/>
      <c r="G198" s="11"/>
      <c r="H198" s="9"/>
      <c r="I198" s="11"/>
      <c r="J198" s="9"/>
      <c r="K198" s="12" t="str">
        <f t="shared" si="19"/>
        <v/>
      </c>
      <c r="L198" s="12" t="str">
        <f t="shared" si="20"/>
        <v/>
      </c>
      <c r="M198" s="8" t="str">
        <f t="shared" si="21"/>
        <v/>
      </c>
      <c r="N198" s="9"/>
      <c r="O198" s="31"/>
      <c r="P198" s="8" t="str">
        <f t="shared" si="22"/>
        <v/>
      </c>
      <c r="Q198" s="8" t="str">
        <f t="shared" si="23"/>
        <v/>
      </c>
      <c r="R198" s="8">
        <f>IF(Q198="",0,IF(SUMPRODUCT(--(Q$4:Q198=Q198))&gt;1,1,0))</f>
        <v>0</v>
      </c>
    </row>
    <row r="199" spans="1:18" x14ac:dyDescent="0.25">
      <c r="A199" s="8">
        <v>196</v>
      </c>
      <c r="B199" s="9"/>
      <c r="C199" s="33" t="str">
        <f t="shared" si="18"/>
        <v/>
      </c>
      <c r="D199" s="31"/>
      <c r="E199" s="31"/>
      <c r="F199" s="11"/>
      <c r="G199" s="11"/>
      <c r="H199" s="9"/>
      <c r="I199" s="11"/>
      <c r="J199" s="9"/>
      <c r="K199" s="12" t="str">
        <f t="shared" si="19"/>
        <v/>
      </c>
      <c r="L199" s="12" t="str">
        <f t="shared" si="20"/>
        <v/>
      </c>
      <c r="M199" s="8" t="str">
        <f t="shared" si="21"/>
        <v/>
      </c>
      <c r="N199" s="9"/>
      <c r="O199" s="31"/>
      <c r="P199" s="8" t="str">
        <f t="shared" si="22"/>
        <v/>
      </c>
      <c r="Q199" s="8" t="str">
        <f t="shared" si="23"/>
        <v/>
      </c>
      <c r="R199" s="8">
        <f>IF(Q199="",0,IF(SUMPRODUCT(--(Q$4:Q199=Q199))&gt;1,1,0))</f>
        <v>0</v>
      </c>
    </row>
    <row r="200" spans="1:18" x14ac:dyDescent="0.25">
      <c r="A200" s="8">
        <v>197</v>
      </c>
      <c r="B200" s="9"/>
      <c r="C200" s="33" t="str">
        <f t="shared" si="18"/>
        <v/>
      </c>
      <c r="D200" s="31"/>
      <c r="E200" s="31"/>
      <c r="F200" s="11"/>
      <c r="G200" s="11"/>
      <c r="H200" s="9"/>
      <c r="I200" s="11"/>
      <c r="J200" s="9"/>
      <c r="K200" s="12" t="str">
        <f t="shared" si="19"/>
        <v/>
      </c>
      <c r="L200" s="12" t="str">
        <f t="shared" si="20"/>
        <v/>
      </c>
      <c r="M200" s="8" t="str">
        <f t="shared" si="21"/>
        <v/>
      </c>
      <c r="N200" s="9"/>
      <c r="O200" s="31"/>
      <c r="P200" s="8" t="str">
        <f t="shared" si="22"/>
        <v/>
      </c>
      <c r="Q200" s="8" t="str">
        <f t="shared" si="23"/>
        <v/>
      </c>
      <c r="R200" s="8">
        <f>IF(Q200="",0,IF(SUMPRODUCT(--(Q$4:Q200=Q200))&gt;1,1,0))</f>
        <v>0</v>
      </c>
    </row>
    <row r="201" spans="1:18" x14ac:dyDescent="0.25">
      <c r="A201" s="8">
        <v>198</v>
      </c>
      <c r="B201" s="9"/>
      <c r="C201" s="33" t="str">
        <f t="shared" si="18"/>
        <v/>
      </c>
      <c r="D201" s="31"/>
      <c r="E201" s="31"/>
      <c r="F201" s="11"/>
      <c r="G201" s="11"/>
      <c r="H201" s="9"/>
      <c r="I201" s="11"/>
      <c r="J201" s="9"/>
      <c r="K201" s="12" t="str">
        <f t="shared" si="19"/>
        <v/>
      </c>
      <c r="L201" s="12" t="str">
        <f t="shared" si="20"/>
        <v/>
      </c>
      <c r="M201" s="8" t="str">
        <f t="shared" si="21"/>
        <v/>
      </c>
      <c r="N201" s="9"/>
      <c r="O201" s="31"/>
      <c r="P201" s="8" t="str">
        <f t="shared" si="22"/>
        <v/>
      </c>
      <c r="Q201" s="8" t="str">
        <f t="shared" si="23"/>
        <v/>
      </c>
      <c r="R201" s="8">
        <f>IF(Q201="",0,IF(SUMPRODUCT(--(Q$4:Q201=Q201))&gt;1,1,0))</f>
        <v>0</v>
      </c>
    </row>
    <row r="202" spans="1:18" x14ac:dyDescent="0.25">
      <c r="A202" s="8">
        <v>199</v>
      </c>
      <c r="B202" s="9"/>
      <c r="C202" s="33" t="str">
        <f t="shared" si="18"/>
        <v/>
      </c>
      <c r="D202" s="31"/>
      <c r="E202" s="31"/>
      <c r="F202" s="11"/>
      <c r="G202" s="11"/>
      <c r="H202" s="9"/>
      <c r="I202" s="11"/>
      <c r="J202" s="9"/>
      <c r="K202" s="12" t="str">
        <f t="shared" si="19"/>
        <v/>
      </c>
      <c r="L202" s="12" t="str">
        <f t="shared" si="20"/>
        <v/>
      </c>
      <c r="M202" s="8" t="str">
        <f t="shared" si="21"/>
        <v/>
      </c>
      <c r="N202" s="9"/>
      <c r="O202" s="31"/>
      <c r="P202" s="8" t="str">
        <f t="shared" si="22"/>
        <v/>
      </c>
      <c r="Q202" s="8" t="str">
        <f t="shared" si="23"/>
        <v/>
      </c>
      <c r="R202" s="8">
        <f>IF(Q202="",0,IF(SUMPRODUCT(--(Q$4:Q202=Q202))&gt;1,1,0))</f>
        <v>0</v>
      </c>
    </row>
    <row r="203" spans="1:18" x14ac:dyDescent="0.25">
      <c r="A203" s="8">
        <v>200</v>
      </c>
      <c r="B203" s="9"/>
      <c r="C203" s="33" t="str">
        <f t="shared" si="18"/>
        <v/>
      </c>
      <c r="D203" s="31"/>
      <c r="E203" s="31"/>
      <c r="F203" s="11"/>
      <c r="G203" s="11"/>
      <c r="H203" s="9"/>
      <c r="I203" s="11"/>
      <c r="J203" s="9"/>
      <c r="K203" s="12" t="str">
        <f t="shared" si="19"/>
        <v/>
      </c>
      <c r="L203" s="12" t="str">
        <f t="shared" si="20"/>
        <v/>
      </c>
      <c r="M203" s="8" t="str">
        <f t="shared" si="21"/>
        <v/>
      </c>
      <c r="N203" s="9"/>
      <c r="O203" s="31"/>
      <c r="P203" s="8" t="str">
        <f t="shared" si="22"/>
        <v/>
      </c>
      <c r="Q203" s="8" t="str">
        <f t="shared" si="23"/>
        <v/>
      </c>
      <c r="R203" s="8">
        <f>IF(Q203="",0,IF(SUMPRODUCT(--(Q$4:Q203=Q203))&gt;1,1,0))</f>
        <v>0</v>
      </c>
    </row>
    <row r="204" spans="1:18" x14ac:dyDescent="0.25">
      <c r="A204" s="8">
        <v>201</v>
      </c>
      <c r="B204" s="9"/>
      <c r="C204" s="33" t="str">
        <f t="shared" si="18"/>
        <v/>
      </c>
      <c r="D204" s="31"/>
      <c r="E204" s="31"/>
      <c r="F204" s="11"/>
      <c r="G204" s="11"/>
      <c r="H204" s="9"/>
      <c r="I204" s="11"/>
      <c r="J204" s="9"/>
      <c r="K204" s="12" t="str">
        <f t="shared" si="19"/>
        <v/>
      </c>
      <c r="L204" s="12" t="str">
        <f t="shared" si="20"/>
        <v/>
      </c>
      <c r="M204" s="8" t="str">
        <f t="shared" si="21"/>
        <v/>
      </c>
      <c r="N204" s="9"/>
      <c r="O204" s="31"/>
      <c r="P204" s="8" t="str">
        <f t="shared" si="22"/>
        <v/>
      </c>
      <c r="Q204" s="8" t="str">
        <f t="shared" si="23"/>
        <v/>
      </c>
      <c r="R204" s="8">
        <f>IF(Q204="",0,IF(SUMPRODUCT(--(Q$4:Q204=Q204))&gt;1,1,0))</f>
        <v>0</v>
      </c>
    </row>
    <row r="205" spans="1:18" x14ac:dyDescent="0.25">
      <c r="A205" s="8">
        <v>202</v>
      </c>
      <c r="B205" s="9"/>
      <c r="C205" s="33" t="str">
        <f t="shared" si="18"/>
        <v/>
      </c>
      <c r="D205" s="31"/>
      <c r="E205" s="31"/>
      <c r="F205" s="11"/>
      <c r="G205" s="11"/>
      <c r="H205" s="9"/>
      <c r="I205" s="11"/>
      <c r="J205" s="9"/>
      <c r="K205" s="12" t="str">
        <f t="shared" si="19"/>
        <v/>
      </c>
      <c r="L205" s="12" t="str">
        <f t="shared" si="20"/>
        <v/>
      </c>
      <c r="M205" s="8" t="str">
        <f t="shared" si="21"/>
        <v/>
      </c>
      <c r="N205" s="9"/>
      <c r="O205" s="31"/>
      <c r="P205" s="8" t="str">
        <f t="shared" si="22"/>
        <v/>
      </c>
      <c r="Q205" s="8" t="str">
        <f t="shared" si="23"/>
        <v/>
      </c>
      <c r="R205" s="8">
        <f>IF(Q205="",0,IF(SUMPRODUCT(--(Q$4:Q205=Q205))&gt;1,1,0))</f>
        <v>0</v>
      </c>
    </row>
    <row r="206" spans="1:18" x14ac:dyDescent="0.25">
      <c r="A206" s="8">
        <v>203</v>
      </c>
      <c r="B206" s="9"/>
      <c r="C206" s="33" t="str">
        <f t="shared" si="18"/>
        <v/>
      </c>
      <c r="D206" s="31"/>
      <c r="E206" s="31"/>
      <c r="F206" s="11"/>
      <c r="G206" s="11"/>
      <c r="H206" s="9"/>
      <c r="I206" s="11"/>
      <c r="J206" s="9"/>
      <c r="K206" s="12" t="str">
        <f t="shared" si="19"/>
        <v/>
      </c>
      <c r="L206" s="12" t="str">
        <f t="shared" si="20"/>
        <v/>
      </c>
      <c r="M206" s="8" t="str">
        <f t="shared" si="21"/>
        <v/>
      </c>
      <c r="N206" s="9"/>
      <c r="O206" s="31"/>
      <c r="P206" s="8" t="str">
        <f t="shared" si="22"/>
        <v/>
      </c>
      <c r="Q206" s="8" t="str">
        <f t="shared" si="23"/>
        <v/>
      </c>
      <c r="R206" s="8">
        <f>IF(Q206="",0,IF(SUMPRODUCT(--(Q$4:Q206=Q206))&gt;1,1,0))</f>
        <v>0</v>
      </c>
    </row>
    <row r="207" spans="1:18" x14ac:dyDescent="0.25">
      <c r="A207" s="8">
        <v>204</v>
      </c>
      <c r="B207" s="9"/>
      <c r="C207" s="33" t="str">
        <f t="shared" si="18"/>
        <v/>
      </c>
      <c r="D207" s="31"/>
      <c r="E207" s="31"/>
      <c r="F207" s="11"/>
      <c r="G207" s="11"/>
      <c r="H207" s="9"/>
      <c r="I207" s="11"/>
      <c r="J207" s="9"/>
      <c r="K207" s="12" t="str">
        <f t="shared" si="19"/>
        <v/>
      </c>
      <c r="L207" s="12" t="str">
        <f t="shared" si="20"/>
        <v/>
      </c>
      <c r="M207" s="8" t="str">
        <f t="shared" si="21"/>
        <v/>
      </c>
      <c r="N207" s="9"/>
      <c r="O207" s="31"/>
      <c r="P207" s="8" t="str">
        <f t="shared" si="22"/>
        <v/>
      </c>
      <c r="Q207" s="8" t="str">
        <f t="shared" si="23"/>
        <v/>
      </c>
      <c r="R207" s="8">
        <f>IF(Q207="",0,IF(SUMPRODUCT(--(Q$4:Q207=Q207))&gt;1,1,0))</f>
        <v>0</v>
      </c>
    </row>
    <row r="208" spans="1:18" x14ac:dyDescent="0.25">
      <c r="A208" s="8">
        <v>205</v>
      </c>
      <c r="B208" s="9"/>
      <c r="C208" s="33" t="str">
        <f t="shared" si="18"/>
        <v/>
      </c>
      <c r="D208" s="31"/>
      <c r="E208" s="31"/>
      <c r="F208" s="11"/>
      <c r="G208" s="11"/>
      <c r="H208" s="9"/>
      <c r="I208" s="11"/>
      <c r="J208" s="9"/>
      <c r="K208" s="12" t="str">
        <f t="shared" si="19"/>
        <v/>
      </c>
      <c r="L208" s="12" t="str">
        <f t="shared" si="20"/>
        <v/>
      </c>
      <c r="M208" s="8" t="str">
        <f t="shared" si="21"/>
        <v/>
      </c>
      <c r="N208" s="9"/>
      <c r="O208" s="31"/>
      <c r="P208" s="8" t="str">
        <f t="shared" si="22"/>
        <v/>
      </c>
      <c r="Q208" s="8" t="str">
        <f t="shared" si="23"/>
        <v/>
      </c>
      <c r="R208" s="8">
        <f>IF(Q208="",0,IF(SUMPRODUCT(--(Q$4:Q208=Q208))&gt;1,1,0))</f>
        <v>0</v>
      </c>
    </row>
    <row r="209" spans="1:18" x14ac:dyDescent="0.25">
      <c r="A209" s="8">
        <v>206</v>
      </c>
      <c r="B209" s="9"/>
      <c r="C209" s="33" t="str">
        <f t="shared" si="18"/>
        <v/>
      </c>
      <c r="D209" s="31"/>
      <c r="E209" s="31"/>
      <c r="F209" s="11"/>
      <c r="G209" s="11"/>
      <c r="H209" s="9"/>
      <c r="I209" s="11"/>
      <c r="J209" s="9"/>
      <c r="K209" s="12" t="str">
        <f t="shared" si="19"/>
        <v/>
      </c>
      <c r="L209" s="12" t="str">
        <f t="shared" si="20"/>
        <v/>
      </c>
      <c r="M209" s="8" t="str">
        <f t="shared" si="21"/>
        <v/>
      </c>
      <c r="N209" s="9"/>
      <c r="O209" s="31"/>
      <c r="P209" s="8" t="str">
        <f t="shared" si="22"/>
        <v/>
      </c>
      <c r="Q209" s="8" t="str">
        <f t="shared" si="23"/>
        <v/>
      </c>
      <c r="R209" s="8">
        <f>IF(Q209="",0,IF(SUMPRODUCT(--(Q$4:Q209=Q209))&gt;1,1,0))</f>
        <v>0</v>
      </c>
    </row>
    <row r="210" spans="1:18" x14ac:dyDescent="0.25">
      <c r="A210" s="8">
        <v>207</v>
      </c>
      <c r="B210" s="9"/>
      <c r="C210" s="33" t="str">
        <f t="shared" si="18"/>
        <v/>
      </c>
      <c r="D210" s="31"/>
      <c r="E210" s="31"/>
      <c r="F210" s="11"/>
      <c r="G210" s="11"/>
      <c r="H210" s="9"/>
      <c r="I210" s="11"/>
      <c r="J210" s="9"/>
      <c r="K210" s="12" t="str">
        <f t="shared" si="19"/>
        <v/>
      </c>
      <c r="L210" s="12" t="str">
        <f t="shared" si="20"/>
        <v/>
      </c>
      <c r="M210" s="8" t="str">
        <f t="shared" si="21"/>
        <v/>
      </c>
      <c r="N210" s="9"/>
      <c r="O210" s="31"/>
      <c r="P210" s="8" t="str">
        <f t="shared" si="22"/>
        <v/>
      </c>
      <c r="Q210" s="8" t="str">
        <f t="shared" si="23"/>
        <v/>
      </c>
      <c r="R210" s="8">
        <f>IF(Q210="",0,IF(SUMPRODUCT(--(Q$4:Q210=Q210))&gt;1,1,0))</f>
        <v>0</v>
      </c>
    </row>
    <row r="211" spans="1:18" x14ac:dyDescent="0.25">
      <c r="A211" s="8">
        <v>208</v>
      </c>
      <c r="B211" s="9"/>
      <c r="C211" s="33" t="str">
        <f t="shared" si="18"/>
        <v/>
      </c>
      <c r="D211" s="31"/>
      <c r="E211" s="31"/>
      <c r="F211" s="11"/>
      <c r="G211" s="11"/>
      <c r="H211" s="9"/>
      <c r="I211" s="11"/>
      <c r="J211" s="9"/>
      <c r="K211" s="12" t="str">
        <f t="shared" si="19"/>
        <v/>
      </c>
      <c r="L211" s="12" t="str">
        <f t="shared" si="20"/>
        <v/>
      </c>
      <c r="M211" s="8" t="str">
        <f t="shared" si="21"/>
        <v/>
      </c>
      <c r="N211" s="9"/>
      <c r="O211" s="31"/>
      <c r="P211" s="8" t="str">
        <f t="shared" si="22"/>
        <v/>
      </c>
      <c r="Q211" s="8" t="str">
        <f t="shared" si="23"/>
        <v/>
      </c>
      <c r="R211" s="8">
        <f>IF(Q211="",0,IF(SUMPRODUCT(--(Q$4:Q211=Q211))&gt;1,1,0))</f>
        <v>0</v>
      </c>
    </row>
    <row r="212" spans="1:18" x14ac:dyDescent="0.25">
      <c r="A212" s="8">
        <v>209</v>
      </c>
      <c r="B212" s="9"/>
      <c r="C212" s="33" t="str">
        <f t="shared" si="18"/>
        <v/>
      </c>
      <c r="D212" s="31"/>
      <c r="E212" s="31"/>
      <c r="F212" s="11"/>
      <c r="G212" s="11"/>
      <c r="H212" s="9"/>
      <c r="I212" s="11"/>
      <c r="J212" s="9"/>
      <c r="K212" s="12" t="str">
        <f t="shared" si="19"/>
        <v/>
      </c>
      <c r="L212" s="12" t="str">
        <f t="shared" si="20"/>
        <v/>
      </c>
      <c r="M212" s="8" t="str">
        <f t="shared" si="21"/>
        <v/>
      </c>
      <c r="N212" s="9"/>
      <c r="O212" s="31"/>
      <c r="P212" s="8" t="str">
        <f t="shared" si="22"/>
        <v/>
      </c>
      <c r="Q212" s="8" t="str">
        <f t="shared" si="23"/>
        <v/>
      </c>
      <c r="R212" s="8">
        <f>IF(Q212="",0,IF(SUMPRODUCT(--(Q$4:Q212=Q212))&gt;1,1,0))</f>
        <v>0</v>
      </c>
    </row>
    <row r="213" spans="1:18" x14ac:dyDescent="0.25">
      <c r="A213" s="8">
        <v>210</v>
      </c>
      <c r="B213" s="9"/>
      <c r="C213" s="33" t="str">
        <f t="shared" si="18"/>
        <v/>
      </c>
      <c r="D213" s="31"/>
      <c r="E213" s="31"/>
      <c r="F213" s="11"/>
      <c r="G213" s="11"/>
      <c r="H213" s="9"/>
      <c r="I213" s="11"/>
      <c r="J213" s="9"/>
      <c r="K213" s="12" t="str">
        <f t="shared" si="19"/>
        <v/>
      </c>
      <c r="L213" s="12" t="str">
        <f t="shared" si="20"/>
        <v/>
      </c>
      <c r="M213" s="8" t="str">
        <f t="shared" si="21"/>
        <v/>
      </c>
      <c r="N213" s="9"/>
      <c r="O213" s="31"/>
      <c r="P213" s="8" t="str">
        <f t="shared" si="22"/>
        <v/>
      </c>
      <c r="Q213" s="8" t="str">
        <f t="shared" si="23"/>
        <v/>
      </c>
      <c r="R213" s="8">
        <f>IF(Q213="",0,IF(SUMPRODUCT(--(Q$4:Q213=Q213))&gt;1,1,0))</f>
        <v>0</v>
      </c>
    </row>
    <row r="214" spans="1:18" x14ac:dyDescent="0.25">
      <c r="A214" s="8">
        <v>211</v>
      </c>
      <c r="B214" s="9"/>
      <c r="C214" s="33" t="str">
        <f t="shared" si="18"/>
        <v/>
      </c>
      <c r="D214" s="31"/>
      <c r="E214" s="31"/>
      <c r="F214" s="11"/>
      <c r="G214" s="11"/>
      <c r="H214" s="9"/>
      <c r="I214" s="11"/>
      <c r="J214" s="9"/>
      <c r="K214" s="12" t="str">
        <f t="shared" si="19"/>
        <v/>
      </c>
      <c r="L214" s="12" t="str">
        <f t="shared" si="20"/>
        <v/>
      </c>
      <c r="M214" s="8" t="str">
        <f t="shared" si="21"/>
        <v/>
      </c>
      <c r="N214" s="9"/>
      <c r="O214" s="31"/>
      <c r="P214" s="8" t="str">
        <f t="shared" si="22"/>
        <v/>
      </c>
      <c r="Q214" s="8" t="str">
        <f t="shared" si="23"/>
        <v/>
      </c>
      <c r="R214" s="8">
        <f>IF(Q214="",0,IF(SUMPRODUCT(--(Q$4:Q214=Q214))&gt;1,1,0))</f>
        <v>0</v>
      </c>
    </row>
    <row r="215" spans="1:18" x14ac:dyDescent="0.25">
      <c r="A215" s="8">
        <v>212</v>
      </c>
      <c r="B215" s="9"/>
      <c r="C215" s="33" t="str">
        <f t="shared" si="18"/>
        <v/>
      </c>
      <c r="D215" s="31"/>
      <c r="E215" s="31"/>
      <c r="F215" s="11"/>
      <c r="G215" s="11"/>
      <c r="H215" s="9"/>
      <c r="I215" s="11"/>
      <c r="J215" s="9"/>
      <c r="K215" s="12" t="str">
        <f t="shared" si="19"/>
        <v/>
      </c>
      <c r="L215" s="12" t="str">
        <f t="shared" si="20"/>
        <v/>
      </c>
      <c r="M215" s="8" t="str">
        <f t="shared" si="21"/>
        <v/>
      </c>
      <c r="N215" s="9"/>
      <c r="O215" s="31"/>
      <c r="P215" s="8" t="str">
        <f t="shared" si="22"/>
        <v/>
      </c>
      <c r="Q215" s="8" t="str">
        <f t="shared" si="23"/>
        <v/>
      </c>
      <c r="R215" s="8">
        <f>IF(Q215="",0,IF(SUMPRODUCT(--(Q$4:Q215=Q215))&gt;1,1,0))</f>
        <v>0</v>
      </c>
    </row>
    <row r="216" spans="1:18" x14ac:dyDescent="0.25">
      <c r="A216" s="8">
        <v>213</v>
      </c>
      <c r="B216" s="9"/>
      <c r="C216" s="33" t="str">
        <f t="shared" si="18"/>
        <v/>
      </c>
      <c r="D216" s="31"/>
      <c r="E216" s="31"/>
      <c r="F216" s="11"/>
      <c r="G216" s="11"/>
      <c r="H216" s="9"/>
      <c r="I216" s="11"/>
      <c r="J216" s="9"/>
      <c r="K216" s="12" t="str">
        <f t="shared" si="19"/>
        <v/>
      </c>
      <c r="L216" s="12" t="str">
        <f t="shared" si="20"/>
        <v/>
      </c>
      <c r="M216" s="8" t="str">
        <f t="shared" si="21"/>
        <v/>
      </c>
      <c r="N216" s="9"/>
      <c r="O216" s="31"/>
      <c r="P216" s="8" t="str">
        <f t="shared" si="22"/>
        <v/>
      </c>
      <c r="Q216" s="8" t="str">
        <f t="shared" si="23"/>
        <v/>
      </c>
      <c r="R216" s="8">
        <f>IF(Q216="",0,IF(SUMPRODUCT(--(Q$4:Q216=Q216))&gt;1,1,0))</f>
        <v>0</v>
      </c>
    </row>
    <row r="217" spans="1:18" x14ac:dyDescent="0.25">
      <c r="A217" s="8">
        <v>214</v>
      </c>
      <c r="B217" s="9"/>
      <c r="C217" s="33" t="str">
        <f t="shared" si="18"/>
        <v/>
      </c>
      <c r="D217" s="31"/>
      <c r="E217" s="31"/>
      <c r="F217" s="11"/>
      <c r="G217" s="11"/>
      <c r="H217" s="9"/>
      <c r="I217" s="11"/>
      <c r="J217" s="9"/>
      <c r="K217" s="12" t="str">
        <f t="shared" si="19"/>
        <v/>
      </c>
      <c r="L217" s="12" t="str">
        <f t="shared" si="20"/>
        <v/>
      </c>
      <c r="M217" s="8" t="str">
        <f t="shared" si="21"/>
        <v/>
      </c>
      <c r="N217" s="9"/>
      <c r="O217" s="31"/>
      <c r="P217" s="8" t="str">
        <f t="shared" si="22"/>
        <v/>
      </c>
      <c r="Q217" s="8" t="str">
        <f t="shared" si="23"/>
        <v/>
      </c>
      <c r="R217" s="8">
        <f>IF(Q217="",0,IF(SUMPRODUCT(--(Q$4:Q217=Q217))&gt;1,1,0))</f>
        <v>0</v>
      </c>
    </row>
    <row r="218" spans="1:18" x14ac:dyDescent="0.25">
      <c r="A218" s="8">
        <v>215</v>
      </c>
      <c r="B218" s="9"/>
      <c r="C218" s="33" t="str">
        <f t="shared" si="18"/>
        <v/>
      </c>
      <c r="D218" s="31"/>
      <c r="E218" s="31"/>
      <c r="F218" s="11"/>
      <c r="G218" s="11"/>
      <c r="H218" s="9"/>
      <c r="I218" s="11"/>
      <c r="J218" s="9"/>
      <c r="K218" s="12" t="str">
        <f t="shared" si="19"/>
        <v/>
      </c>
      <c r="L218" s="12" t="str">
        <f t="shared" si="20"/>
        <v/>
      </c>
      <c r="M218" s="8" t="str">
        <f t="shared" si="21"/>
        <v/>
      </c>
      <c r="N218" s="9"/>
      <c r="O218" s="31"/>
      <c r="P218" s="8" t="str">
        <f t="shared" si="22"/>
        <v/>
      </c>
      <c r="Q218" s="8" t="str">
        <f t="shared" si="23"/>
        <v/>
      </c>
      <c r="R218" s="8">
        <f>IF(Q218="",0,IF(SUMPRODUCT(--(Q$4:Q218=Q218))&gt;1,1,0))</f>
        <v>0</v>
      </c>
    </row>
    <row r="219" spans="1:18" x14ac:dyDescent="0.25">
      <c r="A219" s="8">
        <v>216</v>
      </c>
      <c r="B219" s="9"/>
      <c r="C219" s="33" t="str">
        <f t="shared" si="18"/>
        <v/>
      </c>
      <c r="D219" s="31"/>
      <c r="E219" s="31"/>
      <c r="F219" s="11"/>
      <c r="G219" s="11"/>
      <c r="H219" s="9"/>
      <c r="I219" s="11"/>
      <c r="J219" s="9"/>
      <c r="K219" s="12" t="str">
        <f t="shared" si="19"/>
        <v/>
      </c>
      <c r="L219" s="12" t="str">
        <f t="shared" si="20"/>
        <v/>
      </c>
      <c r="M219" s="8" t="str">
        <f t="shared" si="21"/>
        <v/>
      </c>
      <c r="N219" s="9"/>
      <c r="O219" s="31"/>
      <c r="P219" s="8" t="str">
        <f t="shared" si="22"/>
        <v/>
      </c>
      <c r="Q219" s="8" t="str">
        <f t="shared" si="23"/>
        <v/>
      </c>
      <c r="R219" s="8">
        <f>IF(Q219="",0,IF(SUMPRODUCT(--(Q$4:Q219=Q219))&gt;1,1,0))</f>
        <v>0</v>
      </c>
    </row>
    <row r="220" spans="1:18" x14ac:dyDescent="0.25">
      <c r="A220" s="8">
        <v>217</v>
      </c>
      <c r="B220" s="9"/>
      <c r="C220" s="33" t="str">
        <f t="shared" si="18"/>
        <v/>
      </c>
      <c r="D220" s="31"/>
      <c r="E220" s="31"/>
      <c r="F220" s="11"/>
      <c r="G220" s="11"/>
      <c r="H220" s="9"/>
      <c r="I220" s="11"/>
      <c r="J220" s="9"/>
      <c r="K220" s="12" t="str">
        <f t="shared" si="19"/>
        <v/>
      </c>
      <c r="L220" s="12" t="str">
        <f t="shared" si="20"/>
        <v/>
      </c>
      <c r="M220" s="8" t="str">
        <f t="shared" si="21"/>
        <v/>
      </c>
      <c r="N220" s="9"/>
      <c r="O220" s="31"/>
      <c r="P220" s="8" t="str">
        <f t="shared" si="22"/>
        <v/>
      </c>
      <c r="Q220" s="8" t="str">
        <f t="shared" si="23"/>
        <v/>
      </c>
      <c r="R220" s="8">
        <f>IF(Q220="",0,IF(SUMPRODUCT(--(Q$4:Q220=Q220))&gt;1,1,0))</f>
        <v>0</v>
      </c>
    </row>
    <row r="221" spans="1:18" x14ac:dyDescent="0.25">
      <c r="A221" s="8">
        <v>218</v>
      </c>
      <c r="B221" s="9"/>
      <c r="C221" s="33" t="str">
        <f t="shared" si="18"/>
        <v/>
      </c>
      <c r="D221" s="31"/>
      <c r="E221" s="31"/>
      <c r="F221" s="11"/>
      <c r="G221" s="11"/>
      <c r="H221" s="9"/>
      <c r="I221" s="11"/>
      <c r="J221" s="9"/>
      <c r="K221" s="12" t="str">
        <f t="shared" si="19"/>
        <v/>
      </c>
      <c r="L221" s="12" t="str">
        <f t="shared" si="20"/>
        <v/>
      </c>
      <c r="M221" s="8" t="str">
        <f t="shared" si="21"/>
        <v/>
      </c>
      <c r="N221" s="9"/>
      <c r="O221" s="31"/>
      <c r="P221" s="8" t="str">
        <f t="shared" si="22"/>
        <v/>
      </c>
      <c r="Q221" s="8" t="str">
        <f t="shared" si="23"/>
        <v/>
      </c>
      <c r="R221" s="8">
        <f>IF(Q221="",0,IF(SUMPRODUCT(--(Q$4:Q221=Q221))&gt;1,1,0))</f>
        <v>0</v>
      </c>
    </row>
    <row r="222" spans="1:18" x14ac:dyDescent="0.25">
      <c r="A222" s="8">
        <v>219</v>
      </c>
      <c r="B222" s="9"/>
      <c r="C222" s="33" t="str">
        <f t="shared" si="18"/>
        <v/>
      </c>
      <c r="D222" s="31"/>
      <c r="E222" s="31"/>
      <c r="F222" s="11"/>
      <c r="G222" s="11"/>
      <c r="H222" s="9"/>
      <c r="I222" s="11"/>
      <c r="J222" s="9"/>
      <c r="K222" s="12" t="str">
        <f t="shared" si="19"/>
        <v/>
      </c>
      <c r="L222" s="12" t="str">
        <f t="shared" si="20"/>
        <v/>
      </c>
      <c r="M222" s="8" t="str">
        <f t="shared" si="21"/>
        <v/>
      </c>
      <c r="N222" s="9"/>
      <c r="O222" s="31"/>
      <c r="P222" s="8" t="str">
        <f t="shared" si="22"/>
        <v/>
      </c>
      <c r="Q222" s="8" t="str">
        <f t="shared" si="23"/>
        <v/>
      </c>
      <c r="R222" s="8">
        <f>IF(Q222="",0,IF(SUMPRODUCT(--(Q$4:Q222=Q222))&gt;1,1,0))</f>
        <v>0</v>
      </c>
    </row>
    <row r="223" spans="1:18" x14ac:dyDescent="0.25">
      <c r="A223" s="8">
        <v>220</v>
      </c>
      <c r="B223" s="9"/>
      <c r="C223" s="33" t="str">
        <f t="shared" si="18"/>
        <v/>
      </c>
      <c r="D223" s="31"/>
      <c r="E223" s="31"/>
      <c r="F223" s="11"/>
      <c r="G223" s="11"/>
      <c r="H223" s="9"/>
      <c r="I223" s="11"/>
      <c r="J223" s="9"/>
      <c r="K223" s="12" t="str">
        <f t="shared" si="19"/>
        <v/>
      </c>
      <c r="L223" s="12" t="str">
        <f t="shared" si="20"/>
        <v/>
      </c>
      <c r="M223" s="8" t="str">
        <f t="shared" si="21"/>
        <v/>
      </c>
      <c r="N223" s="9"/>
      <c r="O223" s="31"/>
      <c r="P223" s="8" t="str">
        <f t="shared" si="22"/>
        <v/>
      </c>
      <c r="Q223" s="8" t="str">
        <f t="shared" si="23"/>
        <v/>
      </c>
      <c r="R223" s="8">
        <f>IF(Q223="",0,IF(SUMPRODUCT(--(Q$4:Q223=Q223))&gt;1,1,0))</f>
        <v>0</v>
      </c>
    </row>
    <row r="224" spans="1:18" x14ac:dyDescent="0.25">
      <c r="A224" s="8">
        <v>221</v>
      </c>
      <c r="B224" s="9"/>
      <c r="C224" s="33" t="str">
        <f t="shared" si="18"/>
        <v/>
      </c>
      <c r="D224" s="31"/>
      <c r="E224" s="31"/>
      <c r="F224" s="11"/>
      <c r="G224" s="11"/>
      <c r="H224" s="9"/>
      <c r="I224" s="11"/>
      <c r="J224" s="9"/>
      <c r="K224" s="12" t="str">
        <f t="shared" si="19"/>
        <v/>
      </c>
      <c r="L224" s="12" t="str">
        <f t="shared" si="20"/>
        <v/>
      </c>
      <c r="M224" s="8" t="str">
        <f t="shared" si="21"/>
        <v/>
      </c>
      <c r="N224" s="9"/>
      <c r="O224" s="31"/>
      <c r="P224" s="8" t="str">
        <f t="shared" si="22"/>
        <v/>
      </c>
      <c r="Q224" s="8" t="str">
        <f t="shared" si="23"/>
        <v/>
      </c>
      <c r="R224" s="8">
        <f>IF(Q224="",0,IF(SUMPRODUCT(--(Q$4:Q224=Q224))&gt;1,1,0))</f>
        <v>0</v>
      </c>
    </row>
    <row r="225" spans="1:18" x14ac:dyDescent="0.25">
      <c r="A225" s="8">
        <v>222</v>
      </c>
      <c r="B225" s="9"/>
      <c r="C225" s="33" t="str">
        <f t="shared" si="18"/>
        <v/>
      </c>
      <c r="D225" s="31"/>
      <c r="E225" s="31"/>
      <c r="F225" s="11"/>
      <c r="G225" s="11"/>
      <c r="H225" s="9"/>
      <c r="I225" s="11"/>
      <c r="J225" s="9"/>
      <c r="K225" s="12" t="str">
        <f t="shared" si="19"/>
        <v/>
      </c>
      <c r="L225" s="12" t="str">
        <f t="shared" si="20"/>
        <v/>
      </c>
      <c r="M225" s="8" t="str">
        <f t="shared" si="21"/>
        <v/>
      </c>
      <c r="N225" s="9"/>
      <c r="O225" s="31"/>
      <c r="P225" s="8" t="str">
        <f t="shared" si="22"/>
        <v/>
      </c>
      <c r="Q225" s="8" t="str">
        <f t="shared" si="23"/>
        <v/>
      </c>
      <c r="R225" s="8">
        <f>IF(Q225="",0,IF(SUMPRODUCT(--(Q$4:Q225=Q225))&gt;1,1,0))</f>
        <v>0</v>
      </c>
    </row>
    <row r="226" spans="1:18" x14ac:dyDescent="0.25">
      <c r="A226" s="8">
        <v>223</v>
      </c>
      <c r="B226" s="9"/>
      <c r="C226" s="33" t="str">
        <f t="shared" si="18"/>
        <v/>
      </c>
      <c r="D226" s="31"/>
      <c r="E226" s="31"/>
      <c r="F226" s="11"/>
      <c r="G226" s="11"/>
      <c r="H226" s="9"/>
      <c r="I226" s="11"/>
      <c r="J226" s="9"/>
      <c r="K226" s="12" t="str">
        <f t="shared" si="19"/>
        <v/>
      </c>
      <c r="L226" s="12" t="str">
        <f t="shared" si="20"/>
        <v/>
      </c>
      <c r="M226" s="8" t="str">
        <f t="shared" si="21"/>
        <v/>
      </c>
      <c r="N226" s="9"/>
      <c r="O226" s="31"/>
      <c r="P226" s="8" t="str">
        <f t="shared" si="22"/>
        <v/>
      </c>
      <c r="Q226" s="8" t="str">
        <f t="shared" si="23"/>
        <v/>
      </c>
      <c r="R226" s="8">
        <f>IF(Q226="",0,IF(SUMPRODUCT(--(Q$4:Q226=Q226))&gt;1,1,0))</f>
        <v>0</v>
      </c>
    </row>
    <row r="227" spans="1:18" x14ac:dyDescent="0.25">
      <c r="A227" s="8">
        <v>224</v>
      </c>
      <c r="B227" s="9"/>
      <c r="C227" s="33" t="str">
        <f t="shared" si="18"/>
        <v/>
      </c>
      <c r="D227" s="31"/>
      <c r="E227" s="31"/>
      <c r="F227" s="11"/>
      <c r="G227" s="11"/>
      <c r="H227" s="9"/>
      <c r="I227" s="11"/>
      <c r="J227" s="9"/>
      <c r="K227" s="12" t="str">
        <f t="shared" si="19"/>
        <v/>
      </c>
      <c r="L227" s="12" t="str">
        <f t="shared" si="20"/>
        <v/>
      </c>
      <c r="M227" s="8" t="str">
        <f t="shared" si="21"/>
        <v/>
      </c>
      <c r="N227" s="9"/>
      <c r="O227" s="31"/>
      <c r="P227" s="8" t="str">
        <f t="shared" si="22"/>
        <v/>
      </c>
      <c r="Q227" s="8" t="str">
        <f t="shared" si="23"/>
        <v/>
      </c>
      <c r="R227" s="8">
        <f>IF(Q227="",0,IF(SUMPRODUCT(--(Q$4:Q227=Q227))&gt;1,1,0))</f>
        <v>0</v>
      </c>
    </row>
    <row r="228" spans="1:18" x14ac:dyDescent="0.25">
      <c r="A228" s="8">
        <v>225</v>
      </c>
      <c r="B228" s="9"/>
      <c r="C228" s="33" t="str">
        <f t="shared" si="18"/>
        <v/>
      </c>
      <c r="D228" s="31"/>
      <c r="E228" s="31"/>
      <c r="F228" s="11"/>
      <c r="G228" s="11"/>
      <c r="H228" s="9"/>
      <c r="I228" s="11"/>
      <c r="J228" s="9"/>
      <c r="K228" s="12" t="str">
        <f t="shared" si="19"/>
        <v/>
      </c>
      <c r="L228" s="12" t="str">
        <f t="shared" si="20"/>
        <v/>
      </c>
      <c r="M228" s="8" t="str">
        <f t="shared" si="21"/>
        <v/>
      </c>
      <c r="N228" s="9"/>
      <c r="O228" s="31"/>
      <c r="P228" s="8" t="str">
        <f t="shared" si="22"/>
        <v/>
      </c>
      <c r="Q228" s="8" t="str">
        <f t="shared" si="23"/>
        <v/>
      </c>
      <c r="R228" s="8">
        <f>IF(Q228="",0,IF(SUMPRODUCT(--(Q$4:Q228=Q228))&gt;1,1,0))</f>
        <v>0</v>
      </c>
    </row>
    <row r="229" spans="1:18" x14ac:dyDescent="0.25">
      <c r="A229" s="8">
        <v>226</v>
      </c>
      <c r="B229" s="9"/>
      <c r="C229" s="33" t="str">
        <f t="shared" si="18"/>
        <v/>
      </c>
      <c r="D229" s="31"/>
      <c r="E229" s="31"/>
      <c r="F229" s="11"/>
      <c r="G229" s="11"/>
      <c r="H229" s="9"/>
      <c r="I229" s="11"/>
      <c r="J229" s="9"/>
      <c r="K229" s="12" t="str">
        <f t="shared" si="19"/>
        <v/>
      </c>
      <c r="L229" s="12" t="str">
        <f t="shared" si="20"/>
        <v/>
      </c>
      <c r="M229" s="8" t="str">
        <f t="shared" si="21"/>
        <v/>
      </c>
      <c r="N229" s="9"/>
      <c r="O229" s="31"/>
      <c r="P229" s="8" t="str">
        <f t="shared" si="22"/>
        <v/>
      </c>
      <c r="Q229" s="8" t="str">
        <f t="shared" si="23"/>
        <v/>
      </c>
      <c r="R229" s="8">
        <f>IF(Q229="",0,IF(SUMPRODUCT(--(Q$4:Q229=Q229))&gt;1,1,0))</f>
        <v>0</v>
      </c>
    </row>
    <row r="230" spans="1:18" x14ac:dyDescent="0.25">
      <c r="A230" s="8">
        <v>227</v>
      </c>
      <c r="B230" s="9"/>
      <c r="C230" s="33" t="str">
        <f t="shared" si="18"/>
        <v/>
      </c>
      <c r="D230" s="31"/>
      <c r="E230" s="31"/>
      <c r="F230" s="11"/>
      <c r="G230" s="11"/>
      <c r="H230" s="9"/>
      <c r="I230" s="11"/>
      <c r="J230" s="9"/>
      <c r="K230" s="12" t="str">
        <f t="shared" si="19"/>
        <v/>
      </c>
      <c r="L230" s="12" t="str">
        <f t="shared" si="20"/>
        <v/>
      </c>
      <c r="M230" s="8" t="str">
        <f t="shared" si="21"/>
        <v/>
      </c>
      <c r="N230" s="9"/>
      <c r="O230" s="31"/>
      <c r="P230" s="8" t="str">
        <f t="shared" si="22"/>
        <v/>
      </c>
      <c r="Q230" s="8" t="str">
        <f t="shared" si="23"/>
        <v/>
      </c>
      <c r="R230" s="8">
        <f>IF(Q230="",0,IF(SUMPRODUCT(--(Q$4:Q230=Q230))&gt;1,1,0))</f>
        <v>0</v>
      </c>
    </row>
    <row r="231" spans="1:18" x14ac:dyDescent="0.25">
      <c r="A231" s="8">
        <v>228</v>
      </c>
      <c r="B231" s="9"/>
      <c r="C231" s="33" t="str">
        <f t="shared" si="18"/>
        <v/>
      </c>
      <c r="D231" s="31"/>
      <c r="E231" s="31"/>
      <c r="F231" s="11"/>
      <c r="G231" s="11"/>
      <c r="H231" s="9"/>
      <c r="I231" s="11"/>
      <c r="J231" s="9"/>
      <c r="K231" s="12" t="str">
        <f t="shared" si="19"/>
        <v/>
      </c>
      <c r="L231" s="12" t="str">
        <f t="shared" si="20"/>
        <v/>
      </c>
      <c r="M231" s="8" t="str">
        <f t="shared" si="21"/>
        <v/>
      </c>
      <c r="N231" s="9"/>
      <c r="O231" s="31"/>
      <c r="P231" s="8" t="str">
        <f t="shared" si="22"/>
        <v/>
      </c>
      <c r="Q231" s="8" t="str">
        <f t="shared" si="23"/>
        <v/>
      </c>
      <c r="R231" s="8">
        <f>IF(Q231="",0,IF(SUMPRODUCT(--(Q$4:Q231=Q231))&gt;1,1,0))</f>
        <v>0</v>
      </c>
    </row>
    <row r="232" spans="1:18" x14ac:dyDescent="0.25">
      <c r="A232" s="8">
        <v>229</v>
      </c>
      <c r="B232" s="9"/>
      <c r="C232" s="33" t="str">
        <f t="shared" si="18"/>
        <v/>
      </c>
      <c r="D232" s="31"/>
      <c r="E232" s="31"/>
      <c r="F232" s="11"/>
      <c r="G232" s="11"/>
      <c r="H232" s="9"/>
      <c r="I232" s="11"/>
      <c r="J232" s="9"/>
      <c r="K232" s="12" t="str">
        <f t="shared" si="19"/>
        <v/>
      </c>
      <c r="L232" s="12" t="str">
        <f t="shared" si="20"/>
        <v/>
      </c>
      <c r="M232" s="8" t="str">
        <f t="shared" si="21"/>
        <v/>
      </c>
      <c r="N232" s="9"/>
      <c r="O232" s="31"/>
      <c r="P232" s="8" t="str">
        <f t="shared" si="22"/>
        <v/>
      </c>
      <c r="Q232" s="8" t="str">
        <f t="shared" si="23"/>
        <v/>
      </c>
      <c r="R232" s="8">
        <f>IF(Q232="",0,IF(SUMPRODUCT(--(Q$4:Q232=Q232))&gt;1,1,0))</f>
        <v>0</v>
      </c>
    </row>
    <row r="233" spans="1:18" x14ac:dyDescent="0.25">
      <c r="A233" s="8">
        <v>230</v>
      </c>
      <c r="B233" s="9"/>
      <c r="C233" s="33" t="str">
        <f t="shared" si="18"/>
        <v/>
      </c>
      <c r="D233" s="31"/>
      <c r="E233" s="31"/>
      <c r="F233" s="11"/>
      <c r="G233" s="11"/>
      <c r="H233" s="9"/>
      <c r="I233" s="11"/>
      <c r="J233" s="9"/>
      <c r="K233" s="12" t="str">
        <f t="shared" si="19"/>
        <v/>
      </c>
      <c r="L233" s="12" t="str">
        <f t="shared" si="20"/>
        <v/>
      </c>
      <c r="M233" s="8" t="str">
        <f t="shared" si="21"/>
        <v/>
      </c>
      <c r="N233" s="9"/>
      <c r="O233" s="31"/>
      <c r="P233" s="8" t="str">
        <f t="shared" si="22"/>
        <v/>
      </c>
      <c r="Q233" s="8" t="str">
        <f t="shared" si="23"/>
        <v/>
      </c>
      <c r="R233" s="8">
        <f>IF(Q233="",0,IF(SUMPRODUCT(--(Q$4:Q233=Q233))&gt;1,1,0))</f>
        <v>0</v>
      </c>
    </row>
    <row r="234" spans="1:18" x14ac:dyDescent="0.25">
      <c r="A234" s="8">
        <v>231</v>
      </c>
      <c r="B234" s="9"/>
      <c r="C234" s="33" t="str">
        <f t="shared" si="18"/>
        <v/>
      </c>
      <c r="D234" s="31"/>
      <c r="E234" s="31"/>
      <c r="F234" s="11"/>
      <c r="G234" s="11"/>
      <c r="H234" s="9"/>
      <c r="I234" s="11"/>
      <c r="J234" s="9"/>
      <c r="K234" s="12" t="str">
        <f t="shared" si="19"/>
        <v/>
      </c>
      <c r="L234" s="12" t="str">
        <f t="shared" si="20"/>
        <v/>
      </c>
      <c r="M234" s="8" t="str">
        <f t="shared" si="21"/>
        <v/>
      </c>
      <c r="N234" s="9"/>
      <c r="O234" s="31"/>
      <c r="P234" s="8" t="str">
        <f t="shared" si="22"/>
        <v/>
      </c>
      <c r="Q234" s="8" t="str">
        <f t="shared" si="23"/>
        <v/>
      </c>
      <c r="R234" s="8">
        <f>IF(Q234="",0,IF(SUMPRODUCT(--(Q$4:Q234=Q234))&gt;1,1,0))</f>
        <v>0</v>
      </c>
    </row>
    <row r="235" spans="1:18" x14ac:dyDescent="0.25">
      <c r="A235" s="8">
        <v>232</v>
      </c>
      <c r="B235" s="9"/>
      <c r="C235" s="33" t="str">
        <f t="shared" si="18"/>
        <v/>
      </c>
      <c r="D235" s="31"/>
      <c r="E235" s="31"/>
      <c r="F235" s="11"/>
      <c r="G235" s="11"/>
      <c r="H235" s="9"/>
      <c r="I235" s="11"/>
      <c r="J235" s="9"/>
      <c r="K235" s="12" t="str">
        <f t="shared" si="19"/>
        <v/>
      </c>
      <c r="L235" s="12" t="str">
        <f t="shared" si="20"/>
        <v/>
      </c>
      <c r="M235" s="8" t="str">
        <f t="shared" si="21"/>
        <v/>
      </c>
      <c r="N235" s="9"/>
      <c r="O235" s="31"/>
      <c r="P235" s="8" t="str">
        <f t="shared" si="22"/>
        <v/>
      </c>
      <c r="Q235" s="8" t="str">
        <f t="shared" si="23"/>
        <v/>
      </c>
      <c r="R235" s="8">
        <f>IF(Q235="",0,IF(SUMPRODUCT(--(Q$4:Q235=Q235))&gt;1,1,0))</f>
        <v>0</v>
      </c>
    </row>
    <row r="236" spans="1:18" x14ac:dyDescent="0.25">
      <c r="A236" s="8">
        <v>233</v>
      </c>
      <c r="B236" s="9"/>
      <c r="C236" s="33" t="str">
        <f t="shared" si="18"/>
        <v/>
      </c>
      <c r="D236" s="31"/>
      <c r="E236" s="31"/>
      <c r="F236" s="11"/>
      <c r="G236" s="11"/>
      <c r="H236" s="9"/>
      <c r="I236" s="11"/>
      <c r="J236" s="9"/>
      <c r="K236" s="12" t="str">
        <f t="shared" si="19"/>
        <v/>
      </c>
      <c r="L236" s="12" t="str">
        <f t="shared" si="20"/>
        <v/>
      </c>
      <c r="M236" s="8" t="str">
        <f t="shared" si="21"/>
        <v/>
      </c>
      <c r="N236" s="9"/>
      <c r="O236" s="31"/>
      <c r="P236" s="8" t="str">
        <f t="shared" si="22"/>
        <v/>
      </c>
      <c r="Q236" s="8" t="str">
        <f t="shared" si="23"/>
        <v/>
      </c>
      <c r="R236" s="8">
        <f>IF(Q236="",0,IF(SUMPRODUCT(--(Q$4:Q236=Q236))&gt;1,1,0))</f>
        <v>0</v>
      </c>
    </row>
    <row r="237" spans="1:18" x14ac:dyDescent="0.25">
      <c r="A237" s="8">
        <v>234</v>
      </c>
      <c r="B237" s="9"/>
      <c r="C237" s="33" t="str">
        <f t="shared" si="18"/>
        <v/>
      </c>
      <c r="D237" s="31"/>
      <c r="E237" s="31"/>
      <c r="F237" s="11"/>
      <c r="G237" s="11"/>
      <c r="H237" s="9"/>
      <c r="I237" s="11"/>
      <c r="J237" s="9"/>
      <c r="K237" s="12" t="str">
        <f t="shared" si="19"/>
        <v/>
      </c>
      <c r="L237" s="12" t="str">
        <f t="shared" si="20"/>
        <v/>
      </c>
      <c r="M237" s="8" t="str">
        <f t="shared" si="21"/>
        <v/>
      </c>
      <c r="N237" s="9"/>
      <c r="O237" s="31"/>
      <c r="P237" s="8" t="str">
        <f t="shared" si="22"/>
        <v/>
      </c>
      <c r="Q237" s="8" t="str">
        <f t="shared" si="23"/>
        <v/>
      </c>
      <c r="R237" s="8">
        <f>IF(Q237="",0,IF(SUMPRODUCT(--(Q$4:Q237=Q237))&gt;1,1,0))</f>
        <v>0</v>
      </c>
    </row>
    <row r="238" spans="1:18" x14ac:dyDescent="0.25">
      <c r="A238" s="8">
        <v>235</v>
      </c>
      <c r="B238" s="9"/>
      <c r="C238" s="33" t="str">
        <f t="shared" si="18"/>
        <v/>
      </c>
      <c r="D238" s="31"/>
      <c r="E238" s="31"/>
      <c r="F238" s="11"/>
      <c r="G238" s="11"/>
      <c r="H238" s="9"/>
      <c r="I238" s="11"/>
      <c r="J238" s="9"/>
      <c r="K238" s="12" t="str">
        <f t="shared" si="19"/>
        <v/>
      </c>
      <c r="L238" s="12" t="str">
        <f t="shared" si="20"/>
        <v/>
      </c>
      <c r="M238" s="8" t="str">
        <f t="shared" si="21"/>
        <v/>
      </c>
      <c r="N238" s="9"/>
      <c r="O238" s="31"/>
      <c r="P238" s="8" t="str">
        <f t="shared" si="22"/>
        <v/>
      </c>
      <c r="Q238" s="8" t="str">
        <f t="shared" si="23"/>
        <v/>
      </c>
      <c r="R238" s="8">
        <f>IF(Q238="",0,IF(SUMPRODUCT(--(Q$4:Q238=Q238))&gt;1,1,0))</f>
        <v>0</v>
      </c>
    </row>
    <row r="239" spans="1:18" x14ac:dyDescent="0.25">
      <c r="A239" s="8">
        <v>236</v>
      </c>
      <c r="B239" s="9"/>
      <c r="C239" s="33" t="str">
        <f t="shared" si="18"/>
        <v/>
      </c>
      <c r="D239" s="31"/>
      <c r="E239" s="31"/>
      <c r="F239" s="11"/>
      <c r="G239" s="11"/>
      <c r="H239" s="9"/>
      <c r="I239" s="11"/>
      <c r="J239" s="9"/>
      <c r="K239" s="12" t="str">
        <f t="shared" si="19"/>
        <v/>
      </c>
      <c r="L239" s="12" t="str">
        <f t="shared" si="20"/>
        <v/>
      </c>
      <c r="M239" s="8" t="str">
        <f t="shared" si="21"/>
        <v/>
      </c>
      <c r="N239" s="9"/>
      <c r="O239" s="31"/>
      <c r="P239" s="8" t="str">
        <f t="shared" si="22"/>
        <v/>
      </c>
      <c r="Q239" s="8" t="str">
        <f t="shared" si="23"/>
        <v/>
      </c>
      <c r="R239" s="8">
        <f>IF(Q239="",0,IF(SUMPRODUCT(--(Q$4:Q239=Q239))&gt;1,1,0))</f>
        <v>0</v>
      </c>
    </row>
    <row r="240" spans="1:18" x14ac:dyDescent="0.25">
      <c r="A240" s="8">
        <v>237</v>
      </c>
      <c r="B240" s="9"/>
      <c r="C240" s="33" t="str">
        <f t="shared" si="18"/>
        <v/>
      </c>
      <c r="D240" s="31"/>
      <c r="E240" s="31"/>
      <c r="F240" s="11"/>
      <c r="G240" s="11"/>
      <c r="H240" s="9"/>
      <c r="I240" s="11"/>
      <c r="J240" s="9"/>
      <c r="K240" s="12" t="str">
        <f t="shared" si="19"/>
        <v/>
      </c>
      <c r="L240" s="12" t="str">
        <f t="shared" si="20"/>
        <v/>
      </c>
      <c r="M240" s="8" t="str">
        <f t="shared" si="21"/>
        <v/>
      </c>
      <c r="N240" s="9"/>
      <c r="O240" s="31"/>
      <c r="P240" s="8" t="str">
        <f t="shared" si="22"/>
        <v/>
      </c>
      <c r="Q240" s="8" t="str">
        <f t="shared" si="23"/>
        <v/>
      </c>
      <c r="R240" s="8">
        <f>IF(Q240="",0,IF(SUMPRODUCT(--(Q$4:Q240=Q240))&gt;1,1,0))</f>
        <v>0</v>
      </c>
    </row>
    <row r="241" spans="1:18" x14ac:dyDescent="0.25">
      <c r="A241" s="8">
        <v>238</v>
      </c>
      <c r="B241" s="9"/>
      <c r="C241" s="33" t="str">
        <f t="shared" si="18"/>
        <v/>
      </c>
      <c r="D241" s="31"/>
      <c r="E241" s="31"/>
      <c r="F241" s="11"/>
      <c r="G241" s="11"/>
      <c r="H241" s="9"/>
      <c r="I241" s="11"/>
      <c r="J241" s="9"/>
      <c r="K241" s="12" t="str">
        <f t="shared" si="19"/>
        <v/>
      </c>
      <c r="L241" s="12" t="str">
        <f t="shared" si="20"/>
        <v/>
      </c>
      <c r="M241" s="8" t="str">
        <f t="shared" si="21"/>
        <v/>
      </c>
      <c r="N241" s="9"/>
      <c r="O241" s="31"/>
      <c r="P241" s="8" t="str">
        <f t="shared" si="22"/>
        <v/>
      </c>
      <c r="Q241" s="8" t="str">
        <f t="shared" si="23"/>
        <v/>
      </c>
      <c r="R241" s="8">
        <f>IF(Q241="",0,IF(SUMPRODUCT(--(Q$4:Q241=Q241))&gt;1,1,0))</f>
        <v>0</v>
      </c>
    </row>
    <row r="242" spans="1:18" x14ac:dyDescent="0.25">
      <c r="A242" s="8">
        <v>239</v>
      </c>
      <c r="B242" s="9"/>
      <c r="C242" s="33" t="str">
        <f t="shared" si="18"/>
        <v/>
      </c>
      <c r="D242" s="31"/>
      <c r="E242" s="31"/>
      <c r="F242" s="11"/>
      <c r="G242" s="11"/>
      <c r="H242" s="9"/>
      <c r="I242" s="11"/>
      <c r="J242" s="9"/>
      <c r="K242" s="12" t="str">
        <f t="shared" si="19"/>
        <v/>
      </c>
      <c r="L242" s="12" t="str">
        <f t="shared" si="20"/>
        <v/>
      </c>
      <c r="M242" s="8" t="str">
        <f t="shared" si="21"/>
        <v/>
      </c>
      <c r="N242" s="9"/>
      <c r="O242" s="31"/>
      <c r="P242" s="8" t="str">
        <f t="shared" si="22"/>
        <v/>
      </c>
      <c r="Q242" s="8" t="str">
        <f t="shared" si="23"/>
        <v/>
      </c>
      <c r="R242" s="8">
        <f>IF(Q242="",0,IF(SUMPRODUCT(--(Q$4:Q242=Q242))&gt;1,1,0))</f>
        <v>0</v>
      </c>
    </row>
    <row r="243" spans="1:18" x14ac:dyDescent="0.25">
      <c r="A243" s="8">
        <v>240</v>
      </c>
      <c r="B243" s="9"/>
      <c r="C243" s="33" t="str">
        <f t="shared" si="18"/>
        <v/>
      </c>
      <c r="D243" s="31"/>
      <c r="E243" s="31"/>
      <c r="F243" s="11"/>
      <c r="G243" s="11"/>
      <c r="H243" s="9"/>
      <c r="I243" s="11"/>
      <c r="J243" s="9"/>
      <c r="K243" s="12" t="str">
        <f t="shared" si="19"/>
        <v/>
      </c>
      <c r="L243" s="12" t="str">
        <f t="shared" si="20"/>
        <v/>
      </c>
      <c r="M243" s="8" t="str">
        <f t="shared" si="21"/>
        <v/>
      </c>
      <c r="N243" s="9"/>
      <c r="O243" s="31"/>
      <c r="P243" s="8" t="str">
        <f t="shared" si="22"/>
        <v/>
      </c>
      <c r="Q243" s="8" t="str">
        <f t="shared" si="23"/>
        <v/>
      </c>
      <c r="R243" s="8">
        <f>IF(Q243="",0,IF(SUMPRODUCT(--(Q$4:Q243=Q243))&gt;1,1,0))</f>
        <v>0</v>
      </c>
    </row>
    <row r="244" spans="1:18" x14ac:dyDescent="0.25">
      <c r="A244" s="8">
        <v>241</v>
      </c>
      <c r="B244" s="9"/>
      <c r="C244" s="33" t="str">
        <f t="shared" si="18"/>
        <v/>
      </c>
      <c r="D244" s="31"/>
      <c r="E244" s="31"/>
      <c r="F244" s="11"/>
      <c r="G244" s="11"/>
      <c r="H244" s="9"/>
      <c r="I244" s="11"/>
      <c r="J244" s="9"/>
      <c r="K244" s="12" t="str">
        <f t="shared" si="19"/>
        <v/>
      </c>
      <c r="L244" s="12" t="str">
        <f t="shared" si="20"/>
        <v/>
      </c>
      <c r="M244" s="8" t="str">
        <f t="shared" si="21"/>
        <v/>
      </c>
      <c r="N244" s="9"/>
      <c r="O244" s="31"/>
      <c r="P244" s="8" t="str">
        <f t="shared" si="22"/>
        <v/>
      </c>
      <c r="Q244" s="8" t="str">
        <f t="shared" si="23"/>
        <v/>
      </c>
      <c r="R244" s="8">
        <f>IF(Q244="",0,IF(SUMPRODUCT(--(Q$4:Q244=Q244))&gt;1,1,0))</f>
        <v>0</v>
      </c>
    </row>
    <row r="245" spans="1:18" x14ac:dyDescent="0.25">
      <c r="A245" s="8">
        <v>242</v>
      </c>
      <c r="B245" s="9"/>
      <c r="C245" s="33" t="str">
        <f t="shared" si="18"/>
        <v/>
      </c>
      <c r="D245" s="31"/>
      <c r="E245" s="31"/>
      <c r="F245" s="11"/>
      <c r="G245" s="11"/>
      <c r="H245" s="9"/>
      <c r="I245" s="11"/>
      <c r="J245" s="9"/>
      <c r="K245" s="12" t="str">
        <f t="shared" si="19"/>
        <v/>
      </c>
      <c r="L245" s="12" t="str">
        <f t="shared" si="20"/>
        <v/>
      </c>
      <c r="M245" s="8" t="str">
        <f t="shared" si="21"/>
        <v/>
      </c>
      <c r="N245" s="9"/>
      <c r="O245" s="31"/>
      <c r="P245" s="8" t="str">
        <f t="shared" si="22"/>
        <v/>
      </c>
      <c r="Q245" s="8" t="str">
        <f t="shared" si="23"/>
        <v/>
      </c>
      <c r="R245" s="8">
        <f>IF(Q245="",0,IF(SUMPRODUCT(--(Q$4:Q245=Q245))&gt;1,1,0))</f>
        <v>0</v>
      </c>
    </row>
    <row r="246" spans="1:18" x14ac:dyDescent="0.25">
      <c r="A246" s="8">
        <v>243</v>
      </c>
      <c r="B246" s="9"/>
      <c r="C246" s="33" t="str">
        <f t="shared" si="18"/>
        <v/>
      </c>
      <c r="D246" s="31"/>
      <c r="E246" s="31"/>
      <c r="F246" s="11"/>
      <c r="G246" s="11"/>
      <c r="H246" s="9"/>
      <c r="I246" s="11"/>
      <c r="J246" s="9"/>
      <c r="K246" s="12" t="str">
        <f t="shared" si="19"/>
        <v/>
      </c>
      <c r="L246" s="12" t="str">
        <f t="shared" si="20"/>
        <v/>
      </c>
      <c r="M246" s="8" t="str">
        <f t="shared" si="21"/>
        <v/>
      </c>
      <c r="N246" s="9"/>
      <c r="O246" s="31"/>
      <c r="P246" s="8" t="str">
        <f t="shared" si="22"/>
        <v/>
      </c>
      <c r="Q246" s="8" t="str">
        <f t="shared" si="23"/>
        <v/>
      </c>
      <c r="R246" s="8">
        <f>IF(Q246="",0,IF(SUMPRODUCT(--(Q$4:Q246=Q246))&gt;1,1,0))</f>
        <v>0</v>
      </c>
    </row>
    <row r="247" spans="1:18" x14ac:dyDescent="0.25">
      <c r="A247" s="8">
        <v>244</v>
      </c>
      <c r="B247" s="9"/>
      <c r="C247" s="33" t="str">
        <f t="shared" si="18"/>
        <v/>
      </c>
      <c r="D247" s="31"/>
      <c r="E247" s="31"/>
      <c r="F247" s="11"/>
      <c r="G247" s="11"/>
      <c r="H247" s="9"/>
      <c r="I247" s="11"/>
      <c r="J247" s="9"/>
      <c r="K247" s="12" t="str">
        <f t="shared" si="19"/>
        <v/>
      </c>
      <c r="L247" s="12" t="str">
        <f t="shared" si="20"/>
        <v/>
      </c>
      <c r="M247" s="8" t="str">
        <f t="shared" si="21"/>
        <v/>
      </c>
      <c r="N247" s="9"/>
      <c r="O247" s="31"/>
      <c r="P247" s="8" t="str">
        <f t="shared" si="22"/>
        <v/>
      </c>
      <c r="Q247" s="8" t="str">
        <f t="shared" si="23"/>
        <v/>
      </c>
      <c r="R247" s="8">
        <f>IF(Q247="",0,IF(SUMPRODUCT(--(Q$4:Q247=Q247))&gt;1,1,0))</f>
        <v>0</v>
      </c>
    </row>
    <row r="248" spans="1:18" x14ac:dyDescent="0.25">
      <c r="A248" s="8">
        <v>245</v>
      </c>
      <c r="B248" s="9"/>
      <c r="C248" s="33" t="str">
        <f t="shared" si="18"/>
        <v/>
      </c>
      <c r="D248" s="31"/>
      <c r="E248" s="31"/>
      <c r="F248" s="11"/>
      <c r="G248" s="11"/>
      <c r="H248" s="9"/>
      <c r="I248" s="11"/>
      <c r="J248" s="9"/>
      <c r="K248" s="12" t="str">
        <f t="shared" si="19"/>
        <v/>
      </c>
      <c r="L248" s="12" t="str">
        <f t="shared" si="20"/>
        <v/>
      </c>
      <c r="M248" s="8" t="str">
        <f t="shared" si="21"/>
        <v/>
      </c>
      <c r="N248" s="9"/>
      <c r="O248" s="31"/>
      <c r="P248" s="8" t="str">
        <f t="shared" si="22"/>
        <v/>
      </c>
      <c r="Q248" s="8" t="str">
        <f t="shared" si="23"/>
        <v/>
      </c>
      <c r="R248" s="8">
        <f>IF(Q248="",0,IF(SUMPRODUCT(--(Q$4:Q248=Q248))&gt;1,1,0))</f>
        <v>0</v>
      </c>
    </row>
    <row r="249" spans="1:18" x14ac:dyDescent="0.25">
      <c r="A249" s="8">
        <v>246</v>
      </c>
      <c r="B249" s="9"/>
      <c r="C249" s="33" t="str">
        <f t="shared" si="18"/>
        <v/>
      </c>
      <c r="D249" s="31"/>
      <c r="E249" s="31"/>
      <c r="F249" s="11"/>
      <c r="G249" s="11"/>
      <c r="H249" s="9"/>
      <c r="I249" s="11"/>
      <c r="J249" s="9"/>
      <c r="K249" s="12" t="str">
        <f t="shared" si="19"/>
        <v/>
      </c>
      <c r="L249" s="12" t="str">
        <f t="shared" si="20"/>
        <v/>
      </c>
      <c r="M249" s="8" t="str">
        <f t="shared" si="21"/>
        <v/>
      </c>
      <c r="N249" s="9"/>
      <c r="O249" s="31"/>
      <c r="P249" s="8" t="str">
        <f t="shared" si="22"/>
        <v/>
      </c>
      <c r="Q249" s="8" t="str">
        <f t="shared" si="23"/>
        <v/>
      </c>
      <c r="R249" s="8">
        <f>IF(Q249="",0,IF(SUMPRODUCT(--(Q$4:Q249=Q249))&gt;1,1,0))</f>
        <v>0</v>
      </c>
    </row>
    <row r="250" spans="1:18" x14ac:dyDescent="0.25">
      <c r="A250" s="8">
        <v>247</v>
      </c>
      <c r="B250" s="9"/>
      <c r="C250" s="33" t="str">
        <f t="shared" si="18"/>
        <v/>
      </c>
      <c r="D250" s="31"/>
      <c r="E250" s="31"/>
      <c r="F250" s="11"/>
      <c r="G250" s="11"/>
      <c r="H250" s="9"/>
      <c r="I250" s="11"/>
      <c r="J250" s="9"/>
      <c r="K250" s="12" t="str">
        <f t="shared" si="19"/>
        <v/>
      </c>
      <c r="L250" s="12" t="str">
        <f t="shared" si="20"/>
        <v/>
      </c>
      <c r="M250" s="8" t="str">
        <f t="shared" si="21"/>
        <v/>
      </c>
      <c r="N250" s="9"/>
      <c r="O250" s="31"/>
      <c r="P250" s="8" t="str">
        <f t="shared" si="22"/>
        <v/>
      </c>
      <c r="Q250" s="8" t="str">
        <f t="shared" si="23"/>
        <v/>
      </c>
      <c r="R250" s="8">
        <f>IF(Q250="",0,IF(SUMPRODUCT(--(Q$4:Q250=Q250))&gt;1,1,0))</f>
        <v>0</v>
      </c>
    </row>
    <row r="251" spans="1:18" x14ac:dyDescent="0.25">
      <c r="A251" s="8">
        <v>248</v>
      </c>
      <c r="B251" s="9"/>
      <c r="C251" s="33" t="str">
        <f t="shared" si="18"/>
        <v/>
      </c>
      <c r="D251" s="31"/>
      <c r="E251" s="31"/>
      <c r="F251" s="11"/>
      <c r="G251" s="11"/>
      <c r="H251" s="9"/>
      <c r="I251" s="11"/>
      <c r="J251" s="9"/>
      <c r="K251" s="12" t="str">
        <f t="shared" si="19"/>
        <v/>
      </c>
      <c r="L251" s="12" t="str">
        <f t="shared" si="20"/>
        <v/>
      </c>
      <c r="M251" s="8" t="str">
        <f t="shared" si="21"/>
        <v/>
      </c>
      <c r="N251" s="9"/>
      <c r="O251" s="31"/>
      <c r="P251" s="8" t="str">
        <f t="shared" si="22"/>
        <v/>
      </c>
      <c r="Q251" s="8" t="str">
        <f t="shared" si="23"/>
        <v/>
      </c>
      <c r="R251" s="8">
        <f>IF(Q251="",0,IF(SUMPRODUCT(--(Q$4:Q251=Q251))&gt;1,1,0))</f>
        <v>0</v>
      </c>
    </row>
    <row r="252" spans="1:18" x14ac:dyDescent="0.25">
      <c r="A252" s="8">
        <v>249</v>
      </c>
      <c r="B252" s="9"/>
      <c r="C252" s="33" t="str">
        <f t="shared" si="18"/>
        <v/>
      </c>
      <c r="D252" s="31"/>
      <c r="E252" s="31"/>
      <c r="F252" s="11"/>
      <c r="G252" s="11"/>
      <c r="H252" s="9"/>
      <c r="I252" s="11"/>
      <c r="J252" s="9"/>
      <c r="K252" s="12" t="str">
        <f t="shared" si="19"/>
        <v/>
      </c>
      <c r="L252" s="12" t="str">
        <f t="shared" si="20"/>
        <v/>
      </c>
      <c r="M252" s="8" t="str">
        <f t="shared" si="21"/>
        <v/>
      </c>
      <c r="N252" s="9"/>
      <c r="O252" s="31"/>
      <c r="P252" s="8" t="str">
        <f t="shared" si="22"/>
        <v/>
      </c>
      <c r="Q252" s="8" t="str">
        <f t="shared" si="23"/>
        <v/>
      </c>
      <c r="R252" s="8">
        <f>IF(Q252="",0,IF(SUMPRODUCT(--(Q$4:Q252=Q252))&gt;1,1,0))</f>
        <v>0</v>
      </c>
    </row>
    <row r="253" spans="1:18" x14ac:dyDescent="0.25">
      <c r="A253" s="8">
        <v>250</v>
      </c>
      <c r="B253" s="9"/>
      <c r="C253" s="33" t="str">
        <f t="shared" si="18"/>
        <v/>
      </c>
      <c r="D253" s="31"/>
      <c r="E253" s="31"/>
      <c r="F253" s="11"/>
      <c r="G253" s="11"/>
      <c r="H253" s="9"/>
      <c r="I253" s="11"/>
      <c r="J253" s="9"/>
      <c r="K253" s="12" t="str">
        <f t="shared" si="19"/>
        <v/>
      </c>
      <c r="L253" s="12" t="str">
        <f t="shared" si="20"/>
        <v/>
      </c>
      <c r="M253" s="8" t="str">
        <f t="shared" si="21"/>
        <v/>
      </c>
      <c r="N253" s="9"/>
      <c r="O253" s="31"/>
      <c r="P253" s="8" t="str">
        <f t="shared" si="22"/>
        <v/>
      </c>
      <c r="Q253" s="8" t="str">
        <f t="shared" si="23"/>
        <v/>
      </c>
      <c r="R253" s="8">
        <f>IF(Q253="",0,IF(SUMPRODUCT(--(Q$4:Q253=Q253))&gt;1,1,0))</f>
        <v>0</v>
      </c>
    </row>
    <row r="254" spans="1:18" x14ac:dyDescent="0.25">
      <c r="A254" s="8">
        <v>251</v>
      </c>
      <c r="B254" s="9"/>
      <c r="C254" s="33" t="str">
        <f t="shared" si="18"/>
        <v/>
      </c>
      <c r="D254" s="31"/>
      <c r="E254" s="31"/>
      <c r="F254" s="11"/>
      <c r="G254" s="11"/>
      <c r="H254" s="9"/>
      <c r="I254" s="11"/>
      <c r="J254" s="9"/>
      <c r="K254" s="12" t="str">
        <f t="shared" si="19"/>
        <v/>
      </c>
      <c r="L254" s="12" t="str">
        <f t="shared" si="20"/>
        <v/>
      </c>
      <c r="M254" s="8" t="str">
        <f t="shared" si="21"/>
        <v/>
      </c>
      <c r="N254" s="9"/>
      <c r="O254" s="31"/>
      <c r="P254" s="8" t="str">
        <f t="shared" si="22"/>
        <v/>
      </c>
      <c r="Q254" s="8" t="str">
        <f t="shared" si="23"/>
        <v/>
      </c>
      <c r="R254" s="8">
        <f>IF(Q254="",0,IF(SUMPRODUCT(--(Q$4:Q254=Q254))&gt;1,1,0))</f>
        <v>0</v>
      </c>
    </row>
    <row r="255" spans="1:18" x14ac:dyDescent="0.25">
      <c r="A255" s="8">
        <v>252</v>
      </c>
      <c r="B255" s="9"/>
      <c r="C255" s="33" t="str">
        <f t="shared" si="18"/>
        <v/>
      </c>
      <c r="D255" s="31"/>
      <c r="E255" s="31"/>
      <c r="F255" s="11"/>
      <c r="G255" s="11"/>
      <c r="H255" s="9"/>
      <c r="I255" s="11"/>
      <c r="J255" s="9"/>
      <c r="K255" s="12" t="str">
        <f t="shared" si="19"/>
        <v/>
      </c>
      <c r="L255" s="12" t="str">
        <f t="shared" si="20"/>
        <v/>
      </c>
      <c r="M255" s="8" t="str">
        <f t="shared" si="21"/>
        <v/>
      </c>
      <c r="N255" s="9"/>
      <c r="O255" s="31"/>
      <c r="P255" s="8" t="str">
        <f t="shared" si="22"/>
        <v/>
      </c>
      <c r="Q255" s="8" t="str">
        <f t="shared" si="23"/>
        <v/>
      </c>
      <c r="R255" s="8">
        <f>IF(Q255="",0,IF(SUMPRODUCT(--(Q$4:Q255=Q255))&gt;1,1,0))</f>
        <v>0</v>
      </c>
    </row>
    <row r="256" spans="1:18" x14ac:dyDescent="0.25">
      <c r="A256" s="8">
        <v>253</v>
      </c>
      <c r="B256" s="9"/>
      <c r="C256" s="33" t="str">
        <f t="shared" si="18"/>
        <v/>
      </c>
      <c r="D256" s="31"/>
      <c r="E256" s="31"/>
      <c r="F256" s="11"/>
      <c r="G256" s="11"/>
      <c r="H256" s="9"/>
      <c r="I256" s="11"/>
      <c r="J256" s="9"/>
      <c r="K256" s="12" t="str">
        <f t="shared" si="19"/>
        <v/>
      </c>
      <c r="L256" s="12" t="str">
        <f t="shared" si="20"/>
        <v/>
      </c>
      <c r="M256" s="8" t="str">
        <f t="shared" si="21"/>
        <v/>
      </c>
      <c r="N256" s="9"/>
      <c r="O256" s="31"/>
      <c r="P256" s="8" t="str">
        <f t="shared" si="22"/>
        <v/>
      </c>
      <c r="Q256" s="8" t="str">
        <f t="shared" si="23"/>
        <v/>
      </c>
      <c r="R256" s="8">
        <f>IF(Q256="",0,IF(SUMPRODUCT(--(Q$4:Q256=Q256))&gt;1,1,0))</f>
        <v>0</v>
      </c>
    </row>
    <row r="257" spans="1:18" x14ac:dyDescent="0.25">
      <c r="A257" s="8">
        <v>254</v>
      </c>
      <c r="B257" s="9"/>
      <c r="C257" s="33" t="str">
        <f t="shared" si="18"/>
        <v/>
      </c>
      <c r="D257" s="31"/>
      <c r="E257" s="31"/>
      <c r="F257" s="11"/>
      <c r="G257" s="11"/>
      <c r="H257" s="9"/>
      <c r="I257" s="11"/>
      <c r="J257" s="9"/>
      <c r="K257" s="12" t="str">
        <f t="shared" si="19"/>
        <v/>
      </c>
      <c r="L257" s="12" t="str">
        <f t="shared" si="20"/>
        <v/>
      </c>
      <c r="M257" s="8" t="str">
        <f t="shared" si="21"/>
        <v/>
      </c>
      <c r="N257" s="9"/>
      <c r="O257" s="31"/>
      <c r="P257" s="8" t="str">
        <f t="shared" si="22"/>
        <v/>
      </c>
      <c r="Q257" s="8" t="str">
        <f t="shared" si="23"/>
        <v/>
      </c>
      <c r="R257" s="8">
        <f>IF(Q257="",0,IF(SUMPRODUCT(--(Q$4:Q257=Q257))&gt;1,1,0))</f>
        <v>0</v>
      </c>
    </row>
    <row r="258" spans="1:18" x14ac:dyDescent="0.25">
      <c r="A258" s="8">
        <v>255</v>
      </c>
      <c r="B258" s="9"/>
      <c r="C258" s="33" t="str">
        <f t="shared" si="18"/>
        <v/>
      </c>
      <c r="D258" s="31"/>
      <c r="E258" s="31"/>
      <c r="F258" s="11"/>
      <c r="G258" s="11"/>
      <c r="H258" s="9"/>
      <c r="I258" s="11"/>
      <c r="J258" s="9"/>
      <c r="K258" s="12" t="str">
        <f t="shared" si="19"/>
        <v/>
      </c>
      <c r="L258" s="12" t="str">
        <f t="shared" si="20"/>
        <v/>
      </c>
      <c r="M258" s="8" t="str">
        <f t="shared" si="21"/>
        <v/>
      </c>
      <c r="N258" s="9"/>
      <c r="O258" s="31"/>
      <c r="P258" s="8" t="str">
        <f t="shared" si="22"/>
        <v/>
      </c>
      <c r="Q258" s="8" t="str">
        <f t="shared" si="23"/>
        <v/>
      </c>
      <c r="R258" s="8">
        <f>IF(Q258="",0,IF(SUMPRODUCT(--(Q$4:Q258=Q258))&gt;1,1,0))</f>
        <v>0</v>
      </c>
    </row>
    <row r="259" spans="1:18" x14ac:dyDescent="0.25">
      <c r="A259" s="8">
        <v>256</v>
      </c>
      <c r="B259" s="9"/>
      <c r="C259" s="33" t="str">
        <f t="shared" si="18"/>
        <v/>
      </c>
      <c r="D259" s="31"/>
      <c r="E259" s="31"/>
      <c r="F259" s="11"/>
      <c r="G259" s="11"/>
      <c r="H259" s="9"/>
      <c r="I259" s="11"/>
      <c r="J259" s="9"/>
      <c r="K259" s="12" t="str">
        <f t="shared" si="19"/>
        <v/>
      </c>
      <c r="L259" s="12" t="str">
        <f t="shared" si="20"/>
        <v/>
      </c>
      <c r="M259" s="8" t="str">
        <f t="shared" si="21"/>
        <v/>
      </c>
      <c r="N259" s="9"/>
      <c r="O259" s="31"/>
      <c r="P259" s="8" t="str">
        <f t="shared" si="22"/>
        <v/>
      </c>
      <c r="Q259" s="8" t="str">
        <f t="shared" si="23"/>
        <v/>
      </c>
      <c r="R259" s="8">
        <f>IF(Q259="",0,IF(SUMPRODUCT(--(Q$4:Q259=Q259))&gt;1,1,0))</f>
        <v>0</v>
      </c>
    </row>
    <row r="260" spans="1:18" x14ac:dyDescent="0.25">
      <c r="A260" s="8">
        <v>257</v>
      </c>
      <c r="B260" s="9"/>
      <c r="C260" s="33" t="str">
        <f t="shared" ref="C260:C323" si="24">IF(B260="","",IFERROR(INDEX(SpaceNames,MATCH(B260,SpaceCodes,0))&amp;"",""))</f>
        <v/>
      </c>
      <c r="D260" s="31"/>
      <c r="E260" s="31"/>
      <c r="F260" s="11"/>
      <c r="G260" s="11"/>
      <c r="H260" s="9"/>
      <c r="I260" s="11"/>
      <c r="J260" s="9"/>
      <c r="K260" s="12" t="str">
        <f t="shared" ref="K260:K323" si="25">IF(Q260="","",IF(OR(J260="لا",R260=1),0,IF(I260&lt;&gt;"",I260*IF(H260="",1,H260),IF(AND(F260&lt;&gt;"",G260&lt;&gt;""),F260*G260*IF(H260="",1,H260),""))))</f>
        <v/>
      </c>
      <c r="L260" s="12" t="str">
        <f t="shared" ref="L260:L303" si="26">IF(OR(Q260="",B260="",D260=""),"",SUMIFS(FL_Net,FL_Space,B260,FL_Mat,D260))</f>
        <v/>
      </c>
      <c r="M260" s="8" t="str">
        <f t="shared" ref="M260:M303" si="27">IF(D260="","",IFERROR(IF(INDEX(FloorUnit,MATCH(D260,FloorMat,0))="","م²",INDEX(FloorUnit,MATCH(D260,FloorMat,0))),"م²"))</f>
        <v/>
      </c>
      <c r="N260" s="9"/>
      <c r="O260" s="31"/>
      <c r="P260" s="8" t="str">
        <f t="shared" ref="P260:P323" si="28">IF(Q260="","",IF(R260=1,"تكرار — غير محتسب",IF(B260="","ناقص بيانات: كود الفراغ",IF(COUNTIF(SpaceCodes,B260)=0,"ناقص بيانات: الفراغ غير مسجل",IF(D260="","ناقص بيانات: الخامة",IF(AND(I260="",OR(F260="",G260="")),"ناقص قياس",IF(J260="لا","مستبعد من الحصر",IF(N260="نعم","يحتاج مراجعة","مكتمل"))))))))</f>
        <v/>
      </c>
      <c r="Q260" s="8" t="str">
        <f t="shared" ref="Q260:Q303" si="29">IF(COUNTA(B260,D260:I260)=0,"",B260&amp;"|"&amp;D260&amp;"|"&amp;E260&amp;"|"&amp;F260&amp;"|"&amp;G260&amp;"|"&amp;I260)</f>
        <v/>
      </c>
      <c r="R260" s="8">
        <f>IF(Q260="",0,IF(SUMPRODUCT(--(Q$4:Q260=Q260))&gt;1,1,0))</f>
        <v>0</v>
      </c>
    </row>
    <row r="261" spans="1:18" x14ac:dyDescent="0.25">
      <c r="A261" s="8">
        <v>258</v>
      </c>
      <c r="B261" s="9"/>
      <c r="C261" s="33" t="str">
        <f t="shared" si="24"/>
        <v/>
      </c>
      <c r="D261" s="31"/>
      <c r="E261" s="31"/>
      <c r="F261" s="11"/>
      <c r="G261" s="11"/>
      <c r="H261" s="9"/>
      <c r="I261" s="11"/>
      <c r="J261" s="9"/>
      <c r="K261" s="12" t="str">
        <f t="shared" si="25"/>
        <v/>
      </c>
      <c r="L261" s="12" t="str">
        <f t="shared" si="26"/>
        <v/>
      </c>
      <c r="M261" s="8" t="str">
        <f t="shared" si="27"/>
        <v/>
      </c>
      <c r="N261" s="9"/>
      <c r="O261" s="31"/>
      <c r="P261" s="8" t="str">
        <f t="shared" si="28"/>
        <v/>
      </c>
      <c r="Q261" s="8" t="str">
        <f t="shared" si="29"/>
        <v/>
      </c>
      <c r="R261" s="8">
        <f>IF(Q261="",0,IF(SUMPRODUCT(--(Q$4:Q261=Q261))&gt;1,1,0))</f>
        <v>0</v>
      </c>
    </row>
    <row r="262" spans="1:18" x14ac:dyDescent="0.25">
      <c r="A262" s="8">
        <v>259</v>
      </c>
      <c r="B262" s="9"/>
      <c r="C262" s="33" t="str">
        <f t="shared" si="24"/>
        <v/>
      </c>
      <c r="D262" s="31"/>
      <c r="E262" s="31"/>
      <c r="F262" s="11"/>
      <c r="G262" s="11"/>
      <c r="H262" s="9"/>
      <c r="I262" s="11"/>
      <c r="J262" s="9"/>
      <c r="K262" s="12" t="str">
        <f t="shared" si="25"/>
        <v/>
      </c>
      <c r="L262" s="12" t="str">
        <f t="shared" si="26"/>
        <v/>
      </c>
      <c r="M262" s="8" t="str">
        <f t="shared" si="27"/>
        <v/>
      </c>
      <c r="N262" s="9"/>
      <c r="O262" s="31"/>
      <c r="P262" s="8" t="str">
        <f t="shared" si="28"/>
        <v/>
      </c>
      <c r="Q262" s="8" t="str">
        <f t="shared" si="29"/>
        <v/>
      </c>
      <c r="R262" s="8">
        <f>IF(Q262="",0,IF(SUMPRODUCT(--(Q$4:Q262=Q262))&gt;1,1,0))</f>
        <v>0</v>
      </c>
    </row>
    <row r="263" spans="1:18" x14ac:dyDescent="0.25">
      <c r="A263" s="8">
        <v>260</v>
      </c>
      <c r="B263" s="9"/>
      <c r="C263" s="33" t="str">
        <f t="shared" si="24"/>
        <v/>
      </c>
      <c r="D263" s="31"/>
      <c r="E263" s="31"/>
      <c r="F263" s="11"/>
      <c r="G263" s="11"/>
      <c r="H263" s="9"/>
      <c r="I263" s="11"/>
      <c r="J263" s="9"/>
      <c r="K263" s="12" t="str">
        <f t="shared" si="25"/>
        <v/>
      </c>
      <c r="L263" s="12" t="str">
        <f t="shared" si="26"/>
        <v/>
      </c>
      <c r="M263" s="8" t="str">
        <f t="shared" si="27"/>
        <v/>
      </c>
      <c r="N263" s="9"/>
      <c r="O263" s="31"/>
      <c r="P263" s="8" t="str">
        <f t="shared" si="28"/>
        <v/>
      </c>
      <c r="Q263" s="8" t="str">
        <f t="shared" si="29"/>
        <v/>
      </c>
      <c r="R263" s="8">
        <f>IF(Q263="",0,IF(SUMPRODUCT(--(Q$4:Q263=Q263))&gt;1,1,0))</f>
        <v>0</v>
      </c>
    </row>
    <row r="264" spans="1:18" x14ac:dyDescent="0.25">
      <c r="A264" s="8">
        <v>261</v>
      </c>
      <c r="B264" s="9"/>
      <c r="C264" s="33" t="str">
        <f t="shared" si="24"/>
        <v/>
      </c>
      <c r="D264" s="31"/>
      <c r="E264" s="31"/>
      <c r="F264" s="11"/>
      <c r="G264" s="11"/>
      <c r="H264" s="9"/>
      <c r="I264" s="11"/>
      <c r="J264" s="9"/>
      <c r="K264" s="12" t="str">
        <f t="shared" si="25"/>
        <v/>
      </c>
      <c r="L264" s="12" t="str">
        <f t="shared" si="26"/>
        <v/>
      </c>
      <c r="M264" s="8" t="str">
        <f t="shared" si="27"/>
        <v/>
      </c>
      <c r="N264" s="9"/>
      <c r="O264" s="31"/>
      <c r="P264" s="8" t="str">
        <f t="shared" si="28"/>
        <v/>
      </c>
      <c r="Q264" s="8" t="str">
        <f t="shared" si="29"/>
        <v/>
      </c>
      <c r="R264" s="8">
        <f>IF(Q264="",0,IF(SUMPRODUCT(--(Q$4:Q264=Q264))&gt;1,1,0))</f>
        <v>0</v>
      </c>
    </row>
    <row r="265" spans="1:18" x14ac:dyDescent="0.25">
      <c r="A265" s="8">
        <v>262</v>
      </c>
      <c r="B265" s="9"/>
      <c r="C265" s="33" t="str">
        <f t="shared" si="24"/>
        <v/>
      </c>
      <c r="D265" s="31"/>
      <c r="E265" s="31"/>
      <c r="F265" s="11"/>
      <c r="G265" s="11"/>
      <c r="H265" s="9"/>
      <c r="I265" s="11"/>
      <c r="J265" s="9"/>
      <c r="K265" s="12" t="str">
        <f t="shared" si="25"/>
        <v/>
      </c>
      <c r="L265" s="12" t="str">
        <f t="shared" si="26"/>
        <v/>
      </c>
      <c r="M265" s="8" t="str">
        <f t="shared" si="27"/>
        <v/>
      </c>
      <c r="N265" s="9"/>
      <c r="O265" s="31"/>
      <c r="P265" s="8" t="str">
        <f t="shared" si="28"/>
        <v/>
      </c>
      <c r="Q265" s="8" t="str">
        <f t="shared" si="29"/>
        <v/>
      </c>
      <c r="R265" s="8">
        <f>IF(Q265="",0,IF(SUMPRODUCT(--(Q$4:Q265=Q265))&gt;1,1,0))</f>
        <v>0</v>
      </c>
    </row>
    <row r="266" spans="1:18" x14ac:dyDescent="0.25">
      <c r="A266" s="8">
        <v>263</v>
      </c>
      <c r="B266" s="9"/>
      <c r="C266" s="33" t="str">
        <f t="shared" si="24"/>
        <v/>
      </c>
      <c r="D266" s="31"/>
      <c r="E266" s="31"/>
      <c r="F266" s="11"/>
      <c r="G266" s="11"/>
      <c r="H266" s="9"/>
      <c r="I266" s="11"/>
      <c r="J266" s="9"/>
      <c r="K266" s="12" t="str">
        <f t="shared" si="25"/>
        <v/>
      </c>
      <c r="L266" s="12" t="str">
        <f t="shared" si="26"/>
        <v/>
      </c>
      <c r="M266" s="8" t="str">
        <f t="shared" si="27"/>
        <v/>
      </c>
      <c r="N266" s="9"/>
      <c r="O266" s="31"/>
      <c r="P266" s="8" t="str">
        <f t="shared" si="28"/>
        <v/>
      </c>
      <c r="Q266" s="8" t="str">
        <f t="shared" si="29"/>
        <v/>
      </c>
      <c r="R266" s="8">
        <f>IF(Q266="",0,IF(SUMPRODUCT(--(Q$4:Q266=Q266))&gt;1,1,0))</f>
        <v>0</v>
      </c>
    </row>
    <row r="267" spans="1:18" x14ac:dyDescent="0.25">
      <c r="A267" s="8">
        <v>264</v>
      </c>
      <c r="B267" s="9"/>
      <c r="C267" s="33" t="str">
        <f t="shared" si="24"/>
        <v/>
      </c>
      <c r="D267" s="31"/>
      <c r="E267" s="31"/>
      <c r="F267" s="11"/>
      <c r="G267" s="11"/>
      <c r="H267" s="9"/>
      <c r="I267" s="11"/>
      <c r="J267" s="9"/>
      <c r="K267" s="12" t="str">
        <f t="shared" si="25"/>
        <v/>
      </c>
      <c r="L267" s="12" t="str">
        <f t="shared" si="26"/>
        <v/>
      </c>
      <c r="M267" s="8" t="str">
        <f t="shared" si="27"/>
        <v/>
      </c>
      <c r="N267" s="9"/>
      <c r="O267" s="31"/>
      <c r="P267" s="8" t="str">
        <f t="shared" si="28"/>
        <v/>
      </c>
      <c r="Q267" s="8" t="str">
        <f t="shared" si="29"/>
        <v/>
      </c>
      <c r="R267" s="8">
        <f>IF(Q267="",0,IF(SUMPRODUCT(--(Q$4:Q267=Q267))&gt;1,1,0))</f>
        <v>0</v>
      </c>
    </row>
    <row r="268" spans="1:18" x14ac:dyDescent="0.25">
      <c r="A268" s="8">
        <v>265</v>
      </c>
      <c r="B268" s="9"/>
      <c r="C268" s="33" t="str">
        <f t="shared" si="24"/>
        <v/>
      </c>
      <c r="D268" s="31"/>
      <c r="E268" s="31"/>
      <c r="F268" s="11"/>
      <c r="G268" s="11"/>
      <c r="H268" s="9"/>
      <c r="I268" s="11"/>
      <c r="J268" s="9"/>
      <c r="K268" s="12" t="str">
        <f t="shared" si="25"/>
        <v/>
      </c>
      <c r="L268" s="12" t="str">
        <f t="shared" si="26"/>
        <v/>
      </c>
      <c r="M268" s="8" t="str">
        <f t="shared" si="27"/>
        <v/>
      </c>
      <c r="N268" s="9"/>
      <c r="O268" s="31"/>
      <c r="P268" s="8" t="str">
        <f t="shared" si="28"/>
        <v/>
      </c>
      <c r="Q268" s="8" t="str">
        <f t="shared" si="29"/>
        <v/>
      </c>
      <c r="R268" s="8">
        <f>IF(Q268="",0,IF(SUMPRODUCT(--(Q$4:Q268=Q268))&gt;1,1,0))</f>
        <v>0</v>
      </c>
    </row>
    <row r="269" spans="1:18" x14ac:dyDescent="0.25">
      <c r="A269" s="8">
        <v>266</v>
      </c>
      <c r="B269" s="9"/>
      <c r="C269" s="33" t="str">
        <f t="shared" si="24"/>
        <v/>
      </c>
      <c r="D269" s="31"/>
      <c r="E269" s="31"/>
      <c r="F269" s="11"/>
      <c r="G269" s="11"/>
      <c r="H269" s="9"/>
      <c r="I269" s="11"/>
      <c r="J269" s="9"/>
      <c r="K269" s="12" t="str">
        <f t="shared" si="25"/>
        <v/>
      </c>
      <c r="L269" s="12" t="str">
        <f t="shared" si="26"/>
        <v/>
      </c>
      <c r="M269" s="8" t="str">
        <f t="shared" si="27"/>
        <v/>
      </c>
      <c r="N269" s="9"/>
      <c r="O269" s="31"/>
      <c r="P269" s="8" t="str">
        <f t="shared" si="28"/>
        <v/>
      </c>
      <c r="Q269" s="8" t="str">
        <f t="shared" si="29"/>
        <v/>
      </c>
      <c r="R269" s="8">
        <f>IF(Q269="",0,IF(SUMPRODUCT(--(Q$4:Q269=Q269))&gt;1,1,0))</f>
        <v>0</v>
      </c>
    </row>
    <row r="270" spans="1:18" x14ac:dyDescent="0.25">
      <c r="A270" s="8">
        <v>267</v>
      </c>
      <c r="B270" s="9"/>
      <c r="C270" s="33" t="str">
        <f t="shared" si="24"/>
        <v/>
      </c>
      <c r="D270" s="31"/>
      <c r="E270" s="31"/>
      <c r="F270" s="11"/>
      <c r="G270" s="11"/>
      <c r="H270" s="9"/>
      <c r="I270" s="11"/>
      <c r="J270" s="9"/>
      <c r="K270" s="12" t="str">
        <f t="shared" si="25"/>
        <v/>
      </c>
      <c r="L270" s="12" t="str">
        <f t="shared" si="26"/>
        <v/>
      </c>
      <c r="M270" s="8" t="str">
        <f t="shared" si="27"/>
        <v/>
      </c>
      <c r="N270" s="9"/>
      <c r="O270" s="31"/>
      <c r="P270" s="8" t="str">
        <f t="shared" si="28"/>
        <v/>
      </c>
      <c r="Q270" s="8" t="str">
        <f t="shared" si="29"/>
        <v/>
      </c>
      <c r="R270" s="8">
        <f>IF(Q270="",0,IF(SUMPRODUCT(--(Q$4:Q270=Q270))&gt;1,1,0))</f>
        <v>0</v>
      </c>
    </row>
    <row r="271" spans="1:18" x14ac:dyDescent="0.25">
      <c r="A271" s="8">
        <v>268</v>
      </c>
      <c r="B271" s="9"/>
      <c r="C271" s="33" t="str">
        <f t="shared" si="24"/>
        <v/>
      </c>
      <c r="D271" s="31"/>
      <c r="E271" s="31"/>
      <c r="F271" s="11"/>
      <c r="G271" s="11"/>
      <c r="H271" s="9"/>
      <c r="I271" s="11"/>
      <c r="J271" s="9"/>
      <c r="K271" s="12" t="str">
        <f t="shared" si="25"/>
        <v/>
      </c>
      <c r="L271" s="12" t="str">
        <f t="shared" si="26"/>
        <v/>
      </c>
      <c r="M271" s="8" t="str">
        <f t="shared" si="27"/>
        <v/>
      </c>
      <c r="N271" s="9"/>
      <c r="O271" s="31"/>
      <c r="P271" s="8" t="str">
        <f t="shared" si="28"/>
        <v/>
      </c>
      <c r="Q271" s="8" t="str">
        <f t="shared" si="29"/>
        <v/>
      </c>
      <c r="R271" s="8">
        <f>IF(Q271="",0,IF(SUMPRODUCT(--(Q$4:Q271=Q271))&gt;1,1,0))</f>
        <v>0</v>
      </c>
    </row>
    <row r="272" spans="1:18" x14ac:dyDescent="0.25">
      <c r="A272" s="8">
        <v>269</v>
      </c>
      <c r="B272" s="9"/>
      <c r="C272" s="33" t="str">
        <f t="shared" si="24"/>
        <v/>
      </c>
      <c r="D272" s="31"/>
      <c r="E272" s="31"/>
      <c r="F272" s="11"/>
      <c r="G272" s="11"/>
      <c r="H272" s="9"/>
      <c r="I272" s="11"/>
      <c r="J272" s="9"/>
      <c r="K272" s="12" t="str">
        <f t="shared" si="25"/>
        <v/>
      </c>
      <c r="L272" s="12" t="str">
        <f t="shared" si="26"/>
        <v/>
      </c>
      <c r="M272" s="8" t="str">
        <f t="shared" si="27"/>
        <v/>
      </c>
      <c r="N272" s="9"/>
      <c r="O272" s="31"/>
      <c r="P272" s="8" t="str">
        <f t="shared" si="28"/>
        <v/>
      </c>
      <c r="Q272" s="8" t="str">
        <f t="shared" si="29"/>
        <v/>
      </c>
      <c r="R272" s="8">
        <f>IF(Q272="",0,IF(SUMPRODUCT(--(Q$4:Q272=Q272))&gt;1,1,0))</f>
        <v>0</v>
      </c>
    </row>
    <row r="273" spans="1:18" x14ac:dyDescent="0.25">
      <c r="A273" s="8">
        <v>270</v>
      </c>
      <c r="B273" s="9"/>
      <c r="C273" s="33" t="str">
        <f t="shared" si="24"/>
        <v/>
      </c>
      <c r="D273" s="31"/>
      <c r="E273" s="31"/>
      <c r="F273" s="11"/>
      <c r="G273" s="11"/>
      <c r="H273" s="9"/>
      <c r="I273" s="11"/>
      <c r="J273" s="9"/>
      <c r="K273" s="12" t="str">
        <f t="shared" si="25"/>
        <v/>
      </c>
      <c r="L273" s="12" t="str">
        <f t="shared" si="26"/>
        <v/>
      </c>
      <c r="M273" s="8" t="str">
        <f t="shared" si="27"/>
        <v/>
      </c>
      <c r="N273" s="9"/>
      <c r="O273" s="31"/>
      <c r="P273" s="8" t="str">
        <f t="shared" si="28"/>
        <v/>
      </c>
      <c r="Q273" s="8" t="str">
        <f t="shared" si="29"/>
        <v/>
      </c>
      <c r="R273" s="8">
        <f>IF(Q273="",0,IF(SUMPRODUCT(--(Q$4:Q273=Q273))&gt;1,1,0))</f>
        <v>0</v>
      </c>
    </row>
    <row r="274" spans="1:18" x14ac:dyDescent="0.25">
      <c r="A274" s="8">
        <v>271</v>
      </c>
      <c r="B274" s="9"/>
      <c r="C274" s="33" t="str">
        <f t="shared" si="24"/>
        <v/>
      </c>
      <c r="D274" s="31"/>
      <c r="E274" s="31"/>
      <c r="F274" s="11"/>
      <c r="G274" s="11"/>
      <c r="H274" s="9"/>
      <c r="I274" s="11"/>
      <c r="J274" s="9"/>
      <c r="K274" s="12" t="str">
        <f t="shared" si="25"/>
        <v/>
      </c>
      <c r="L274" s="12" t="str">
        <f t="shared" si="26"/>
        <v/>
      </c>
      <c r="M274" s="8" t="str">
        <f t="shared" si="27"/>
        <v/>
      </c>
      <c r="N274" s="9"/>
      <c r="O274" s="31"/>
      <c r="P274" s="8" t="str">
        <f t="shared" si="28"/>
        <v/>
      </c>
      <c r="Q274" s="8" t="str">
        <f t="shared" si="29"/>
        <v/>
      </c>
      <c r="R274" s="8">
        <f>IF(Q274="",0,IF(SUMPRODUCT(--(Q$4:Q274=Q274))&gt;1,1,0))</f>
        <v>0</v>
      </c>
    </row>
    <row r="275" spans="1:18" x14ac:dyDescent="0.25">
      <c r="A275" s="8">
        <v>272</v>
      </c>
      <c r="B275" s="9"/>
      <c r="C275" s="33" t="str">
        <f t="shared" si="24"/>
        <v/>
      </c>
      <c r="D275" s="31"/>
      <c r="E275" s="31"/>
      <c r="F275" s="11"/>
      <c r="G275" s="11"/>
      <c r="H275" s="9"/>
      <c r="I275" s="11"/>
      <c r="J275" s="9"/>
      <c r="K275" s="12" t="str">
        <f t="shared" si="25"/>
        <v/>
      </c>
      <c r="L275" s="12" t="str">
        <f t="shared" si="26"/>
        <v/>
      </c>
      <c r="M275" s="8" t="str">
        <f t="shared" si="27"/>
        <v/>
      </c>
      <c r="N275" s="9"/>
      <c r="O275" s="31"/>
      <c r="P275" s="8" t="str">
        <f t="shared" si="28"/>
        <v/>
      </c>
      <c r="Q275" s="8" t="str">
        <f t="shared" si="29"/>
        <v/>
      </c>
      <c r="R275" s="8">
        <f>IF(Q275="",0,IF(SUMPRODUCT(--(Q$4:Q275=Q275))&gt;1,1,0))</f>
        <v>0</v>
      </c>
    </row>
    <row r="276" spans="1:18" x14ac:dyDescent="0.25">
      <c r="A276" s="8">
        <v>273</v>
      </c>
      <c r="B276" s="9"/>
      <c r="C276" s="33" t="str">
        <f t="shared" si="24"/>
        <v/>
      </c>
      <c r="D276" s="31"/>
      <c r="E276" s="31"/>
      <c r="F276" s="11"/>
      <c r="G276" s="11"/>
      <c r="H276" s="9"/>
      <c r="I276" s="11"/>
      <c r="J276" s="9"/>
      <c r="K276" s="12" t="str">
        <f t="shared" si="25"/>
        <v/>
      </c>
      <c r="L276" s="12" t="str">
        <f t="shared" si="26"/>
        <v/>
      </c>
      <c r="M276" s="8" t="str">
        <f t="shared" si="27"/>
        <v/>
      </c>
      <c r="N276" s="9"/>
      <c r="O276" s="31"/>
      <c r="P276" s="8" t="str">
        <f t="shared" si="28"/>
        <v/>
      </c>
      <c r="Q276" s="8" t="str">
        <f t="shared" si="29"/>
        <v/>
      </c>
      <c r="R276" s="8">
        <f>IF(Q276="",0,IF(SUMPRODUCT(--(Q$4:Q276=Q276))&gt;1,1,0))</f>
        <v>0</v>
      </c>
    </row>
    <row r="277" spans="1:18" x14ac:dyDescent="0.25">
      <c r="A277" s="8">
        <v>274</v>
      </c>
      <c r="B277" s="9"/>
      <c r="C277" s="33" t="str">
        <f t="shared" si="24"/>
        <v/>
      </c>
      <c r="D277" s="31"/>
      <c r="E277" s="31"/>
      <c r="F277" s="11"/>
      <c r="G277" s="11"/>
      <c r="H277" s="9"/>
      <c r="I277" s="11"/>
      <c r="J277" s="9"/>
      <c r="K277" s="12" t="str">
        <f t="shared" si="25"/>
        <v/>
      </c>
      <c r="L277" s="12" t="str">
        <f t="shared" si="26"/>
        <v/>
      </c>
      <c r="M277" s="8" t="str">
        <f t="shared" si="27"/>
        <v/>
      </c>
      <c r="N277" s="9"/>
      <c r="O277" s="31"/>
      <c r="P277" s="8" t="str">
        <f t="shared" si="28"/>
        <v/>
      </c>
      <c r="Q277" s="8" t="str">
        <f t="shared" si="29"/>
        <v/>
      </c>
      <c r="R277" s="8">
        <f>IF(Q277="",0,IF(SUMPRODUCT(--(Q$4:Q277=Q277))&gt;1,1,0))</f>
        <v>0</v>
      </c>
    </row>
    <row r="278" spans="1:18" x14ac:dyDescent="0.25">
      <c r="A278" s="8">
        <v>275</v>
      </c>
      <c r="B278" s="9"/>
      <c r="C278" s="33" t="str">
        <f t="shared" si="24"/>
        <v/>
      </c>
      <c r="D278" s="31"/>
      <c r="E278" s="31"/>
      <c r="F278" s="11"/>
      <c r="G278" s="11"/>
      <c r="H278" s="9"/>
      <c r="I278" s="11"/>
      <c r="J278" s="9"/>
      <c r="K278" s="12" t="str">
        <f t="shared" si="25"/>
        <v/>
      </c>
      <c r="L278" s="12" t="str">
        <f t="shared" si="26"/>
        <v/>
      </c>
      <c r="M278" s="8" t="str">
        <f t="shared" si="27"/>
        <v/>
      </c>
      <c r="N278" s="9"/>
      <c r="O278" s="31"/>
      <c r="P278" s="8" t="str">
        <f t="shared" si="28"/>
        <v/>
      </c>
      <c r="Q278" s="8" t="str">
        <f t="shared" si="29"/>
        <v/>
      </c>
      <c r="R278" s="8">
        <f>IF(Q278="",0,IF(SUMPRODUCT(--(Q$4:Q278=Q278))&gt;1,1,0))</f>
        <v>0</v>
      </c>
    </row>
    <row r="279" spans="1:18" x14ac:dyDescent="0.25">
      <c r="A279" s="8">
        <v>276</v>
      </c>
      <c r="B279" s="9"/>
      <c r="C279" s="33" t="str">
        <f t="shared" si="24"/>
        <v/>
      </c>
      <c r="D279" s="31"/>
      <c r="E279" s="31"/>
      <c r="F279" s="11"/>
      <c r="G279" s="11"/>
      <c r="H279" s="9"/>
      <c r="I279" s="11"/>
      <c r="J279" s="9"/>
      <c r="K279" s="12" t="str">
        <f t="shared" si="25"/>
        <v/>
      </c>
      <c r="L279" s="12" t="str">
        <f t="shared" si="26"/>
        <v/>
      </c>
      <c r="M279" s="8" t="str">
        <f t="shared" si="27"/>
        <v/>
      </c>
      <c r="N279" s="9"/>
      <c r="O279" s="31"/>
      <c r="P279" s="8" t="str">
        <f t="shared" si="28"/>
        <v/>
      </c>
      <c r="Q279" s="8" t="str">
        <f t="shared" si="29"/>
        <v/>
      </c>
      <c r="R279" s="8">
        <f>IF(Q279="",0,IF(SUMPRODUCT(--(Q$4:Q279=Q279))&gt;1,1,0))</f>
        <v>0</v>
      </c>
    </row>
    <row r="280" spans="1:18" x14ac:dyDescent="0.25">
      <c r="A280" s="8">
        <v>277</v>
      </c>
      <c r="B280" s="9"/>
      <c r="C280" s="33" t="str">
        <f t="shared" si="24"/>
        <v/>
      </c>
      <c r="D280" s="31"/>
      <c r="E280" s="31"/>
      <c r="F280" s="11"/>
      <c r="G280" s="11"/>
      <c r="H280" s="9"/>
      <c r="I280" s="11"/>
      <c r="J280" s="9"/>
      <c r="K280" s="12" t="str">
        <f t="shared" si="25"/>
        <v/>
      </c>
      <c r="L280" s="12" t="str">
        <f t="shared" si="26"/>
        <v/>
      </c>
      <c r="M280" s="8" t="str">
        <f t="shared" si="27"/>
        <v/>
      </c>
      <c r="N280" s="9"/>
      <c r="O280" s="31"/>
      <c r="P280" s="8" t="str">
        <f t="shared" si="28"/>
        <v/>
      </c>
      <c r="Q280" s="8" t="str">
        <f t="shared" si="29"/>
        <v/>
      </c>
      <c r="R280" s="8">
        <f>IF(Q280="",0,IF(SUMPRODUCT(--(Q$4:Q280=Q280))&gt;1,1,0))</f>
        <v>0</v>
      </c>
    </row>
    <row r="281" spans="1:18" x14ac:dyDescent="0.25">
      <c r="A281" s="8">
        <v>278</v>
      </c>
      <c r="B281" s="9"/>
      <c r="C281" s="33" t="str">
        <f t="shared" si="24"/>
        <v/>
      </c>
      <c r="D281" s="31"/>
      <c r="E281" s="31"/>
      <c r="F281" s="11"/>
      <c r="G281" s="11"/>
      <c r="H281" s="9"/>
      <c r="I281" s="11"/>
      <c r="J281" s="9"/>
      <c r="K281" s="12" t="str">
        <f t="shared" si="25"/>
        <v/>
      </c>
      <c r="L281" s="12" t="str">
        <f t="shared" si="26"/>
        <v/>
      </c>
      <c r="M281" s="8" t="str">
        <f t="shared" si="27"/>
        <v/>
      </c>
      <c r="N281" s="9"/>
      <c r="O281" s="31"/>
      <c r="P281" s="8" t="str">
        <f t="shared" si="28"/>
        <v/>
      </c>
      <c r="Q281" s="8" t="str">
        <f t="shared" si="29"/>
        <v/>
      </c>
      <c r="R281" s="8">
        <f>IF(Q281="",0,IF(SUMPRODUCT(--(Q$4:Q281=Q281))&gt;1,1,0))</f>
        <v>0</v>
      </c>
    </row>
    <row r="282" spans="1:18" x14ac:dyDescent="0.25">
      <c r="A282" s="8">
        <v>279</v>
      </c>
      <c r="B282" s="9"/>
      <c r="C282" s="33" t="str">
        <f t="shared" si="24"/>
        <v/>
      </c>
      <c r="D282" s="31"/>
      <c r="E282" s="31"/>
      <c r="F282" s="11"/>
      <c r="G282" s="11"/>
      <c r="H282" s="9"/>
      <c r="I282" s="11"/>
      <c r="J282" s="9"/>
      <c r="K282" s="12" t="str">
        <f t="shared" si="25"/>
        <v/>
      </c>
      <c r="L282" s="12" t="str">
        <f t="shared" si="26"/>
        <v/>
      </c>
      <c r="M282" s="8" t="str">
        <f t="shared" si="27"/>
        <v/>
      </c>
      <c r="N282" s="9"/>
      <c r="O282" s="31"/>
      <c r="P282" s="8" t="str">
        <f t="shared" si="28"/>
        <v/>
      </c>
      <c r="Q282" s="8" t="str">
        <f t="shared" si="29"/>
        <v/>
      </c>
      <c r="R282" s="8">
        <f>IF(Q282="",0,IF(SUMPRODUCT(--(Q$4:Q282=Q282))&gt;1,1,0))</f>
        <v>0</v>
      </c>
    </row>
    <row r="283" spans="1:18" x14ac:dyDescent="0.25">
      <c r="A283" s="8">
        <v>280</v>
      </c>
      <c r="B283" s="9"/>
      <c r="C283" s="33" t="str">
        <f t="shared" si="24"/>
        <v/>
      </c>
      <c r="D283" s="31"/>
      <c r="E283" s="31"/>
      <c r="F283" s="11"/>
      <c r="G283" s="11"/>
      <c r="H283" s="9"/>
      <c r="I283" s="11"/>
      <c r="J283" s="9"/>
      <c r="K283" s="12" t="str">
        <f t="shared" si="25"/>
        <v/>
      </c>
      <c r="L283" s="12" t="str">
        <f t="shared" si="26"/>
        <v/>
      </c>
      <c r="M283" s="8" t="str">
        <f t="shared" si="27"/>
        <v/>
      </c>
      <c r="N283" s="9"/>
      <c r="O283" s="31"/>
      <c r="P283" s="8" t="str">
        <f t="shared" si="28"/>
        <v/>
      </c>
      <c r="Q283" s="8" t="str">
        <f t="shared" si="29"/>
        <v/>
      </c>
      <c r="R283" s="8">
        <f>IF(Q283="",0,IF(SUMPRODUCT(--(Q$4:Q283=Q283))&gt;1,1,0))</f>
        <v>0</v>
      </c>
    </row>
    <row r="284" spans="1:18" x14ac:dyDescent="0.25">
      <c r="A284" s="8">
        <v>281</v>
      </c>
      <c r="B284" s="9"/>
      <c r="C284" s="33" t="str">
        <f t="shared" si="24"/>
        <v/>
      </c>
      <c r="D284" s="31"/>
      <c r="E284" s="31"/>
      <c r="F284" s="11"/>
      <c r="G284" s="11"/>
      <c r="H284" s="9"/>
      <c r="I284" s="11"/>
      <c r="J284" s="9"/>
      <c r="K284" s="12" t="str">
        <f t="shared" si="25"/>
        <v/>
      </c>
      <c r="L284" s="12" t="str">
        <f t="shared" si="26"/>
        <v/>
      </c>
      <c r="M284" s="8" t="str">
        <f t="shared" si="27"/>
        <v/>
      </c>
      <c r="N284" s="9"/>
      <c r="O284" s="31"/>
      <c r="P284" s="8" t="str">
        <f t="shared" si="28"/>
        <v/>
      </c>
      <c r="Q284" s="8" t="str">
        <f t="shared" si="29"/>
        <v/>
      </c>
      <c r="R284" s="8">
        <f>IF(Q284="",0,IF(SUMPRODUCT(--(Q$4:Q284=Q284))&gt;1,1,0))</f>
        <v>0</v>
      </c>
    </row>
    <row r="285" spans="1:18" x14ac:dyDescent="0.25">
      <c r="A285" s="8">
        <v>282</v>
      </c>
      <c r="B285" s="9"/>
      <c r="C285" s="33" t="str">
        <f t="shared" si="24"/>
        <v/>
      </c>
      <c r="D285" s="31"/>
      <c r="E285" s="31"/>
      <c r="F285" s="11"/>
      <c r="G285" s="11"/>
      <c r="H285" s="9"/>
      <c r="I285" s="11"/>
      <c r="J285" s="9"/>
      <c r="K285" s="12" t="str">
        <f t="shared" si="25"/>
        <v/>
      </c>
      <c r="L285" s="12" t="str">
        <f t="shared" si="26"/>
        <v/>
      </c>
      <c r="M285" s="8" t="str">
        <f t="shared" si="27"/>
        <v/>
      </c>
      <c r="N285" s="9"/>
      <c r="O285" s="31"/>
      <c r="P285" s="8" t="str">
        <f t="shared" si="28"/>
        <v/>
      </c>
      <c r="Q285" s="8" t="str">
        <f t="shared" si="29"/>
        <v/>
      </c>
      <c r="R285" s="8">
        <f>IF(Q285="",0,IF(SUMPRODUCT(--(Q$4:Q285=Q285))&gt;1,1,0))</f>
        <v>0</v>
      </c>
    </row>
    <row r="286" spans="1:18" x14ac:dyDescent="0.25">
      <c r="A286" s="8">
        <v>283</v>
      </c>
      <c r="B286" s="9"/>
      <c r="C286" s="33" t="str">
        <f t="shared" si="24"/>
        <v/>
      </c>
      <c r="D286" s="31"/>
      <c r="E286" s="31"/>
      <c r="F286" s="11"/>
      <c r="G286" s="11"/>
      <c r="H286" s="9"/>
      <c r="I286" s="11"/>
      <c r="J286" s="9"/>
      <c r="K286" s="12" t="str">
        <f t="shared" si="25"/>
        <v/>
      </c>
      <c r="L286" s="12" t="str">
        <f t="shared" si="26"/>
        <v/>
      </c>
      <c r="M286" s="8" t="str">
        <f t="shared" si="27"/>
        <v/>
      </c>
      <c r="N286" s="9"/>
      <c r="O286" s="31"/>
      <c r="P286" s="8" t="str">
        <f t="shared" si="28"/>
        <v/>
      </c>
      <c r="Q286" s="8" t="str">
        <f t="shared" si="29"/>
        <v/>
      </c>
      <c r="R286" s="8">
        <f>IF(Q286="",0,IF(SUMPRODUCT(--(Q$4:Q286=Q286))&gt;1,1,0))</f>
        <v>0</v>
      </c>
    </row>
    <row r="287" spans="1:18" x14ac:dyDescent="0.25">
      <c r="A287" s="8">
        <v>284</v>
      </c>
      <c r="B287" s="9"/>
      <c r="C287" s="33" t="str">
        <f t="shared" si="24"/>
        <v/>
      </c>
      <c r="D287" s="31"/>
      <c r="E287" s="31"/>
      <c r="F287" s="11"/>
      <c r="G287" s="11"/>
      <c r="H287" s="9"/>
      <c r="I287" s="11"/>
      <c r="J287" s="9"/>
      <c r="K287" s="12" t="str">
        <f t="shared" si="25"/>
        <v/>
      </c>
      <c r="L287" s="12" t="str">
        <f t="shared" si="26"/>
        <v/>
      </c>
      <c r="M287" s="8" t="str">
        <f t="shared" si="27"/>
        <v/>
      </c>
      <c r="N287" s="9"/>
      <c r="O287" s="31"/>
      <c r="P287" s="8" t="str">
        <f t="shared" si="28"/>
        <v/>
      </c>
      <c r="Q287" s="8" t="str">
        <f t="shared" si="29"/>
        <v/>
      </c>
      <c r="R287" s="8">
        <f>IF(Q287="",0,IF(SUMPRODUCT(--(Q$4:Q287=Q287))&gt;1,1,0))</f>
        <v>0</v>
      </c>
    </row>
    <row r="288" spans="1:18" x14ac:dyDescent="0.25">
      <c r="A288" s="8">
        <v>285</v>
      </c>
      <c r="B288" s="9"/>
      <c r="C288" s="33" t="str">
        <f t="shared" si="24"/>
        <v/>
      </c>
      <c r="D288" s="31"/>
      <c r="E288" s="31"/>
      <c r="F288" s="11"/>
      <c r="G288" s="11"/>
      <c r="H288" s="9"/>
      <c r="I288" s="11"/>
      <c r="J288" s="9"/>
      <c r="K288" s="12" t="str">
        <f t="shared" si="25"/>
        <v/>
      </c>
      <c r="L288" s="12" t="str">
        <f t="shared" si="26"/>
        <v/>
      </c>
      <c r="M288" s="8" t="str">
        <f t="shared" si="27"/>
        <v/>
      </c>
      <c r="N288" s="9"/>
      <c r="O288" s="31"/>
      <c r="P288" s="8" t="str">
        <f t="shared" si="28"/>
        <v/>
      </c>
      <c r="Q288" s="8" t="str">
        <f t="shared" si="29"/>
        <v/>
      </c>
      <c r="R288" s="8">
        <f>IF(Q288="",0,IF(SUMPRODUCT(--(Q$4:Q288=Q288))&gt;1,1,0))</f>
        <v>0</v>
      </c>
    </row>
    <row r="289" spans="1:18" x14ac:dyDescent="0.25">
      <c r="A289" s="8">
        <v>286</v>
      </c>
      <c r="B289" s="9"/>
      <c r="C289" s="33" t="str">
        <f t="shared" si="24"/>
        <v/>
      </c>
      <c r="D289" s="31"/>
      <c r="E289" s="31"/>
      <c r="F289" s="11"/>
      <c r="G289" s="11"/>
      <c r="H289" s="9"/>
      <c r="I289" s="11"/>
      <c r="J289" s="9"/>
      <c r="K289" s="12" t="str">
        <f t="shared" si="25"/>
        <v/>
      </c>
      <c r="L289" s="12" t="str">
        <f t="shared" si="26"/>
        <v/>
      </c>
      <c r="M289" s="8" t="str">
        <f t="shared" si="27"/>
        <v/>
      </c>
      <c r="N289" s="9"/>
      <c r="O289" s="31"/>
      <c r="P289" s="8" t="str">
        <f t="shared" si="28"/>
        <v/>
      </c>
      <c r="Q289" s="8" t="str">
        <f t="shared" si="29"/>
        <v/>
      </c>
      <c r="R289" s="8">
        <f>IF(Q289="",0,IF(SUMPRODUCT(--(Q$4:Q289=Q289))&gt;1,1,0))</f>
        <v>0</v>
      </c>
    </row>
    <row r="290" spans="1:18" x14ac:dyDescent="0.25">
      <c r="A290" s="8">
        <v>287</v>
      </c>
      <c r="B290" s="9"/>
      <c r="C290" s="33" t="str">
        <f t="shared" si="24"/>
        <v/>
      </c>
      <c r="D290" s="31"/>
      <c r="E290" s="31"/>
      <c r="F290" s="11"/>
      <c r="G290" s="11"/>
      <c r="H290" s="9"/>
      <c r="I290" s="11"/>
      <c r="J290" s="9"/>
      <c r="K290" s="12" t="str">
        <f t="shared" si="25"/>
        <v/>
      </c>
      <c r="L290" s="12" t="str">
        <f t="shared" si="26"/>
        <v/>
      </c>
      <c r="M290" s="8" t="str">
        <f t="shared" si="27"/>
        <v/>
      </c>
      <c r="N290" s="9"/>
      <c r="O290" s="31"/>
      <c r="P290" s="8" t="str">
        <f t="shared" si="28"/>
        <v/>
      </c>
      <c r="Q290" s="8" t="str">
        <f t="shared" si="29"/>
        <v/>
      </c>
      <c r="R290" s="8">
        <f>IF(Q290="",0,IF(SUMPRODUCT(--(Q$4:Q290=Q290))&gt;1,1,0))</f>
        <v>0</v>
      </c>
    </row>
    <row r="291" spans="1:18" x14ac:dyDescent="0.25">
      <c r="A291" s="8">
        <v>288</v>
      </c>
      <c r="B291" s="9"/>
      <c r="C291" s="33" t="str">
        <f t="shared" si="24"/>
        <v/>
      </c>
      <c r="D291" s="31"/>
      <c r="E291" s="31"/>
      <c r="F291" s="11"/>
      <c r="G291" s="11"/>
      <c r="H291" s="9"/>
      <c r="I291" s="11"/>
      <c r="J291" s="9"/>
      <c r="K291" s="12" t="str">
        <f t="shared" si="25"/>
        <v/>
      </c>
      <c r="L291" s="12" t="str">
        <f t="shared" si="26"/>
        <v/>
      </c>
      <c r="M291" s="8" t="str">
        <f t="shared" si="27"/>
        <v/>
      </c>
      <c r="N291" s="9"/>
      <c r="O291" s="31"/>
      <c r="P291" s="8" t="str">
        <f t="shared" si="28"/>
        <v/>
      </c>
      <c r="Q291" s="8" t="str">
        <f t="shared" si="29"/>
        <v/>
      </c>
      <c r="R291" s="8">
        <f>IF(Q291="",0,IF(SUMPRODUCT(--(Q$4:Q291=Q291))&gt;1,1,0))</f>
        <v>0</v>
      </c>
    </row>
    <row r="292" spans="1:18" x14ac:dyDescent="0.25">
      <c r="A292" s="8">
        <v>289</v>
      </c>
      <c r="B292" s="9"/>
      <c r="C292" s="33" t="str">
        <f t="shared" si="24"/>
        <v/>
      </c>
      <c r="D292" s="31"/>
      <c r="E292" s="31"/>
      <c r="F292" s="11"/>
      <c r="G292" s="11"/>
      <c r="H292" s="9"/>
      <c r="I292" s="11"/>
      <c r="J292" s="9"/>
      <c r="K292" s="12" t="str">
        <f t="shared" si="25"/>
        <v/>
      </c>
      <c r="L292" s="12" t="str">
        <f t="shared" si="26"/>
        <v/>
      </c>
      <c r="M292" s="8" t="str">
        <f t="shared" si="27"/>
        <v/>
      </c>
      <c r="N292" s="9"/>
      <c r="O292" s="31"/>
      <c r="P292" s="8" t="str">
        <f t="shared" si="28"/>
        <v/>
      </c>
      <c r="Q292" s="8" t="str">
        <f t="shared" si="29"/>
        <v/>
      </c>
      <c r="R292" s="8">
        <f>IF(Q292="",0,IF(SUMPRODUCT(--(Q$4:Q292=Q292))&gt;1,1,0))</f>
        <v>0</v>
      </c>
    </row>
    <row r="293" spans="1:18" x14ac:dyDescent="0.25">
      <c r="A293" s="8">
        <v>290</v>
      </c>
      <c r="B293" s="9"/>
      <c r="C293" s="33" t="str">
        <f t="shared" si="24"/>
        <v/>
      </c>
      <c r="D293" s="31"/>
      <c r="E293" s="31"/>
      <c r="F293" s="11"/>
      <c r="G293" s="11"/>
      <c r="H293" s="9"/>
      <c r="I293" s="11"/>
      <c r="J293" s="9"/>
      <c r="K293" s="12" t="str">
        <f t="shared" si="25"/>
        <v/>
      </c>
      <c r="L293" s="12" t="str">
        <f t="shared" si="26"/>
        <v/>
      </c>
      <c r="M293" s="8" t="str">
        <f t="shared" si="27"/>
        <v/>
      </c>
      <c r="N293" s="9"/>
      <c r="O293" s="31"/>
      <c r="P293" s="8" t="str">
        <f t="shared" si="28"/>
        <v/>
      </c>
      <c r="Q293" s="8" t="str">
        <f t="shared" si="29"/>
        <v/>
      </c>
      <c r="R293" s="8">
        <f>IF(Q293="",0,IF(SUMPRODUCT(--(Q$4:Q293=Q293))&gt;1,1,0))</f>
        <v>0</v>
      </c>
    </row>
    <row r="294" spans="1:18" x14ac:dyDescent="0.25">
      <c r="A294" s="8">
        <v>291</v>
      </c>
      <c r="B294" s="9"/>
      <c r="C294" s="33" t="str">
        <f t="shared" si="24"/>
        <v/>
      </c>
      <c r="D294" s="31"/>
      <c r="E294" s="31"/>
      <c r="F294" s="11"/>
      <c r="G294" s="11"/>
      <c r="H294" s="9"/>
      <c r="I294" s="11"/>
      <c r="J294" s="9"/>
      <c r="K294" s="12" t="str">
        <f t="shared" si="25"/>
        <v/>
      </c>
      <c r="L294" s="12" t="str">
        <f t="shared" si="26"/>
        <v/>
      </c>
      <c r="M294" s="8" t="str">
        <f t="shared" si="27"/>
        <v/>
      </c>
      <c r="N294" s="9"/>
      <c r="O294" s="31"/>
      <c r="P294" s="8" t="str">
        <f t="shared" si="28"/>
        <v/>
      </c>
      <c r="Q294" s="8" t="str">
        <f t="shared" si="29"/>
        <v/>
      </c>
      <c r="R294" s="8">
        <f>IF(Q294="",0,IF(SUMPRODUCT(--(Q$4:Q294=Q294))&gt;1,1,0))</f>
        <v>0</v>
      </c>
    </row>
    <row r="295" spans="1:18" x14ac:dyDescent="0.25">
      <c r="A295" s="8">
        <v>292</v>
      </c>
      <c r="B295" s="9"/>
      <c r="C295" s="33" t="str">
        <f t="shared" si="24"/>
        <v/>
      </c>
      <c r="D295" s="31"/>
      <c r="E295" s="31"/>
      <c r="F295" s="11"/>
      <c r="G295" s="11"/>
      <c r="H295" s="9"/>
      <c r="I295" s="11"/>
      <c r="J295" s="9"/>
      <c r="K295" s="12" t="str">
        <f t="shared" si="25"/>
        <v/>
      </c>
      <c r="L295" s="12" t="str">
        <f t="shared" si="26"/>
        <v/>
      </c>
      <c r="M295" s="8" t="str">
        <f t="shared" si="27"/>
        <v/>
      </c>
      <c r="N295" s="9"/>
      <c r="O295" s="31"/>
      <c r="P295" s="8" t="str">
        <f t="shared" si="28"/>
        <v/>
      </c>
      <c r="Q295" s="8" t="str">
        <f t="shared" si="29"/>
        <v/>
      </c>
      <c r="R295" s="8">
        <f>IF(Q295="",0,IF(SUMPRODUCT(--(Q$4:Q295=Q295))&gt;1,1,0))</f>
        <v>0</v>
      </c>
    </row>
    <row r="296" spans="1:18" x14ac:dyDescent="0.25">
      <c r="A296" s="8">
        <v>293</v>
      </c>
      <c r="B296" s="9"/>
      <c r="C296" s="33" t="str">
        <f t="shared" si="24"/>
        <v/>
      </c>
      <c r="D296" s="31"/>
      <c r="E296" s="31"/>
      <c r="F296" s="11"/>
      <c r="G296" s="11"/>
      <c r="H296" s="9"/>
      <c r="I296" s="11"/>
      <c r="J296" s="9"/>
      <c r="K296" s="12" t="str">
        <f t="shared" si="25"/>
        <v/>
      </c>
      <c r="L296" s="12" t="str">
        <f t="shared" si="26"/>
        <v/>
      </c>
      <c r="M296" s="8" t="str">
        <f t="shared" si="27"/>
        <v/>
      </c>
      <c r="N296" s="9"/>
      <c r="O296" s="31"/>
      <c r="P296" s="8" t="str">
        <f t="shared" si="28"/>
        <v/>
      </c>
      <c r="Q296" s="8" t="str">
        <f t="shared" si="29"/>
        <v/>
      </c>
      <c r="R296" s="8">
        <f>IF(Q296="",0,IF(SUMPRODUCT(--(Q$4:Q296=Q296))&gt;1,1,0))</f>
        <v>0</v>
      </c>
    </row>
    <row r="297" spans="1:18" x14ac:dyDescent="0.25">
      <c r="A297" s="8">
        <v>294</v>
      </c>
      <c r="B297" s="9"/>
      <c r="C297" s="33" t="str">
        <f t="shared" si="24"/>
        <v/>
      </c>
      <c r="D297" s="31"/>
      <c r="E297" s="31"/>
      <c r="F297" s="11"/>
      <c r="G297" s="11"/>
      <c r="H297" s="9"/>
      <c r="I297" s="11"/>
      <c r="J297" s="9"/>
      <c r="K297" s="12" t="str">
        <f t="shared" si="25"/>
        <v/>
      </c>
      <c r="L297" s="12" t="str">
        <f t="shared" si="26"/>
        <v/>
      </c>
      <c r="M297" s="8" t="str">
        <f t="shared" si="27"/>
        <v/>
      </c>
      <c r="N297" s="9"/>
      <c r="O297" s="31"/>
      <c r="P297" s="8" t="str">
        <f t="shared" si="28"/>
        <v/>
      </c>
      <c r="Q297" s="8" t="str">
        <f t="shared" si="29"/>
        <v/>
      </c>
      <c r="R297" s="8">
        <f>IF(Q297="",0,IF(SUMPRODUCT(--(Q$4:Q297=Q297))&gt;1,1,0))</f>
        <v>0</v>
      </c>
    </row>
    <row r="298" spans="1:18" x14ac:dyDescent="0.25">
      <c r="A298" s="8">
        <v>295</v>
      </c>
      <c r="B298" s="9"/>
      <c r="C298" s="33" t="str">
        <f t="shared" si="24"/>
        <v/>
      </c>
      <c r="D298" s="31"/>
      <c r="E298" s="31"/>
      <c r="F298" s="11"/>
      <c r="G298" s="11"/>
      <c r="H298" s="9"/>
      <c r="I298" s="11"/>
      <c r="J298" s="9"/>
      <c r="K298" s="12" t="str">
        <f t="shared" si="25"/>
        <v/>
      </c>
      <c r="L298" s="12" t="str">
        <f t="shared" si="26"/>
        <v/>
      </c>
      <c r="M298" s="8" t="str">
        <f t="shared" si="27"/>
        <v/>
      </c>
      <c r="N298" s="9"/>
      <c r="O298" s="31"/>
      <c r="P298" s="8" t="str">
        <f t="shared" si="28"/>
        <v/>
      </c>
      <c r="Q298" s="8" t="str">
        <f t="shared" si="29"/>
        <v/>
      </c>
      <c r="R298" s="8">
        <f>IF(Q298="",0,IF(SUMPRODUCT(--(Q$4:Q298=Q298))&gt;1,1,0))</f>
        <v>0</v>
      </c>
    </row>
    <row r="299" spans="1:18" x14ac:dyDescent="0.25">
      <c r="A299" s="8">
        <v>296</v>
      </c>
      <c r="B299" s="9"/>
      <c r="C299" s="33" t="str">
        <f t="shared" si="24"/>
        <v/>
      </c>
      <c r="D299" s="31"/>
      <c r="E299" s="31"/>
      <c r="F299" s="11"/>
      <c r="G299" s="11"/>
      <c r="H299" s="9"/>
      <c r="I299" s="11"/>
      <c r="J299" s="9"/>
      <c r="K299" s="12" t="str">
        <f t="shared" si="25"/>
        <v/>
      </c>
      <c r="L299" s="12" t="str">
        <f t="shared" si="26"/>
        <v/>
      </c>
      <c r="M299" s="8" t="str">
        <f t="shared" si="27"/>
        <v/>
      </c>
      <c r="N299" s="9"/>
      <c r="O299" s="31"/>
      <c r="P299" s="8" t="str">
        <f t="shared" si="28"/>
        <v/>
      </c>
      <c r="Q299" s="8" t="str">
        <f t="shared" si="29"/>
        <v/>
      </c>
      <c r="R299" s="8">
        <f>IF(Q299="",0,IF(SUMPRODUCT(--(Q$4:Q299=Q299))&gt;1,1,0))</f>
        <v>0</v>
      </c>
    </row>
    <row r="300" spans="1:18" x14ac:dyDescent="0.25">
      <c r="A300" s="8">
        <v>297</v>
      </c>
      <c r="B300" s="9"/>
      <c r="C300" s="33" t="str">
        <f t="shared" si="24"/>
        <v/>
      </c>
      <c r="D300" s="31"/>
      <c r="E300" s="31"/>
      <c r="F300" s="11"/>
      <c r="G300" s="11"/>
      <c r="H300" s="9"/>
      <c r="I300" s="11"/>
      <c r="J300" s="9"/>
      <c r="K300" s="12" t="str">
        <f t="shared" si="25"/>
        <v/>
      </c>
      <c r="L300" s="12" t="str">
        <f t="shared" si="26"/>
        <v/>
      </c>
      <c r="M300" s="8" t="str">
        <f t="shared" si="27"/>
        <v/>
      </c>
      <c r="N300" s="9"/>
      <c r="O300" s="31"/>
      <c r="P300" s="8" t="str">
        <f t="shared" si="28"/>
        <v/>
      </c>
      <c r="Q300" s="8" t="str">
        <f t="shared" si="29"/>
        <v/>
      </c>
      <c r="R300" s="8">
        <f>IF(Q300="",0,IF(SUMPRODUCT(--(Q$4:Q300=Q300))&gt;1,1,0))</f>
        <v>0</v>
      </c>
    </row>
    <row r="301" spans="1:18" x14ac:dyDescent="0.25">
      <c r="A301" s="8">
        <v>298</v>
      </c>
      <c r="B301" s="9"/>
      <c r="C301" s="33" t="str">
        <f t="shared" si="24"/>
        <v/>
      </c>
      <c r="D301" s="31"/>
      <c r="E301" s="31"/>
      <c r="F301" s="11"/>
      <c r="G301" s="11"/>
      <c r="H301" s="9"/>
      <c r="I301" s="11"/>
      <c r="J301" s="9"/>
      <c r="K301" s="12" t="str">
        <f t="shared" si="25"/>
        <v/>
      </c>
      <c r="L301" s="12" t="str">
        <f t="shared" si="26"/>
        <v/>
      </c>
      <c r="M301" s="8" t="str">
        <f t="shared" si="27"/>
        <v/>
      </c>
      <c r="N301" s="9"/>
      <c r="O301" s="31"/>
      <c r="P301" s="8" t="str">
        <f t="shared" si="28"/>
        <v/>
      </c>
      <c r="Q301" s="8" t="str">
        <f t="shared" si="29"/>
        <v/>
      </c>
      <c r="R301" s="8">
        <f>IF(Q301="",0,IF(SUMPRODUCT(--(Q$4:Q301=Q301))&gt;1,1,0))</f>
        <v>0</v>
      </c>
    </row>
    <row r="302" spans="1:18" x14ac:dyDescent="0.25">
      <c r="A302" s="8">
        <v>299</v>
      </c>
      <c r="B302" s="9"/>
      <c r="C302" s="33" t="str">
        <f t="shared" si="24"/>
        <v/>
      </c>
      <c r="D302" s="31"/>
      <c r="E302" s="31"/>
      <c r="F302" s="11"/>
      <c r="G302" s="11"/>
      <c r="H302" s="9"/>
      <c r="I302" s="11"/>
      <c r="J302" s="9"/>
      <c r="K302" s="12" t="str">
        <f t="shared" si="25"/>
        <v/>
      </c>
      <c r="L302" s="12" t="str">
        <f t="shared" si="26"/>
        <v/>
      </c>
      <c r="M302" s="8" t="str">
        <f t="shared" si="27"/>
        <v/>
      </c>
      <c r="N302" s="9"/>
      <c r="O302" s="31"/>
      <c r="P302" s="8" t="str">
        <f t="shared" si="28"/>
        <v/>
      </c>
      <c r="Q302" s="8" t="str">
        <f t="shared" si="29"/>
        <v/>
      </c>
      <c r="R302" s="8">
        <f>IF(Q302="",0,IF(SUMPRODUCT(--(Q$4:Q302=Q302))&gt;1,1,0))</f>
        <v>0</v>
      </c>
    </row>
    <row r="303" spans="1:18" x14ac:dyDescent="0.25">
      <c r="A303" s="8">
        <v>300</v>
      </c>
      <c r="B303" s="9"/>
      <c r="C303" s="33" t="str">
        <f t="shared" si="24"/>
        <v/>
      </c>
      <c r="D303" s="31"/>
      <c r="E303" s="31"/>
      <c r="F303" s="11"/>
      <c r="G303" s="11"/>
      <c r="H303" s="9"/>
      <c r="I303" s="11"/>
      <c r="J303" s="9"/>
      <c r="K303" s="12" t="str">
        <f t="shared" si="25"/>
        <v/>
      </c>
      <c r="L303" s="12" t="str">
        <f t="shared" si="26"/>
        <v/>
      </c>
      <c r="M303" s="8" t="str">
        <f t="shared" si="27"/>
        <v/>
      </c>
      <c r="N303" s="9"/>
      <c r="O303" s="31"/>
      <c r="P303" s="8" t="str">
        <f t="shared" si="28"/>
        <v/>
      </c>
      <c r="Q303" s="8" t="str">
        <f t="shared" si="29"/>
        <v/>
      </c>
      <c r="R303" s="8">
        <f>IF(Q303="",0,IF(SUMPRODUCT(--(Q$4:Q303=Q303))&gt;1,1,0))</f>
        <v>0</v>
      </c>
    </row>
  </sheetData>
  <sheetProtection sheet="1" formatCells="0" formatColumns="0" formatRows="0" sort="0" autoFilter="0"/>
  <autoFilter ref="A3:P303"/>
  <mergeCells count="2">
    <mergeCell ref="A1:P1"/>
    <mergeCell ref="A2:J2"/>
  </mergeCells>
  <conditionalFormatting sqref="P4:P303">
    <cfRule type="expression" dxfId="32" priority="1" stopIfTrue="1">
      <formula>OR($P4="مكتمل",$P4="مسجل")</formula>
    </cfRule>
    <cfRule type="expression" dxfId="31" priority="2" stopIfTrue="1">
      <formula>LEFT($P4,4)="ناقص"</formula>
    </cfRule>
    <cfRule type="expression" dxfId="30" priority="3" stopIfTrue="1">
      <formula>LEN($P4)&gt;0</formula>
    </cfRule>
  </conditionalFormatting>
  <dataValidations count="8">
    <dataValidation type="list" errorStyle="warning" allowBlank="1" showErrorMessage="1" errorTitle="قيمة غير موجودة بالقائمة" error="هذا الكود غير موجود في «سجل الفراغات». يفضل تسجيل الفراغ أولًا." sqref="B4:B303">
      <formula1>SpaceCodes</formula1>
    </dataValidation>
    <dataValidation type="list" allowBlank="1" showErrorMessage="1" errorTitle="قيمة غير موجودة بالقائمة" error="اختر من القائمة. لإضافة خامة/بند جديد أضفه أولًا في ورقة القوائم." sqref="D4:D303">
      <formula1>FloorMat</formula1>
    </dataValidation>
    <dataValidation type="decimal" operator="greaterThanOrEqual" allowBlank="1" showErrorMessage="1" errorTitle="قيمة غير صحيحة" error="أدخل رقمًا موجبًا فقط (بالمتر)." sqref="F4:F303">
      <formula1>0</formula1>
    </dataValidation>
    <dataValidation type="decimal" operator="greaterThanOrEqual" allowBlank="1" showErrorMessage="1" errorTitle="قيمة غير صحيحة" error="أدخل رقمًا موجبًا فقط (بالمتر)." sqref="G4:G303">
      <formula1>0</formula1>
    </dataValidation>
    <dataValidation type="decimal" operator="greaterThanOrEqual" allowBlank="1" showErrorMessage="1" errorTitle="قيمة غير صحيحة" error="أدخل رقمًا موجبًا فقط (بالمتر)." sqref="H4:H303">
      <formula1>0</formula1>
    </dataValidation>
    <dataValidation type="decimal" operator="greaterThanOrEqual" allowBlank="1" showErrorMessage="1" errorTitle="قيمة غير صحيحة" error="أدخل رقمًا موجبًا فقط (بالمتر)." sqref="I4:I303">
      <formula1>0</formula1>
    </dataValidation>
    <dataValidation type="list" allowBlank="1" showErrorMessage="1" errorTitle="قيمة غير موجودة بالقائمة" error="اختر قيمة من القائمة المنسدلة." sqref="J4:J303">
      <formula1>YesNo</formula1>
    </dataValidation>
    <dataValidation type="list" allowBlank="1" showErrorMessage="1" errorTitle="قيمة غير موجودة بالقائمة" error="اختر قيمة من القائمة المنسدلة." sqref="N4:N303">
      <formula1>YesNo</formula1>
    </dataValidation>
  </dataValidations>
  <pageMargins left="0.4" right="0.4" top="0.5" bottom="0.5"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X403"/>
  <sheetViews>
    <sheetView rightToLeft="1" workbookViewId="0">
      <pane ySplit="3" topLeftCell="A4" activePane="bottomLeft" state="frozen"/>
      <selection pane="bottomLeft"/>
    </sheetView>
  </sheetViews>
  <sheetFormatPr defaultRowHeight="15" x14ac:dyDescent="0.25"/>
  <cols>
    <col min="1" max="1" width="5" style="34" customWidth="1"/>
    <col min="2" max="2" width="12" style="34" customWidth="1"/>
    <col min="3" max="3" width="18" style="34" customWidth="1"/>
    <col min="4" max="4" width="11" style="34" customWidth="1"/>
    <col min="5" max="5" width="26" style="34" customWidth="1"/>
    <col min="6" max="6" width="10" style="34" customWidth="1"/>
    <col min="7" max="8" width="11" style="34" customWidth="1"/>
    <col min="9" max="9" width="12" style="34" customWidth="1"/>
    <col min="10" max="13" width="13" style="34" customWidth="1"/>
    <col min="14" max="15" width="12" style="34" customWidth="1"/>
    <col min="16" max="16" width="13" style="34" customWidth="1"/>
    <col min="17" max="17" width="8" style="34" customWidth="1"/>
    <col min="18" max="18" width="10" style="34" customWidth="1"/>
    <col min="19" max="20" width="30" style="34" customWidth="1"/>
    <col min="21" max="21" width="8" style="34" hidden="1" customWidth="1"/>
    <col min="22" max="24" width="6" style="34" hidden="1" customWidth="1"/>
  </cols>
  <sheetData>
    <row r="1" spans="1:24" ht="30" customHeight="1" x14ac:dyDescent="0.25">
      <c r="A1" s="56" t="s">
        <v>74</v>
      </c>
      <c r="B1" s="51"/>
      <c r="C1" s="51"/>
      <c r="D1" s="51"/>
      <c r="E1" s="51"/>
      <c r="F1" s="51"/>
      <c r="G1" s="51"/>
      <c r="H1" s="51"/>
      <c r="I1" s="51"/>
      <c r="J1" s="51"/>
      <c r="K1" s="51"/>
      <c r="L1" s="51"/>
      <c r="M1" s="51"/>
      <c r="N1" s="51"/>
      <c r="O1" s="51"/>
      <c r="P1" s="51"/>
      <c r="Q1" s="51"/>
      <c r="R1" s="51"/>
      <c r="S1" s="51"/>
      <c r="T1" s="51"/>
    </row>
    <row r="2" spans="1:24" ht="24" customHeight="1" x14ac:dyDescent="0.25">
      <c r="A2" s="57" t="s">
        <v>59</v>
      </c>
      <c r="B2" s="54"/>
      <c r="C2" s="54"/>
      <c r="D2" s="54"/>
      <c r="E2" s="54"/>
      <c r="F2" s="54"/>
      <c r="G2" s="54"/>
      <c r="H2" s="54"/>
      <c r="I2" s="54"/>
      <c r="J2" s="55"/>
      <c r="K2" s="22">
        <f ca="1">SUMPRODUCT(SUBTOTAL(109,OFFSET(K$4,ROW(K$4:K$403)-ROW(K$4),0)),--(Q$4:Q$403="م²"))</f>
        <v>0</v>
      </c>
      <c r="L2" s="35"/>
      <c r="M2" s="35"/>
      <c r="N2" s="35"/>
      <c r="O2" s="22">
        <f ca="1">SUMPRODUCT(SUBTOTAL(109,OFFSET(O$4,ROW(O$4:O$403)-ROW(O$4),0)),--(Q$4:Q$403="م²"))</f>
        <v>0</v>
      </c>
      <c r="P2" s="22">
        <f ca="1">SUMPRODUCT(SUBTOTAL(109,OFFSET(P$4,ROW(P$4:P$403)-ROW(P$4),0)),--(Q$4:Q$403="م²"))</f>
        <v>0</v>
      </c>
      <c r="Q2" s="35"/>
      <c r="R2" s="35"/>
      <c r="S2" s="35"/>
      <c r="T2" s="22" t="str">
        <f>"غير مكتمل: "&amp;(COUNTIF(T$4:T$403,"?*")-COUNTIF(T$4:T$403,"مكتمل"))</f>
        <v>غير مكتمل: 0</v>
      </c>
    </row>
    <row r="3" spans="1:24" ht="48" customHeight="1" x14ac:dyDescent="0.25">
      <c r="A3" s="23" t="s">
        <v>52</v>
      </c>
      <c r="B3" s="23" t="s">
        <v>60</v>
      </c>
      <c r="C3" s="23" t="s">
        <v>54</v>
      </c>
      <c r="D3" s="23" t="s">
        <v>75</v>
      </c>
      <c r="E3" s="23" t="s">
        <v>76</v>
      </c>
      <c r="F3" s="23" t="s">
        <v>77</v>
      </c>
      <c r="G3" s="23" t="s">
        <v>78</v>
      </c>
      <c r="H3" s="23" t="s">
        <v>65</v>
      </c>
      <c r="I3" s="23" t="s">
        <v>79</v>
      </c>
      <c r="J3" s="23" t="s">
        <v>80</v>
      </c>
      <c r="K3" s="23" t="s">
        <v>81</v>
      </c>
      <c r="L3" s="23" t="s">
        <v>82</v>
      </c>
      <c r="M3" s="23" t="s">
        <v>83</v>
      </c>
      <c r="N3" s="23" t="s">
        <v>84</v>
      </c>
      <c r="O3" s="23" t="s">
        <v>85</v>
      </c>
      <c r="P3" s="23" t="s">
        <v>86</v>
      </c>
      <c r="Q3" s="23" t="s">
        <v>70</v>
      </c>
      <c r="R3" s="23" t="s">
        <v>71</v>
      </c>
      <c r="S3" s="23" t="s">
        <v>56</v>
      </c>
      <c r="T3" s="23" t="s">
        <v>57</v>
      </c>
      <c r="U3" s="23" t="s">
        <v>72</v>
      </c>
      <c r="V3" s="23" t="s">
        <v>73</v>
      </c>
      <c r="W3" s="23" t="s">
        <v>87</v>
      </c>
      <c r="X3" s="23" t="s">
        <v>88</v>
      </c>
    </row>
    <row r="4" spans="1:24" x14ac:dyDescent="0.25">
      <c r="A4" s="24">
        <v>1</v>
      </c>
      <c r="B4" s="25"/>
      <c r="C4" s="26" t="str">
        <f t="shared" ref="C4:C67" si="0">IF(B4="","",IFERROR(INDEX(SpaceNames,MATCH(B4,SpaceCodes,0))&amp;"",""))</f>
        <v/>
      </c>
      <c r="D4" s="25"/>
      <c r="E4" s="27"/>
      <c r="F4" s="28"/>
      <c r="G4" s="28"/>
      <c r="H4" s="25"/>
      <c r="I4" s="25"/>
      <c r="J4" s="28"/>
      <c r="K4" s="29" t="str">
        <f t="shared" ref="K4:K67" si="1">IF(U4="","",IF(V4=1,0,IF(I4="يدوي",IF(J4&lt;&gt;"",J4*IF(H4="",1,H4),""),IF(AND(F4&lt;&gt;"",G4&lt;&gt;""),F4*G4*IF(H4="",1,H4),""))))</f>
        <v/>
      </c>
      <c r="L4" s="25"/>
      <c r="M4" s="29" t="str">
        <f t="shared" ref="M4:M67" si="2">IF(U4="","",IF(OR(X4=0,B4="",D4=""),0,IF(E4="",0,SUMIFS(OP_Area,OP_Space,B4,OP_Wall,D4,OP_DedFin,"نعم",OP_Target,E4))+IF(W4=1,SUMIFS(OP_Area,OP_Space,B4,OP_Wall,D4,OP_DedFin,"نعم",OP_Target,""),0)))</f>
        <v/>
      </c>
      <c r="N4" s="28"/>
      <c r="O4" s="29" t="str">
        <f t="shared" ref="O4:O67" si="3">IF(OR(U4="",K4=""),"",N(M4)+N(N4))</f>
        <v/>
      </c>
      <c r="P4" s="29" t="str">
        <f t="shared" ref="P4:P67" si="4">IF(OR(U4="",K4=""),"",K4-O4)</f>
        <v/>
      </c>
      <c r="Q4" s="24" t="str">
        <f t="shared" ref="Q4:Q67" si="5">IF(E4="","",IFERROR(IF(INDEX(WallUnit,MATCH(E4,WallMat,0))="","م²",INDEX(WallUnit,MATCH(E4,WallMat,0))),"م²"))</f>
        <v/>
      </c>
      <c r="R4" s="25"/>
      <c r="S4" s="27"/>
      <c r="T4" s="24" t="str">
        <f t="shared" ref="T4:T67" si="6">IF(U4="","",IF(V4=1,"تكرار — غير محتسب",IF(B4="","ناقص بيانات: كود الفراغ",IF(COUNTIF(SpaceCodes,B4)=0,"ناقص بيانات: الفراغ غير مسجل",IF(D4="","ناقص بيانات: كود الحائط",IF(E4="","ناقص بيانات: الخامة",IF(AND(K4="",I4="يدوي"),"ناقص قياس: أدخل المساحة المباشرة",IF(AND(K4="",J4&lt;&gt;""),"ناقص قياس: اختر «يدوي» أو أدخل الطول والارتفاع",IF(K4="","ناقص قياس",IF(O4&gt;K4+0.000001,"خطأ خصم: الخصم أكبر من الإجمالي",IF(R4="نعم","يحتاج مراجعة","مكتمل")))))))))))</f>
        <v/>
      </c>
      <c r="U4" s="24" t="str">
        <f t="shared" ref="U4:U67" si="7">IF(COUNTA(B4,D4:J4,N4)=0,"",B4&amp;"|"&amp;D4&amp;"|"&amp;E4)</f>
        <v/>
      </c>
      <c r="V4" s="24">
        <f>IF(OR(U4="",D4=""),0,IF(SUMPRODUCT(--(U$4:U4=U4))&gt;1,1,0))</f>
        <v>0</v>
      </c>
      <c r="W4" s="24">
        <f t="shared" ref="W4:W67" si="8">IF(OR(U4="",B4="",D4=""),0,COUNTIFS(WL_Space,B4,WL_Wall,D4,WL_Dup,0))</f>
        <v>0</v>
      </c>
      <c r="X4" s="24">
        <f t="shared" ref="X4:X67" si="9">IF(OR(U4="",V4=1,L4="لا"),0,1)</f>
        <v>0</v>
      </c>
    </row>
    <row r="5" spans="1:24" x14ac:dyDescent="0.25">
      <c r="A5" s="24">
        <v>2</v>
      </c>
      <c r="B5" s="25"/>
      <c r="C5" s="26" t="str">
        <f t="shared" si="0"/>
        <v/>
      </c>
      <c r="D5" s="25"/>
      <c r="E5" s="27"/>
      <c r="F5" s="28"/>
      <c r="G5" s="28"/>
      <c r="H5" s="25"/>
      <c r="I5" s="25"/>
      <c r="J5" s="28"/>
      <c r="K5" s="29" t="str">
        <f t="shared" si="1"/>
        <v/>
      </c>
      <c r="L5" s="25"/>
      <c r="M5" s="29" t="str">
        <f t="shared" si="2"/>
        <v/>
      </c>
      <c r="N5" s="28"/>
      <c r="O5" s="29" t="str">
        <f t="shared" si="3"/>
        <v/>
      </c>
      <c r="P5" s="29" t="str">
        <f t="shared" si="4"/>
        <v/>
      </c>
      <c r="Q5" s="24" t="str">
        <f t="shared" si="5"/>
        <v/>
      </c>
      <c r="R5" s="25"/>
      <c r="S5" s="27"/>
      <c r="T5" s="24" t="str">
        <f t="shared" si="6"/>
        <v/>
      </c>
      <c r="U5" s="24" t="str">
        <f t="shared" si="7"/>
        <v/>
      </c>
      <c r="V5" s="24">
        <f>IF(OR(U5="",D5=""),0,IF(SUMPRODUCT(--(U$4:U5=U5))&gt;1,1,0))</f>
        <v>0</v>
      </c>
      <c r="W5" s="24">
        <f t="shared" si="8"/>
        <v>0</v>
      </c>
      <c r="X5" s="24">
        <f t="shared" si="9"/>
        <v>0</v>
      </c>
    </row>
    <row r="6" spans="1:24" x14ac:dyDescent="0.25">
      <c r="A6" s="24">
        <v>3</v>
      </c>
      <c r="B6" s="25"/>
      <c r="C6" s="26" t="str">
        <f t="shared" si="0"/>
        <v/>
      </c>
      <c r="D6" s="25"/>
      <c r="E6" s="27"/>
      <c r="F6" s="28"/>
      <c r="G6" s="28"/>
      <c r="H6" s="25"/>
      <c r="I6" s="25"/>
      <c r="J6" s="28"/>
      <c r="K6" s="29" t="str">
        <f t="shared" si="1"/>
        <v/>
      </c>
      <c r="L6" s="25"/>
      <c r="M6" s="29" t="str">
        <f t="shared" si="2"/>
        <v/>
      </c>
      <c r="N6" s="28"/>
      <c r="O6" s="29" t="str">
        <f t="shared" si="3"/>
        <v/>
      </c>
      <c r="P6" s="29" t="str">
        <f t="shared" si="4"/>
        <v/>
      </c>
      <c r="Q6" s="24" t="str">
        <f t="shared" si="5"/>
        <v/>
      </c>
      <c r="R6" s="25"/>
      <c r="S6" s="27"/>
      <c r="T6" s="24" t="str">
        <f t="shared" si="6"/>
        <v/>
      </c>
      <c r="U6" s="24" t="str">
        <f t="shared" si="7"/>
        <v/>
      </c>
      <c r="V6" s="24">
        <f>IF(OR(U6="",D6=""),0,IF(SUMPRODUCT(--(U$4:U6=U6))&gt;1,1,0))</f>
        <v>0</v>
      </c>
      <c r="W6" s="24">
        <f t="shared" si="8"/>
        <v>0</v>
      </c>
      <c r="X6" s="24">
        <f t="shared" si="9"/>
        <v>0</v>
      </c>
    </row>
    <row r="7" spans="1:24" x14ac:dyDescent="0.25">
      <c r="A7" s="24">
        <v>4</v>
      </c>
      <c r="B7" s="25"/>
      <c r="C7" s="26" t="str">
        <f t="shared" si="0"/>
        <v/>
      </c>
      <c r="D7" s="25"/>
      <c r="E7" s="27"/>
      <c r="F7" s="28"/>
      <c r="G7" s="28"/>
      <c r="H7" s="25"/>
      <c r="I7" s="25"/>
      <c r="J7" s="28"/>
      <c r="K7" s="29" t="str">
        <f t="shared" si="1"/>
        <v/>
      </c>
      <c r="L7" s="25"/>
      <c r="M7" s="29" t="str">
        <f t="shared" si="2"/>
        <v/>
      </c>
      <c r="N7" s="28"/>
      <c r="O7" s="29" t="str">
        <f t="shared" si="3"/>
        <v/>
      </c>
      <c r="P7" s="29" t="str">
        <f t="shared" si="4"/>
        <v/>
      </c>
      <c r="Q7" s="24" t="str">
        <f t="shared" si="5"/>
        <v/>
      </c>
      <c r="R7" s="25"/>
      <c r="S7" s="27"/>
      <c r="T7" s="24" t="str">
        <f t="shared" si="6"/>
        <v/>
      </c>
      <c r="U7" s="24" t="str">
        <f t="shared" si="7"/>
        <v/>
      </c>
      <c r="V7" s="24">
        <f>IF(OR(U7="",D7=""),0,IF(SUMPRODUCT(--(U$4:U7=U7))&gt;1,1,0))</f>
        <v>0</v>
      </c>
      <c r="W7" s="24">
        <f t="shared" si="8"/>
        <v>0</v>
      </c>
      <c r="X7" s="24">
        <f t="shared" si="9"/>
        <v>0</v>
      </c>
    </row>
    <row r="8" spans="1:24" x14ac:dyDescent="0.25">
      <c r="A8" s="24">
        <v>5</v>
      </c>
      <c r="B8" s="25"/>
      <c r="C8" s="26" t="str">
        <f t="shared" si="0"/>
        <v/>
      </c>
      <c r="D8" s="25"/>
      <c r="E8" s="27"/>
      <c r="F8" s="28"/>
      <c r="G8" s="28"/>
      <c r="H8" s="25"/>
      <c r="I8" s="25"/>
      <c r="J8" s="28"/>
      <c r="K8" s="29" t="str">
        <f t="shared" si="1"/>
        <v/>
      </c>
      <c r="L8" s="25"/>
      <c r="M8" s="29" t="str">
        <f t="shared" si="2"/>
        <v/>
      </c>
      <c r="N8" s="28"/>
      <c r="O8" s="29" t="str">
        <f t="shared" si="3"/>
        <v/>
      </c>
      <c r="P8" s="29" t="str">
        <f t="shared" si="4"/>
        <v/>
      </c>
      <c r="Q8" s="24" t="str">
        <f t="shared" si="5"/>
        <v/>
      </c>
      <c r="R8" s="25"/>
      <c r="S8" s="27"/>
      <c r="T8" s="24" t="str">
        <f t="shared" si="6"/>
        <v/>
      </c>
      <c r="U8" s="24" t="str">
        <f t="shared" si="7"/>
        <v/>
      </c>
      <c r="V8" s="24">
        <f>IF(OR(U8="",D8=""),0,IF(SUMPRODUCT(--(U$4:U8=U8))&gt;1,1,0))</f>
        <v>0</v>
      </c>
      <c r="W8" s="24">
        <f t="shared" si="8"/>
        <v>0</v>
      </c>
      <c r="X8" s="24">
        <f t="shared" si="9"/>
        <v>0</v>
      </c>
    </row>
    <row r="9" spans="1:24" x14ac:dyDescent="0.25">
      <c r="A9" s="24">
        <v>6</v>
      </c>
      <c r="B9" s="25"/>
      <c r="C9" s="26" t="str">
        <f t="shared" si="0"/>
        <v/>
      </c>
      <c r="D9" s="25"/>
      <c r="E9" s="27"/>
      <c r="F9" s="28"/>
      <c r="G9" s="28"/>
      <c r="H9" s="25"/>
      <c r="I9" s="25"/>
      <c r="J9" s="28"/>
      <c r="K9" s="29" t="str">
        <f t="shared" si="1"/>
        <v/>
      </c>
      <c r="L9" s="25"/>
      <c r="M9" s="29" t="str">
        <f t="shared" si="2"/>
        <v/>
      </c>
      <c r="N9" s="28"/>
      <c r="O9" s="29" t="str">
        <f t="shared" si="3"/>
        <v/>
      </c>
      <c r="P9" s="29" t="str">
        <f t="shared" si="4"/>
        <v/>
      </c>
      <c r="Q9" s="24" t="str">
        <f t="shared" si="5"/>
        <v/>
      </c>
      <c r="R9" s="25"/>
      <c r="S9" s="27"/>
      <c r="T9" s="24" t="str">
        <f t="shared" si="6"/>
        <v/>
      </c>
      <c r="U9" s="24" t="str">
        <f t="shared" si="7"/>
        <v/>
      </c>
      <c r="V9" s="24">
        <f>IF(OR(U9="",D9=""),0,IF(SUMPRODUCT(--(U$4:U9=U9))&gt;1,1,0))</f>
        <v>0</v>
      </c>
      <c r="W9" s="24">
        <f t="shared" si="8"/>
        <v>0</v>
      </c>
      <c r="X9" s="24">
        <f t="shared" si="9"/>
        <v>0</v>
      </c>
    </row>
    <row r="10" spans="1:24" x14ac:dyDescent="0.25">
      <c r="A10" s="24">
        <v>7</v>
      </c>
      <c r="B10" s="25"/>
      <c r="C10" s="26" t="str">
        <f t="shared" si="0"/>
        <v/>
      </c>
      <c r="D10" s="25"/>
      <c r="E10" s="27"/>
      <c r="F10" s="28"/>
      <c r="G10" s="28"/>
      <c r="H10" s="25"/>
      <c r="I10" s="25"/>
      <c r="J10" s="28"/>
      <c r="K10" s="29" t="str">
        <f t="shared" si="1"/>
        <v/>
      </c>
      <c r="L10" s="25"/>
      <c r="M10" s="29" t="str">
        <f t="shared" si="2"/>
        <v/>
      </c>
      <c r="N10" s="28"/>
      <c r="O10" s="29" t="str">
        <f t="shared" si="3"/>
        <v/>
      </c>
      <c r="P10" s="29" t="str">
        <f t="shared" si="4"/>
        <v/>
      </c>
      <c r="Q10" s="24" t="str">
        <f t="shared" si="5"/>
        <v/>
      </c>
      <c r="R10" s="25"/>
      <c r="S10" s="27"/>
      <c r="T10" s="24" t="str">
        <f t="shared" si="6"/>
        <v/>
      </c>
      <c r="U10" s="24" t="str">
        <f t="shared" si="7"/>
        <v/>
      </c>
      <c r="V10" s="24">
        <f>IF(OR(U10="",D10=""),0,IF(SUMPRODUCT(--(U$4:U10=U10))&gt;1,1,0))</f>
        <v>0</v>
      </c>
      <c r="W10" s="24">
        <f t="shared" si="8"/>
        <v>0</v>
      </c>
      <c r="X10" s="24">
        <f t="shared" si="9"/>
        <v>0</v>
      </c>
    </row>
    <row r="11" spans="1:24" x14ac:dyDescent="0.25">
      <c r="A11" s="24">
        <v>8</v>
      </c>
      <c r="B11" s="25"/>
      <c r="C11" s="26" t="str">
        <f t="shared" si="0"/>
        <v/>
      </c>
      <c r="D11" s="25"/>
      <c r="E11" s="27"/>
      <c r="F11" s="28"/>
      <c r="G11" s="28"/>
      <c r="H11" s="25"/>
      <c r="I11" s="25"/>
      <c r="J11" s="28"/>
      <c r="K11" s="29" t="str">
        <f t="shared" si="1"/>
        <v/>
      </c>
      <c r="L11" s="25"/>
      <c r="M11" s="29" t="str">
        <f t="shared" si="2"/>
        <v/>
      </c>
      <c r="N11" s="28"/>
      <c r="O11" s="29" t="str">
        <f t="shared" si="3"/>
        <v/>
      </c>
      <c r="P11" s="29" t="str">
        <f t="shared" si="4"/>
        <v/>
      </c>
      <c r="Q11" s="24" t="str">
        <f t="shared" si="5"/>
        <v/>
      </c>
      <c r="R11" s="25"/>
      <c r="S11" s="27"/>
      <c r="T11" s="24" t="str">
        <f t="shared" si="6"/>
        <v/>
      </c>
      <c r="U11" s="24" t="str">
        <f t="shared" si="7"/>
        <v/>
      </c>
      <c r="V11" s="24">
        <f>IF(OR(U11="",D11=""),0,IF(SUMPRODUCT(--(U$4:U11=U11))&gt;1,1,0))</f>
        <v>0</v>
      </c>
      <c r="W11" s="24">
        <f t="shared" si="8"/>
        <v>0</v>
      </c>
      <c r="X11" s="24">
        <f t="shared" si="9"/>
        <v>0</v>
      </c>
    </row>
    <row r="12" spans="1:24" x14ac:dyDescent="0.25">
      <c r="A12" s="24">
        <v>9</v>
      </c>
      <c r="B12" s="25"/>
      <c r="C12" s="26" t="str">
        <f t="shared" si="0"/>
        <v/>
      </c>
      <c r="D12" s="25"/>
      <c r="E12" s="27"/>
      <c r="F12" s="28"/>
      <c r="G12" s="28"/>
      <c r="H12" s="25"/>
      <c r="I12" s="25"/>
      <c r="J12" s="28"/>
      <c r="K12" s="29" t="str">
        <f t="shared" si="1"/>
        <v/>
      </c>
      <c r="L12" s="25"/>
      <c r="M12" s="29" t="str">
        <f t="shared" si="2"/>
        <v/>
      </c>
      <c r="N12" s="28"/>
      <c r="O12" s="29" t="str">
        <f t="shared" si="3"/>
        <v/>
      </c>
      <c r="P12" s="29" t="str">
        <f t="shared" si="4"/>
        <v/>
      </c>
      <c r="Q12" s="24" t="str">
        <f t="shared" si="5"/>
        <v/>
      </c>
      <c r="R12" s="25"/>
      <c r="S12" s="27"/>
      <c r="T12" s="24" t="str">
        <f t="shared" si="6"/>
        <v/>
      </c>
      <c r="U12" s="24" t="str">
        <f t="shared" si="7"/>
        <v/>
      </c>
      <c r="V12" s="24">
        <f>IF(OR(U12="",D12=""),0,IF(SUMPRODUCT(--(U$4:U12=U12))&gt;1,1,0))</f>
        <v>0</v>
      </c>
      <c r="W12" s="24">
        <f t="shared" si="8"/>
        <v>0</v>
      </c>
      <c r="X12" s="24">
        <f t="shared" si="9"/>
        <v>0</v>
      </c>
    </row>
    <row r="13" spans="1:24" x14ac:dyDescent="0.25">
      <c r="A13" s="24">
        <v>10</v>
      </c>
      <c r="B13" s="25"/>
      <c r="C13" s="26" t="str">
        <f t="shared" si="0"/>
        <v/>
      </c>
      <c r="D13" s="25"/>
      <c r="E13" s="27"/>
      <c r="F13" s="28"/>
      <c r="G13" s="28"/>
      <c r="H13" s="25"/>
      <c r="I13" s="25"/>
      <c r="J13" s="28"/>
      <c r="K13" s="29" t="str">
        <f t="shared" si="1"/>
        <v/>
      </c>
      <c r="L13" s="25"/>
      <c r="M13" s="29" t="str">
        <f t="shared" si="2"/>
        <v/>
      </c>
      <c r="N13" s="28"/>
      <c r="O13" s="29" t="str">
        <f t="shared" si="3"/>
        <v/>
      </c>
      <c r="P13" s="29" t="str">
        <f t="shared" si="4"/>
        <v/>
      </c>
      <c r="Q13" s="24" t="str">
        <f t="shared" si="5"/>
        <v/>
      </c>
      <c r="R13" s="25"/>
      <c r="S13" s="27"/>
      <c r="T13" s="24" t="str">
        <f t="shared" si="6"/>
        <v/>
      </c>
      <c r="U13" s="24" t="str">
        <f t="shared" si="7"/>
        <v/>
      </c>
      <c r="V13" s="24">
        <f>IF(OR(U13="",D13=""),0,IF(SUMPRODUCT(--(U$4:U13=U13))&gt;1,1,0))</f>
        <v>0</v>
      </c>
      <c r="W13" s="24">
        <f t="shared" si="8"/>
        <v>0</v>
      </c>
      <c r="X13" s="24">
        <f t="shared" si="9"/>
        <v>0</v>
      </c>
    </row>
    <row r="14" spans="1:24" x14ac:dyDescent="0.25">
      <c r="A14" s="24">
        <v>11</v>
      </c>
      <c r="B14" s="25"/>
      <c r="C14" s="26" t="str">
        <f t="shared" si="0"/>
        <v/>
      </c>
      <c r="D14" s="25"/>
      <c r="E14" s="27"/>
      <c r="F14" s="28"/>
      <c r="G14" s="28"/>
      <c r="H14" s="25"/>
      <c r="I14" s="25"/>
      <c r="J14" s="28"/>
      <c r="K14" s="29" t="str">
        <f t="shared" si="1"/>
        <v/>
      </c>
      <c r="L14" s="25"/>
      <c r="M14" s="29" t="str">
        <f t="shared" si="2"/>
        <v/>
      </c>
      <c r="N14" s="28"/>
      <c r="O14" s="29" t="str">
        <f t="shared" si="3"/>
        <v/>
      </c>
      <c r="P14" s="29" t="str">
        <f t="shared" si="4"/>
        <v/>
      </c>
      <c r="Q14" s="24" t="str">
        <f t="shared" si="5"/>
        <v/>
      </c>
      <c r="R14" s="25"/>
      <c r="S14" s="27"/>
      <c r="T14" s="24" t="str">
        <f t="shared" si="6"/>
        <v/>
      </c>
      <c r="U14" s="24" t="str">
        <f t="shared" si="7"/>
        <v/>
      </c>
      <c r="V14" s="24">
        <f>IF(OR(U14="",D14=""),0,IF(SUMPRODUCT(--(U$4:U14=U14))&gt;1,1,0))</f>
        <v>0</v>
      </c>
      <c r="W14" s="24">
        <f t="shared" si="8"/>
        <v>0</v>
      </c>
      <c r="X14" s="24">
        <f t="shared" si="9"/>
        <v>0</v>
      </c>
    </row>
    <row r="15" spans="1:24" x14ac:dyDescent="0.25">
      <c r="A15" s="24">
        <v>12</v>
      </c>
      <c r="B15" s="25"/>
      <c r="C15" s="26" t="str">
        <f t="shared" si="0"/>
        <v/>
      </c>
      <c r="D15" s="25"/>
      <c r="E15" s="27"/>
      <c r="F15" s="28"/>
      <c r="G15" s="28"/>
      <c r="H15" s="25"/>
      <c r="I15" s="25"/>
      <c r="J15" s="28"/>
      <c r="K15" s="29" t="str">
        <f t="shared" si="1"/>
        <v/>
      </c>
      <c r="L15" s="25"/>
      <c r="M15" s="29" t="str">
        <f t="shared" si="2"/>
        <v/>
      </c>
      <c r="N15" s="28"/>
      <c r="O15" s="29" t="str">
        <f t="shared" si="3"/>
        <v/>
      </c>
      <c r="P15" s="29" t="str">
        <f t="shared" si="4"/>
        <v/>
      </c>
      <c r="Q15" s="24" t="str">
        <f t="shared" si="5"/>
        <v/>
      </c>
      <c r="R15" s="25"/>
      <c r="S15" s="27"/>
      <c r="T15" s="24" t="str">
        <f t="shared" si="6"/>
        <v/>
      </c>
      <c r="U15" s="24" t="str">
        <f t="shared" si="7"/>
        <v/>
      </c>
      <c r="V15" s="24">
        <f>IF(OR(U15="",D15=""),0,IF(SUMPRODUCT(--(U$4:U15=U15))&gt;1,1,0))</f>
        <v>0</v>
      </c>
      <c r="W15" s="24">
        <f t="shared" si="8"/>
        <v>0</v>
      </c>
      <c r="X15" s="24">
        <f t="shared" si="9"/>
        <v>0</v>
      </c>
    </row>
    <row r="16" spans="1:24" x14ac:dyDescent="0.25">
      <c r="A16" s="24">
        <v>13</v>
      </c>
      <c r="B16" s="25"/>
      <c r="C16" s="26" t="str">
        <f t="shared" si="0"/>
        <v/>
      </c>
      <c r="D16" s="25"/>
      <c r="E16" s="27"/>
      <c r="F16" s="28"/>
      <c r="G16" s="28"/>
      <c r="H16" s="25"/>
      <c r="I16" s="25"/>
      <c r="J16" s="28"/>
      <c r="K16" s="29" t="str">
        <f t="shared" si="1"/>
        <v/>
      </c>
      <c r="L16" s="25"/>
      <c r="M16" s="29" t="str">
        <f t="shared" si="2"/>
        <v/>
      </c>
      <c r="N16" s="28"/>
      <c r="O16" s="29" t="str">
        <f t="shared" si="3"/>
        <v/>
      </c>
      <c r="P16" s="29" t="str">
        <f t="shared" si="4"/>
        <v/>
      </c>
      <c r="Q16" s="24" t="str">
        <f t="shared" si="5"/>
        <v/>
      </c>
      <c r="R16" s="25"/>
      <c r="S16" s="27"/>
      <c r="T16" s="24" t="str">
        <f t="shared" si="6"/>
        <v/>
      </c>
      <c r="U16" s="24" t="str">
        <f t="shared" si="7"/>
        <v/>
      </c>
      <c r="V16" s="24">
        <f>IF(OR(U16="",D16=""),0,IF(SUMPRODUCT(--(U$4:U16=U16))&gt;1,1,0))</f>
        <v>0</v>
      </c>
      <c r="W16" s="24">
        <f t="shared" si="8"/>
        <v>0</v>
      </c>
      <c r="X16" s="24">
        <f t="shared" si="9"/>
        <v>0</v>
      </c>
    </row>
    <row r="17" spans="1:24" x14ac:dyDescent="0.25">
      <c r="A17" s="24">
        <v>14</v>
      </c>
      <c r="B17" s="25"/>
      <c r="C17" s="26" t="str">
        <f t="shared" si="0"/>
        <v/>
      </c>
      <c r="D17" s="25"/>
      <c r="E17" s="27"/>
      <c r="F17" s="28"/>
      <c r="G17" s="28"/>
      <c r="H17" s="25"/>
      <c r="I17" s="25"/>
      <c r="J17" s="28"/>
      <c r="K17" s="29" t="str">
        <f t="shared" si="1"/>
        <v/>
      </c>
      <c r="L17" s="25"/>
      <c r="M17" s="29" t="str">
        <f t="shared" si="2"/>
        <v/>
      </c>
      <c r="N17" s="28"/>
      <c r="O17" s="29" t="str">
        <f t="shared" si="3"/>
        <v/>
      </c>
      <c r="P17" s="29" t="str">
        <f t="shared" si="4"/>
        <v/>
      </c>
      <c r="Q17" s="24" t="str">
        <f t="shared" si="5"/>
        <v/>
      </c>
      <c r="R17" s="25"/>
      <c r="S17" s="27"/>
      <c r="T17" s="24" t="str">
        <f t="shared" si="6"/>
        <v/>
      </c>
      <c r="U17" s="24" t="str">
        <f t="shared" si="7"/>
        <v/>
      </c>
      <c r="V17" s="24">
        <f>IF(OR(U17="",D17=""),0,IF(SUMPRODUCT(--(U$4:U17=U17))&gt;1,1,0))</f>
        <v>0</v>
      </c>
      <c r="W17" s="24">
        <f t="shared" si="8"/>
        <v>0</v>
      </c>
      <c r="X17" s="24">
        <f t="shared" si="9"/>
        <v>0</v>
      </c>
    </row>
    <row r="18" spans="1:24" x14ac:dyDescent="0.25">
      <c r="A18" s="24">
        <v>15</v>
      </c>
      <c r="B18" s="25"/>
      <c r="C18" s="26" t="str">
        <f t="shared" si="0"/>
        <v/>
      </c>
      <c r="D18" s="25"/>
      <c r="E18" s="27"/>
      <c r="F18" s="28"/>
      <c r="G18" s="28"/>
      <c r="H18" s="25"/>
      <c r="I18" s="25"/>
      <c r="J18" s="28"/>
      <c r="K18" s="29" t="str">
        <f t="shared" si="1"/>
        <v/>
      </c>
      <c r="L18" s="25"/>
      <c r="M18" s="29" t="str">
        <f t="shared" si="2"/>
        <v/>
      </c>
      <c r="N18" s="28"/>
      <c r="O18" s="29" t="str">
        <f t="shared" si="3"/>
        <v/>
      </c>
      <c r="P18" s="29" t="str">
        <f t="shared" si="4"/>
        <v/>
      </c>
      <c r="Q18" s="24" t="str">
        <f t="shared" si="5"/>
        <v/>
      </c>
      <c r="R18" s="25"/>
      <c r="S18" s="27"/>
      <c r="T18" s="24" t="str">
        <f t="shared" si="6"/>
        <v/>
      </c>
      <c r="U18" s="24" t="str">
        <f t="shared" si="7"/>
        <v/>
      </c>
      <c r="V18" s="24">
        <f>IF(OR(U18="",D18=""),0,IF(SUMPRODUCT(--(U$4:U18=U18))&gt;1,1,0))</f>
        <v>0</v>
      </c>
      <c r="W18" s="24">
        <f t="shared" si="8"/>
        <v>0</v>
      </c>
      <c r="X18" s="24">
        <f t="shared" si="9"/>
        <v>0</v>
      </c>
    </row>
    <row r="19" spans="1:24" x14ac:dyDescent="0.25">
      <c r="A19" s="24">
        <v>16</v>
      </c>
      <c r="B19" s="25"/>
      <c r="C19" s="26" t="str">
        <f t="shared" si="0"/>
        <v/>
      </c>
      <c r="D19" s="25"/>
      <c r="E19" s="27"/>
      <c r="F19" s="28"/>
      <c r="G19" s="28"/>
      <c r="H19" s="25"/>
      <c r="I19" s="25"/>
      <c r="J19" s="28"/>
      <c r="K19" s="29" t="str">
        <f t="shared" si="1"/>
        <v/>
      </c>
      <c r="L19" s="25"/>
      <c r="M19" s="29" t="str">
        <f t="shared" si="2"/>
        <v/>
      </c>
      <c r="N19" s="28"/>
      <c r="O19" s="29" t="str">
        <f t="shared" si="3"/>
        <v/>
      </c>
      <c r="P19" s="29" t="str">
        <f t="shared" si="4"/>
        <v/>
      </c>
      <c r="Q19" s="24" t="str">
        <f t="shared" si="5"/>
        <v/>
      </c>
      <c r="R19" s="25"/>
      <c r="S19" s="27"/>
      <c r="T19" s="24" t="str">
        <f t="shared" si="6"/>
        <v/>
      </c>
      <c r="U19" s="24" t="str">
        <f t="shared" si="7"/>
        <v/>
      </c>
      <c r="V19" s="24">
        <f>IF(OR(U19="",D19=""),0,IF(SUMPRODUCT(--(U$4:U19=U19))&gt;1,1,0))</f>
        <v>0</v>
      </c>
      <c r="W19" s="24">
        <f t="shared" si="8"/>
        <v>0</v>
      </c>
      <c r="X19" s="24">
        <f t="shared" si="9"/>
        <v>0</v>
      </c>
    </row>
    <row r="20" spans="1:24" x14ac:dyDescent="0.25">
      <c r="A20" s="24">
        <v>17</v>
      </c>
      <c r="B20" s="25"/>
      <c r="C20" s="26" t="str">
        <f t="shared" si="0"/>
        <v/>
      </c>
      <c r="D20" s="25"/>
      <c r="E20" s="27"/>
      <c r="F20" s="28"/>
      <c r="G20" s="28"/>
      <c r="H20" s="25"/>
      <c r="I20" s="25"/>
      <c r="J20" s="28"/>
      <c r="K20" s="29" t="str">
        <f t="shared" si="1"/>
        <v/>
      </c>
      <c r="L20" s="25"/>
      <c r="M20" s="29" t="str">
        <f t="shared" si="2"/>
        <v/>
      </c>
      <c r="N20" s="28"/>
      <c r="O20" s="29" t="str">
        <f t="shared" si="3"/>
        <v/>
      </c>
      <c r="P20" s="29" t="str">
        <f t="shared" si="4"/>
        <v/>
      </c>
      <c r="Q20" s="24" t="str">
        <f t="shared" si="5"/>
        <v/>
      </c>
      <c r="R20" s="25"/>
      <c r="S20" s="27"/>
      <c r="T20" s="24" t="str">
        <f t="shared" si="6"/>
        <v/>
      </c>
      <c r="U20" s="24" t="str">
        <f t="shared" si="7"/>
        <v/>
      </c>
      <c r="V20" s="24">
        <f>IF(OR(U20="",D20=""),0,IF(SUMPRODUCT(--(U$4:U20=U20))&gt;1,1,0))</f>
        <v>0</v>
      </c>
      <c r="W20" s="24">
        <f t="shared" si="8"/>
        <v>0</v>
      </c>
      <c r="X20" s="24">
        <f t="shared" si="9"/>
        <v>0</v>
      </c>
    </row>
    <row r="21" spans="1:24" x14ac:dyDescent="0.25">
      <c r="A21" s="24">
        <v>18</v>
      </c>
      <c r="B21" s="25"/>
      <c r="C21" s="26" t="str">
        <f t="shared" si="0"/>
        <v/>
      </c>
      <c r="D21" s="25"/>
      <c r="E21" s="27"/>
      <c r="F21" s="28"/>
      <c r="G21" s="28"/>
      <c r="H21" s="25"/>
      <c r="I21" s="25"/>
      <c r="J21" s="28"/>
      <c r="K21" s="29" t="str">
        <f t="shared" si="1"/>
        <v/>
      </c>
      <c r="L21" s="25"/>
      <c r="M21" s="29" t="str">
        <f t="shared" si="2"/>
        <v/>
      </c>
      <c r="N21" s="28"/>
      <c r="O21" s="29" t="str">
        <f t="shared" si="3"/>
        <v/>
      </c>
      <c r="P21" s="29" t="str">
        <f t="shared" si="4"/>
        <v/>
      </c>
      <c r="Q21" s="24" t="str">
        <f t="shared" si="5"/>
        <v/>
      </c>
      <c r="R21" s="25"/>
      <c r="S21" s="27"/>
      <c r="T21" s="24" t="str">
        <f t="shared" si="6"/>
        <v/>
      </c>
      <c r="U21" s="24" t="str">
        <f t="shared" si="7"/>
        <v/>
      </c>
      <c r="V21" s="24">
        <f>IF(OR(U21="",D21=""),0,IF(SUMPRODUCT(--(U$4:U21=U21))&gt;1,1,0))</f>
        <v>0</v>
      </c>
      <c r="W21" s="24">
        <f t="shared" si="8"/>
        <v>0</v>
      </c>
      <c r="X21" s="24">
        <f t="shared" si="9"/>
        <v>0</v>
      </c>
    </row>
    <row r="22" spans="1:24" x14ac:dyDescent="0.25">
      <c r="A22" s="24">
        <v>19</v>
      </c>
      <c r="B22" s="25"/>
      <c r="C22" s="26" t="str">
        <f t="shared" si="0"/>
        <v/>
      </c>
      <c r="D22" s="25"/>
      <c r="E22" s="27"/>
      <c r="F22" s="28"/>
      <c r="G22" s="28"/>
      <c r="H22" s="25"/>
      <c r="I22" s="25"/>
      <c r="J22" s="28"/>
      <c r="K22" s="29" t="str">
        <f t="shared" si="1"/>
        <v/>
      </c>
      <c r="L22" s="25"/>
      <c r="M22" s="29" t="str">
        <f t="shared" si="2"/>
        <v/>
      </c>
      <c r="N22" s="28"/>
      <c r="O22" s="29" t="str">
        <f t="shared" si="3"/>
        <v/>
      </c>
      <c r="P22" s="29" t="str">
        <f t="shared" si="4"/>
        <v/>
      </c>
      <c r="Q22" s="24" t="str">
        <f t="shared" si="5"/>
        <v/>
      </c>
      <c r="R22" s="25"/>
      <c r="S22" s="27"/>
      <c r="T22" s="24" t="str">
        <f t="shared" si="6"/>
        <v/>
      </c>
      <c r="U22" s="24" t="str">
        <f t="shared" si="7"/>
        <v/>
      </c>
      <c r="V22" s="24">
        <f>IF(OR(U22="",D22=""),0,IF(SUMPRODUCT(--(U$4:U22=U22))&gt;1,1,0))</f>
        <v>0</v>
      </c>
      <c r="W22" s="24">
        <f t="shared" si="8"/>
        <v>0</v>
      </c>
      <c r="X22" s="24">
        <f t="shared" si="9"/>
        <v>0</v>
      </c>
    </row>
    <row r="23" spans="1:24" x14ac:dyDescent="0.25">
      <c r="A23" s="24">
        <v>20</v>
      </c>
      <c r="B23" s="25"/>
      <c r="C23" s="26" t="str">
        <f t="shared" si="0"/>
        <v/>
      </c>
      <c r="D23" s="25"/>
      <c r="E23" s="27"/>
      <c r="F23" s="28"/>
      <c r="G23" s="28"/>
      <c r="H23" s="25"/>
      <c r="I23" s="25"/>
      <c r="J23" s="28"/>
      <c r="K23" s="29" t="str">
        <f t="shared" si="1"/>
        <v/>
      </c>
      <c r="L23" s="25"/>
      <c r="M23" s="29" t="str">
        <f t="shared" si="2"/>
        <v/>
      </c>
      <c r="N23" s="28"/>
      <c r="O23" s="29" t="str">
        <f t="shared" si="3"/>
        <v/>
      </c>
      <c r="P23" s="29" t="str">
        <f t="shared" si="4"/>
        <v/>
      </c>
      <c r="Q23" s="24" t="str">
        <f t="shared" si="5"/>
        <v/>
      </c>
      <c r="R23" s="25"/>
      <c r="S23" s="27"/>
      <c r="T23" s="24" t="str">
        <f t="shared" si="6"/>
        <v/>
      </c>
      <c r="U23" s="24" t="str">
        <f t="shared" si="7"/>
        <v/>
      </c>
      <c r="V23" s="24">
        <f>IF(OR(U23="",D23=""),0,IF(SUMPRODUCT(--(U$4:U23=U23))&gt;1,1,0))</f>
        <v>0</v>
      </c>
      <c r="W23" s="24">
        <f t="shared" si="8"/>
        <v>0</v>
      </c>
      <c r="X23" s="24">
        <f t="shared" si="9"/>
        <v>0</v>
      </c>
    </row>
    <row r="24" spans="1:24" x14ac:dyDescent="0.25">
      <c r="A24" s="24">
        <v>21</v>
      </c>
      <c r="B24" s="25"/>
      <c r="C24" s="26" t="str">
        <f t="shared" si="0"/>
        <v/>
      </c>
      <c r="D24" s="25"/>
      <c r="E24" s="27"/>
      <c r="F24" s="28"/>
      <c r="G24" s="28"/>
      <c r="H24" s="25"/>
      <c r="I24" s="25"/>
      <c r="J24" s="28"/>
      <c r="K24" s="29" t="str">
        <f t="shared" si="1"/>
        <v/>
      </c>
      <c r="L24" s="25"/>
      <c r="M24" s="29" t="str">
        <f t="shared" si="2"/>
        <v/>
      </c>
      <c r="N24" s="28"/>
      <c r="O24" s="29" t="str">
        <f t="shared" si="3"/>
        <v/>
      </c>
      <c r="P24" s="29" t="str">
        <f t="shared" si="4"/>
        <v/>
      </c>
      <c r="Q24" s="24" t="str">
        <f t="shared" si="5"/>
        <v/>
      </c>
      <c r="R24" s="25"/>
      <c r="S24" s="27"/>
      <c r="T24" s="24" t="str">
        <f t="shared" si="6"/>
        <v/>
      </c>
      <c r="U24" s="24" t="str">
        <f t="shared" si="7"/>
        <v/>
      </c>
      <c r="V24" s="24">
        <f>IF(OR(U24="",D24=""),0,IF(SUMPRODUCT(--(U$4:U24=U24))&gt;1,1,0))</f>
        <v>0</v>
      </c>
      <c r="W24" s="24">
        <f t="shared" si="8"/>
        <v>0</v>
      </c>
      <c r="X24" s="24">
        <f t="shared" si="9"/>
        <v>0</v>
      </c>
    </row>
    <row r="25" spans="1:24" x14ac:dyDescent="0.25">
      <c r="A25" s="24">
        <v>22</v>
      </c>
      <c r="B25" s="25"/>
      <c r="C25" s="26" t="str">
        <f t="shared" si="0"/>
        <v/>
      </c>
      <c r="D25" s="25"/>
      <c r="E25" s="27"/>
      <c r="F25" s="28"/>
      <c r="G25" s="28"/>
      <c r="H25" s="25"/>
      <c r="I25" s="25"/>
      <c r="J25" s="28"/>
      <c r="K25" s="29" t="str">
        <f t="shared" si="1"/>
        <v/>
      </c>
      <c r="L25" s="25"/>
      <c r="M25" s="29" t="str">
        <f t="shared" si="2"/>
        <v/>
      </c>
      <c r="N25" s="28"/>
      <c r="O25" s="29" t="str">
        <f t="shared" si="3"/>
        <v/>
      </c>
      <c r="P25" s="29" t="str">
        <f t="shared" si="4"/>
        <v/>
      </c>
      <c r="Q25" s="24" t="str">
        <f t="shared" si="5"/>
        <v/>
      </c>
      <c r="R25" s="25"/>
      <c r="S25" s="27"/>
      <c r="T25" s="24" t="str">
        <f t="shared" si="6"/>
        <v/>
      </c>
      <c r="U25" s="24" t="str">
        <f t="shared" si="7"/>
        <v/>
      </c>
      <c r="V25" s="24">
        <f>IF(OR(U25="",D25=""),0,IF(SUMPRODUCT(--(U$4:U25=U25))&gt;1,1,0))</f>
        <v>0</v>
      </c>
      <c r="W25" s="24">
        <f t="shared" si="8"/>
        <v>0</v>
      </c>
      <c r="X25" s="24">
        <f t="shared" si="9"/>
        <v>0</v>
      </c>
    </row>
    <row r="26" spans="1:24" x14ac:dyDescent="0.25">
      <c r="A26" s="24">
        <v>23</v>
      </c>
      <c r="B26" s="25"/>
      <c r="C26" s="26" t="str">
        <f t="shared" si="0"/>
        <v/>
      </c>
      <c r="D26" s="25"/>
      <c r="E26" s="27"/>
      <c r="F26" s="28"/>
      <c r="G26" s="28"/>
      <c r="H26" s="25"/>
      <c r="I26" s="25"/>
      <c r="J26" s="28"/>
      <c r="K26" s="29" t="str">
        <f t="shared" si="1"/>
        <v/>
      </c>
      <c r="L26" s="25"/>
      <c r="M26" s="29" t="str">
        <f t="shared" si="2"/>
        <v/>
      </c>
      <c r="N26" s="28"/>
      <c r="O26" s="29" t="str">
        <f t="shared" si="3"/>
        <v/>
      </c>
      <c r="P26" s="29" t="str">
        <f t="shared" si="4"/>
        <v/>
      </c>
      <c r="Q26" s="24" t="str">
        <f t="shared" si="5"/>
        <v/>
      </c>
      <c r="R26" s="25"/>
      <c r="S26" s="27"/>
      <c r="T26" s="24" t="str">
        <f t="shared" si="6"/>
        <v/>
      </c>
      <c r="U26" s="24" t="str">
        <f t="shared" si="7"/>
        <v/>
      </c>
      <c r="V26" s="24">
        <f>IF(OR(U26="",D26=""),0,IF(SUMPRODUCT(--(U$4:U26=U26))&gt;1,1,0))</f>
        <v>0</v>
      </c>
      <c r="W26" s="24">
        <f t="shared" si="8"/>
        <v>0</v>
      </c>
      <c r="X26" s="24">
        <f t="shared" si="9"/>
        <v>0</v>
      </c>
    </row>
    <row r="27" spans="1:24" x14ac:dyDescent="0.25">
      <c r="A27" s="24">
        <v>24</v>
      </c>
      <c r="B27" s="25"/>
      <c r="C27" s="26" t="str">
        <f t="shared" si="0"/>
        <v/>
      </c>
      <c r="D27" s="25"/>
      <c r="E27" s="27"/>
      <c r="F27" s="28"/>
      <c r="G27" s="28"/>
      <c r="H27" s="25"/>
      <c r="I27" s="25"/>
      <c r="J27" s="28"/>
      <c r="K27" s="29" t="str">
        <f t="shared" si="1"/>
        <v/>
      </c>
      <c r="L27" s="25"/>
      <c r="M27" s="29" t="str">
        <f t="shared" si="2"/>
        <v/>
      </c>
      <c r="N27" s="28"/>
      <c r="O27" s="29" t="str">
        <f t="shared" si="3"/>
        <v/>
      </c>
      <c r="P27" s="29" t="str">
        <f t="shared" si="4"/>
        <v/>
      </c>
      <c r="Q27" s="24" t="str">
        <f t="shared" si="5"/>
        <v/>
      </c>
      <c r="R27" s="25"/>
      <c r="S27" s="27"/>
      <c r="T27" s="24" t="str">
        <f t="shared" si="6"/>
        <v/>
      </c>
      <c r="U27" s="24" t="str">
        <f t="shared" si="7"/>
        <v/>
      </c>
      <c r="V27" s="24">
        <f>IF(OR(U27="",D27=""),0,IF(SUMPRODUCT(--(U$4:U27=U27))&gt;1,1,0))</f>
        <v>0</v>
      </c>
      <c r="W27" s="24">
        <f t="shared" si="8"/>
        <v>0</v>
      </c>
      <c r="X27" s="24">
        <f t="shared" si="9"/>
        <v>0</v>
      </c>
    </row>
    <row r="28" spans="1:24" x14ac:dyDescent="0.25">
      <c r="A28" s="24">
        <v>25</v>
      </c>
      <c r="B28" s="25"/>
      <c r="C28" s="26" t="str">
        <f t="shared" si="0"/>
        <v/>
      </c>
      <c r="D28" s="25"/>
      <c r="E28" s="27"/>
      <c r="F28" s="28"/>
      <c r="G28" s="28"/>
      <c r="H28" s="25"/>
      <c r="I28" s="25"/>
      <c r="J28" s="28"/>
      <c r="K28" s="29" t="str">
        <f t="shared" si="1"/>
        <v/>
      </c>
      <c r="L28" s="25"/>
      <c r="M28" s="29" t="str">
        <f t="shared" si="2"/>
        <v/>
      </c>
      <c r="N28" s="28"/>
      <c r="O28" s="29" t="str">
        <f t="shared" si="3"/>
        <v/>
      </c>
      <c r="P28" s="29" t="str">
        <f t="shared" si="4"/>
        <v/>
      </c>
      <c r="Q28" s="24" t="str">
        <f t="shared" si="5"/>
        <v/>
      </c>
      <c r="R28" s="25"/>
      <c r="S28" s="27"/>
      <c r="T28" s="24" t="str">
        <f t="shared" si="6"/>
        <v/>
      </c>
      <c r="U28" s="24" t="str">
        <f t="shared" si="7"/>
        <v/>
      </c>
      <c r="V28" s="24">
        <f>IF(OR(U28="",D28=""),0,IF(SUMPRODUCT(--(U$4:U28=U28))&gt;1,1,0))</f>
        <v>0</v>
      </c>
      <c r="W28" s="24">
        <f t="shared" si="8"/>
        <v>0</v>
      </c>
      <c r="X28" s="24">
        <f t="shared" si="9"/>
        <v>0</v>
      </c>
    </row>
    <row r="29" spans="1:24" x14ac:dyDescent="0.25">
      <c r="A29" s="24">
        <v>26</v>
      </c>
      <c r="B29" s="25"/>
      <c r="C29" s="26" t="str">
        <f t="shared" si="0"/>
        <v/>
      </c>
      <c r="D29" s="25"/>
      <c r="E29" s="27"/>
      <c r="F29" s="28"/>
      <c r="G29" s="28"/>
      <c r="H29" s="25"/>
      <c r="I29" s="25"/>
      <c r="J29" s="28"/>
      <c r="K29" s="29" t="str">
        <f t="shared" si="1"/>
        <v/>
      </c>
      <c r="L29" s="25"/>
      <c r="M29" s="29" t="str">
        <f t="shared" si="2"/>
        <v/>
      </c>
      <c r="N29" s="28"/>
      <c r="O29" s="29" t="str">
        <f t="shared" si="3"/>
        <v/>
      </c>
      <c r="P29" s="29" t="str">
        <f t="shared" si="4"/>
        <v/>
      </c>
      <c r="Q29" s="24" t="str">
        <f t="shared" si="5"/>
        <v/>
      </c>
      <c r="R29" s="25"/>
      <c r="S29" s="27"/>
      <c r="T29" s="24" t="str">
        <f t="shared" si="6"/>
        <v/>
      </c>
      <c r="U29" s="24" t="str">
        <f t="shared" si="7"/>
        <v/>
      </c>
      <c r="V29" s="24">
        <f>IF(OR(U29="",D29=""),0,IF(SUMPRODUCT(--(U$4:U29=U29))&gt;1,1,0))</f>
        <v>0</v>
      </c>
      <c r="W29" s="24">
        <f t="shared" si="8"/>
        <v>0</v>
      </c>
      <c r="X29" s="24">
        <f t="shared" si="9"/>
        <v>0</v>
      </c>
    </row>
    <row r="30" spans="1:24" x14ac:dyDescent="0.25">
      <c r="A30" s="24">
        <v>27</v>
      </c>
      <c r="B30" s="25"/>
      <c r="C30" s="26" t="str">
        <f t="shared" si="0"/>
        <v/>
      </c>
      <c r="D30" s="25"/>
      <c r="E30" s="27"/>
      <c r="F30" s="28"/>
      <c r="G30" s="28"/>
      <c r="H30" s="25"/>
      <c r="I30" s="25"/>
      <c r="J30" s="28"/>
      <c r="K30" s="29" t="str">
        <f t="shared" si="1"/>
        <v/>
      </c>
      <c r="L30" s="25"/>
      <c r="M30" s="29" t="str">
        <f t="shared" si="2"/>
        <v/>
      </c>
      <c r="N30" s="28"/>
      <c r="O30" s="29" t="str">
        <f t="shared" si="3"/>
        <v/>
      </c>
      <c r="P30" s="29" t="str">
        <f t="shared" si="4"/>
        <v/>
      </c>
      <c r="Q30" s="24" t="str">
        <f t="shared" si="5"/>
        <v/>
      </c>
      <c r="R30" s="25"/>
      <c r="S30" s="27"/>
      <c r="T30" s="24" t="str">
        <f t="shared" si="6"/>
        <v/>
      </c>
      <c r="U30" s="24" t="str">
        <f t="shared" si="7"/>
        <v/>
      </c>
      <c r="V30" s="24">
        <f>IF(OR(U30="",D30=""),0,IF(SUMPRODUCT(--(U$4:U30=U30))&gt;1,1,0))</f>
        <v>0</v>
      </c>
      <c r="W30" s="24">
        <f t="shared" si="8"/>
        <v>0</v>
      </c>
      <c r="X30" s="24">
        <f t="shared" si="9"/>
        <v>0</v>
      </c>
    </row>
    <row r="31" spans="1:24" x14ac:dyDescent="0.25">
      <c r="A31" s="24">
        <v>28</v>
      </c>
      <c r="B31" s="25"/>
      <c r="C31" s="26" t="str">
        <f t="shared" si="0"/>
        <v/>
      </c>
      <c r="D31" s="25"/>
      <c r="E31" s="27"/>
      <c r="F31" s="28"/>
      <c r="G31" s="28"/>
      <c r="H31" s="25"/>
      <c r="I31" s="25"/>
      <c r="J31" s="28"/>
      <c r="K31" s="29" t="str">
        <f t="shared" si="1"/>
        <v/>
      </c>
      <c r="L31" s="25"/>
      <c r="M31" s="29" t="str">
        <f t="shared" si="2"/>
        <v/>
      </c>
      <c r="N31" s="28"/>
      <c r="O31" s="29" t="str">
        <f t="shared" si="3"/>
        <v/>
      </c>
      <c r="P31" s="29" t="str">
        <f t="shared" si="4"/>
        <v/>
      </c>
      <c r="Q31" s="24" t="str">
        <f t="shared" si="5"/>
        <v/>
      </c>
      <c r="R31" s="25"/>
      <c r="S31" s="27"/>
      <c r="T31" s="24" t="str">
        <f t="shared" si="6"/>
        <v/>
      </c>
      <c r="U31" s="24" t="str">
        <f t="shared" si="7"/>
        <v/>
      </c>
      <c r="V31" s="24">
        <f>IF(OR(U31="",D31=""),0,IF(SUMPRODUCT(--(U$4:U31=U31))&gt;1,1,0))</f>
        <v>0</v>
      </c>
      <c r="W31" s="24">
        <f t="shared" si="8"/>
        <v>0</v>
      </c>
      <c r="X31" s="24">
        <f t="shared" si="9"/>
        <v>0</v>
      </c>
    </row>
    <row r="32" spans="1:24" x14ac:dyDescent="0.25">
      <c r="A32" s="24">
        <v>29</v>
      </c>
      <c r="B32" s="25"/>
      <c r="C32" s="26" t="str">
        <f t="shared" si="0"/>
        <v/>
      </c>
      <c r="D32" s="25"/>
      <c r="E32" s="27"/>
      <c r="F32" s="28"/>
      <c r="G32" s="28"/>
      <c r="H32" s="25"/>
      <c r="I32" s="25"/>
      <c r="J32" s="28"/>
      <c r="K32" s="29" t="str">
        <f t="shared" si="1"/>
        <v/>
      </c>
      <c r="L32" s="25"/>
      <c r="M32" s="29" t="str">
        <f t="shared" si="2"/>
        <v/>
      </c>
      <c r="N32" s="28"/>
      <c r="O32" s="29" t="str">
        <f t="shared" si="3"/>
        <v/>
      </c>
      <c r="P32" s="29" t="str">
        <f t="shared" si="4"/>
        <v/>
      </c>
      <c r="Q32" s="24" t="str">
        <f t="shared" si="5"/>
        <v/>
      </c>
      <c r="R32" s="25"/>
      <c r="S32" s="27"/>
      <c r="T32" s="24" t="str">
        <f t="shared" si="6"/>
        <v/>
      </c>
      <c r="U32" s="24" t="str">
        <f t="shared" si="7"/>
        <v/>
      </c>
      <c r="V32" s="24">
        <f>IF(OR(U32="",D32=""),0,IF(SUMPRODUCT(--(U$4:U32=U32))&gt;1,1,0))</f>
        <v>0</v>
      </c>
      <c r="W32" s="24">
        <f t="shared" si="8"/>
        <v>0</v>
      </c>
      <c r="X32" s="24">
        <f t="shared" si="9"/>
        <v>0</v>
      </c>
    </row>
    <row r="33" spans="1:24" x14ac:dyDescent="0.25">
      <c r="A33" s="24">
        <v>30</v>
      </c>
      <c r="B33" s="25"/>
      <c r="C33" s="26" t="str">
        <f t="shared" si="0"/>
        <v/>
      </c>
      <c r="D33" s="25"/>
      <c r="E33" s="27"/>
      <c r="F33" s="28"/>
      <c r="G33" s="28"/>
      <c r="H33" s="25"/>
      <c r="I33" s="25"/>
      <c r="J33" s="28"/>
      <c r="K33" s="29" t="str">
        <f t="shared" si="1"/>
        <v/>
      </c>
      <c r="L33" s="25"/>
      <c r="M33" s="29" t="str">
        <f t="shared" si="2"/>
        <v/>
      </c>
      <c r="N33" s="28"/>
      <c r="O33" s="29" t="str">
        <f t="shared" si="3"/>
        <v/>
      </c>
      <c r="P33" s="29" t="str">
        <f t="shared" si="4"/>
        <v/>
      </c>
      <c r="Q33" s="24" t="str">
        <f t="shared" si="5"/>
        <v/>
      </c>
      <c r="R33" s="25"/>
      <c r="S33" s="27"/>
      <c r="T33" s="24" t="str">
        <f t="shared" si="6"/>
        <v/>
      </c>
      <c r="U33" s="24" t="str">
        <f t="shared" si="7"/>
        <v/>
      </c>
      <c r="V33" s="24">
        <f>IF(OR(U33="",D33=""),0,IF(SUMPRODUCT(--(U$4:U33=U33))&gt;1,1,0))</f>
        <v>0</v>
      </c>
      <c r="W33" s="24">
        <f t="shared" si="8"/>
        <v>0</v>
      </c>
      <c r="X33" s="24">
        <f t="shared" si="9"/>
        <v>0</v>
      </c>
    </row>
    <row r="34" spans="1:24" x14ac:dyDescent="0.25">
      <c r="A34" s="24">
        <v>31</v>
      </c>
      <c r="B34" s="25"/>
      <c r="C34" s="26" t="str">
        <f t="shared" si="0"/>
        <v/>
      </c>
      <c r="D34" s="25"/>
      <c r="E34" s="27"/>
      <c r="F34" s="28"/>
      <c r="G34" s="28"/>
      <c r="H34" s="25"/>
      <c r="I34" s="25"/>
      <c r="J34" s="28"/>
      <c r="K34" s="29" t="str">
        <f t="shared" si="1"/>
        <v/>
      </c>
      <c r="L34" s="25"/>
      <c r="M34" s="29" t="str">
        <f t="shared" si="2"/>
        <v/>
      </c>
      <c r="N34" s="28"/>
      <c r="O34" s="29" t="str">
        <f t="shared" si="3"/>
        <v/>
      </c>
      <c r="P34" s="29" t="str">
        <f t="shared" si="4"/>
        <v/>
      </c>
      <c r="Q34" s="24" t="str">
        <f t="shared" si="5"/>
        <v/>
      </c>
      <c r="R34" s="25"/>
      <c r="S34" s="27"/>
      <c r="T34" s="24" t="str">
        <f t="shared" si="6"/>
        <v/>
      </c>
      <c r="U34" s="24" t="str">
        <f t="shared" si="7"/>
        <v/>
      </c>
      <c r="V34" s="24">
        <f>IF(OR(U34="",D34=""),0,IF(SUMPRODUCT(--(U$4:U34=U34))&gt;1,1,0))</f>
        <v>0</v>
      </c>
      <c r="W34" s="24">
        <f t="shared" si="8"/>
        <v>0</v>
      </c>
      <c r="X34" s="24">
        <f t="shared" si="9"/>
        <v>0</v>
      </c>
    </row>
    <row r="35" spans="1:24" x14ac:dyDescent="0.25">
      <c r="A35" s="24">
        <v>32</v>
      </c>
      <c r="B35" s="25"/>
      <c r="C35" s="26" t="str">
        <f t="shared" si="0"/>
        <v/>
      </c>
      <c r="D35" s="25"/>
      <c r="E35" s="27"/>
      <c r="F35" s="28"/>
      <c r="G35" s="28"/>
      <c r="H35" s="25"/>
      <c r="I35" s="25"/>
      <c r="J35" s="28"/>
      <c r="K35" s="29" t="str">
        <f t="shared" si="1"/>
        <v/>
      </c>
      <c r="L35" s="25"/>
      <c r="M35" s="29" t="str">
        <f t="shared" si="2"/>
        <v/>
      </c>
      <c r="N35" s="28"/>
      <c r="O35" s="29" t="str">
        <f t="shared" si="3"/>
        <v/>
      </c>
      <c r="P35" s="29" t="str">
        <f t="shared" si="4"/>
        <v/>
      </c>
      <c r="Q35" s="24" t="str">
        <f t="shared" si="5"/>
        <v/>
      </c>
      <c r="R35" s="25"/>
      <c r="S35" s="27"/>
      <c r="T35" s="24" t="str">
        <f t="shared" si="6"/>
        <v/>
      </c>
      <c r="U35" s="24" t="str">
        <f t="shared" si="7"/>
        <v/>
      </c>
      <c r="V35" s="24">
        <f>IF(OR(U35="",D35=""),0,IF(SUMPRODUCT(--(U$4:U35=U35))&gt;1,1,0))</f>
        <v>0</v>
      </c>
      <c r="W35" s="24">
        <f t="shared" si="8"/>
        <v>0</v>
      </c>
      <c r="X35" s="24">
        <f t="shared" si="9"/>
        <v>0</v>
      </c>
    </row>
    <row r="36" spans="1:24" x14ac:dyDescent="0.25">
      <c r="A36" s="24">
        <v>33</v>
      </c>
      <c r="B36" s="25"/>
      <c r="C36" s="26" t="str">
        <f t="shared" si="0"/>
        <v/>
      </c>
      <c r="D36" s="25"/>
      <c r="E36" s="27"/>
      <c r="F36" s="28"/>
      <c r="G36" s="28"/>
      <c r="H36" s="25"/>
      <c r="I36" s="25"/>
      <c r="J36" s="28"/>
      <c r="K36" s="29" t="str">
        <f t="shared" si="1"/>
        <v/>
      </c>
      <c r="L36" s="25"/>
      <c r="M36" s="29" t="str">
        <f t="shared" si="2"/>
        <v/>
      </c>
      <c r="N36" s="28"/>
      <c r="O36" s="29" t="str">
        <f t="shared" si="3"/>
        <v/>
      </c>
      <c r="P36" s="29" t="str">
        <f t="shared" si="4"/>
        <v/>
      </c>
      <c r="Q36" s="24" t="str">
        <f t="shared" si="5"/>
        <v/>
      </c>
      <c r="R36" s="25"/>
      <c r="S36" s="27"/>
      <c r="T36" s="24" t="str">
        <f t="shared" si="6"/>
        <v/>
      </c>
      <c r="U36" s="24" t="str">
        <f t="shared" si="7"/>
        <v/>
      </c>
      <c r="V36" s="24">
        <f>IF(OR(U36="",D36=""),0,IF(SUMPRODUCT(--(U$4:U36=U36))&gt;1,1,0))</f>
        <v>0</v>
      </c>
      <c r="W36" s="24">
        <f t="shared" si="8"/>
        <v>0</v>
      </c>
      <c r="X36" s="24">
        <f t="shared" si="9"/>
        <v>0</v>
      </c>
    </row>
    <row r="37" spans="1:24" x14ac:dyDescent="0.25">
      <c r="A37" s="24">
        <v>34</v>
      </c>
      <c r="B37" s="25"/>
      <c r="C37" s="26" t="str">
        <f t="shared" si="0"/>
        <v/>
      </c>
      <c r="D37" s="25"/>
      <c r="E37" s="27"/>
      <c r="F37" s="28"/>
      <c r="G37" s="28"/>
      <c r="H37" s="25"/>
      <c r="I37" s="25"/>
      <c r="J37" s="28"/>
      <c r="K37" s="29" t="str">
        <f t="shared" si="1"/>
        <v/>
      </c>
      <c r="L37" s="25"/>
      <c r="M37" s="29" t="str">
        <f t="shared" si="2"/>
        <v/>
      </c>
      <c r="N37" s="28"/>
      <c r="O37" s="29" t="str">
        <f t="shared" si="3"/>
        <v/>
      </c>
      <c r="P37" s="29" t="str">
        <f t="shared" si="4"/>
        <v/>
      </c>
      <c r="Q37" s="24" t="str">
        <f t="shared" si="5"/>
        <v/>
      </c>
      <c r="R37" s="25"/>
      <c r="S37" s="27"/>
      <c r="T37" s="24" t="str">
        <f t="shared" si="6"/>
        <v/>
      </c>
      <c r="U37" s="24" t="str">
        <f t="shared" si="7"/>
        <v/>
      </c>
      <c r="V37" s="24">
        <f>IF(OR(U37="",D37=""),0,IF(SUMPRODUCT(--(U$4:U37=U37))&gt;1,1,0))</f>
        <v>0</v>
      </c>
      <c r="W37" s="24">
        <f t="shared" si="8"/>
        <v>0</v>
      </c>
      <c r="X37" s="24">
        <f t="shared" si="9"/>
        <v>0</v>
      </c>
    </row>
    <row r="38" spans="1:24" x14ac:dyDescent="0.25">
      <c r="A38" s="24">
        <v>35</v>
      </c>
      <c r="B38" s="25"/>
      <c r="C38" s="26" t="str">
        <f t="shared" si="0"/>
        <v/>
      </c>
      <c r="D38" s="25"/>
      <c r="E38" s="27"/>
      <c r="F38" s="28"/>
      <c r="G38" s="28"/>
      <c r="H38" s="25"/>
      <c r="I38" s="25"/>
      <c r="J38" s="28"/>
      <c r="K38" s="29" t="str">
        <f t="shared" si="1"/>
        <v/>
      </c>
      <c r="L38" s="25"/>
      <c r="M38" s="29" t="str">
        <f t="shared" si="2"/>
        <v/>
      </c>
      <c r="N38" s="28"/>
      <c r="O38" s="29" t="str">
        <f t="shared" si="3"/>
        <v/>
      </c>
      <c r="P38" s="29" t="str">
        <f t="shared" si="4"/>
        <v/>
      </c>
      <c r="Q38" s="24" t="str">
        <f t="shared" si="5"/>
        <v/>
      </c>
      <c r="R38" s="25"/>
      <c r="S38" s="27"/>
      <c r="T38" s="24" t="str">
        <f t="shared" si="6"/>
        <v/>
      </c>
      <c r="U38" s="24" t="str">
        <f t="shared" si="7"/>
        <v/>
      </c>
      <c r="V38" s="24">
        <f>IF(OR(U38="",D38=""),0,IF(SUMPRODUCT(--(U$4:U38=U38))&gt;1,1,0))</f>
        <v>0</v>
      </c>
      <c r="W38" s="24">
        <f t="shared" si="8"/>
        <v>0</v>
      </c>
      <c r="X38" s="24">
        <f t="shared" si="9"/>
        <v>0</v>
      </c>
    </row>
    <row r="39" spans="1:24" x14ac:dyDescent="0.25">
      <c r="A39" s="24">
        <v>36</v>
      </c>
      <c r="B39" s="25"/>
      <c r="C39" s="26" t="str">
        <f t="shared" si="0"/>
        <v/>
      </c>
      <c r="D39" s="25"/>
      <c r="E39" s="27"/>
      <c r="F39" s="28"/>
      <c r="G39" s="28"/>
      <c r="H39" s="25"/>
      <c r="I39" s="25"/>
      <c r="J39" s="28"/>
      <c r="K39" s="29" t="str">
        <f t="shared" si="1"/>
        <v/>
      </c>
      <c r="L39" s="25"/>
      <c r="M39" s="29" t="str">
        <f t="shared" si="2"/>
        <v/>
      </c>
      <c r="N39" s="28"/>
      <c r="O39" s="29" t="str">
        <f t="shared" si="3"/>
        <v/>
      </c>
      <c r="P39" s="29" t="str">
        <f t="shared" si="4"/>
        <v/>
      </c>
      <c r="Q39" s="24" t="str">
        <f t="shared" si="5"/>
        <v/>
      </c>
      <c r="R39" s="25"/>
      <c r="S39" s="27"/>
      <c r="T39" s="24" t="str">
        <f t="shared" si="6"/>
        <v/>
      </c>
      <c r="U39" s="24" t="str">
        <f t="shared" si="7"/>
        <v/>
      </c>
      <c r="V39" s="24">
        <f>IF(OR(U39="",D39=""),0,IF(SUMPRODUCT(--(U$4:U39=U39))&gt;1,1,0))</f>
        <v>0</v>
      </c>
      <c r="W39" s="24">
        <f t="shared" si="8"/>
        <v>0</v>
      </c>
      <c r="X39" s="24">
        <f t="shared" si="9"/>
        <v>0</v>
      </c>
    </row>
    <row r="40" spans="1:24" x14ac:dyDescent="0.25">
      <c r="A40" s="24">
        <v>37</v>
      </c>
      <c r="B40" s="25"/>
      <c r="C40" s="26" t="str">
        <f t="shared" si="0"/>
        <v/>
      </c>
      <c r="D40" s="25"/>
      <c r="E40" s="27"/>
      <c r="F40" s="28"/>
      <c r="G40" s="28"/>
      <c r="H40" s="25"/>
      <c r="I40" s="25"/>
      <c r="J40" s="28"/>
      <c r="K40" s="29" t="str">
        <f t="shared" si="1"/>
        <v/>
      </c>
      <c r="L40" s="25"/>
      <c r="M40" s="29" t="str">
        <f t="shared" si="2"/>
        <v/>
      </c>
      <c r="N40" s="28"/>
      <c r="O40" s="29" t="str">
        <f t="shared" si="3"/>
        <v/>
      </c>
      <c r="P40" s="29" t="str">
        <f t="shared" si="4"/>
        <v/>
      </c>
      <c r="Q40" s="24" t="str">
        <f t="shared" si="5"/>
        <v/>
      </c>
      <c r="R40" s="25"/>
      <c r="S40" s="27"/>
      <c r="T40" s="24" t="str">
        <f t="shared" si="6"/>
        <v/>
      </c>
      <c r="U40" s="24" t="str">
        <f t="shared" si="7"/>
        <v/>
      </c>
      <c r="V40" s="24">
        <f>IF(OR(U40="",D40=""),0,IF(SUMPRODUCT(--(U$4:U40=U40))&gt;1,1,0))</f>
        <v>0</v>
      </c>
      <c r="W40" s="24">
        <f t="shared" si="8"/>
        <v>0</v>
      </c>
      <c r="X40" s="24">
        <f t="shared" si="9"/>
        <v>0</v>
      </c>
    </row>
    <row r="41" spans="1:24" x14ac:dyDescent="0.25">
      <c r="A41" s="24">
        <v>38</v>
      </c>
      <c r="B41" s="25"/>
      <c r="C41" s="26" t="str">
        <f t="shared" si="0"/>
        <v/>
      </c>
      <c r="D41" s="25"/>
      <c r="E41" s="27"/>
      <c r="F41" s="28"/>
      <c r="G41" s="28"/>
      <c r="H41" s="25"/>
      <c r="I41" s="25"/>
      <c r="J41" s="28"/>
      <c r="K41" s="29" t="str">
        <f t="shared" si="1"/>
        <v/>
      </c>
      <c r="L41" s="25"/>
      <c r="M41" s="29" t="str">
        <f t="shared" si="2"/>
        <v/>
      </c>
      <c r="N41" s="28"/>
      <c r="O41" s="29" t="str">
        <f t="shared" si="3"/>
        <v/>
      </c>
      <c r="P41" s="29" t="str">
        <f t="shared" si="4"/>
        <v/>
      </c>
      <c r="Q41" s="24" t="str">
        <f t="shared" si="5"/>
        <v/>
      </c>
      <c r="R41" s="25"/>
      <c r="S41" s="27"/>
      <c r="T41" s="24" t="str">
        <f t="shared" si="6"/>
        <v/>
      </c>
      <c r="U41" s="24" t="str">
        <f t="shared" si="7"/>
        <v/>
      </c>
      <c r="V41" s="24">
        <f>IF(OR(U41="",D41=""),0,IF(SUMPRODUCT(--(U$4:U41=U41))&gt;1,1,0))</f>
        <v>0</v>
      </c>
      <c r="W41" s="24">
        <f t="shared" si="8"/>
        <v>0</v>
      </c>
      <c r="X41" s="24">
        <f t="shared" si="9"/>
        <v>0</v>
      </c>
    </row>
    <row r="42" spans="1:24" x14ac:dyDescent="0.25">
      <c r="A42" s="24">
        <v>39</v>
      </c>
      <c r="B42" s="25"/>
      <c r="C42" s="26" t="str">
        <f t="shared" si="0"/>
        <v/>
      </c>
      <c r="D42" s="25"/>
      <c r="E42" s="27"/>
      <c r="F42" s="28"/>
      <c r="G42" s="28"/>
      <c r="H42" s="25"/>
      <c r="I42" s="25"/>
      <c r="J42" s="28"/>
      <c r="K42" s="29" t="str">
        <f t="shared" si="1"/>
        <v/>
      </c>
      <c r="L42" s="25"/>
      <c r="M42" s="29" t="str">
        <f t="shared" si="2"/>
        <v/>
      </c>
      <c r="N42" s="28"/>
      <c r="O42" s="29" t="str">
        <f t="shared" si="3"/>
        <v/>
      </c>
      <c r="P42" s="29" t="str">
        <f t="shared" si="4"/>
        <v/>
      </c>
      <c r="Q42" s="24" t="str">
        <f t="shared" si="5"/>
        <v/>
      </c>
      <c r="R42" s="25"/>
      <c r="S42" s="27"/>
      <c r="T42" s="24" t="str">
        <f t="shared" si="6"/>
        <v/>
      </c>
      <c r="U42" s="24" t="str">
        <f t="shared" si="7"/>
        <v/>
      </c>
      <c r="V42" s="24">
        <f>IF(OR(U42="",D42=""),0,IF(SUMPRODUCT(--(U$4:U42=U42))&gt;1,1,0))</f>
        <v>0</v>
      </c>
      <c r="W42" s="24">
        <f t="shared" si="8"/>
        <v>0</v>
      </c>
      <c r="X42" s="24">
        <f t="shared" si="9"/>
        <v>0</v>
      </c>
    </row>
    <row r="43" spans="1:24" x14ac:dyDescent="0.25">
      <c r="A43" s="24">
        <v>40</v>
      </c>
      <c r="B43" s="25"/>
      <c r="C43" s="26" t="str">
        <f t="shared" si="0"/>
        <v/>
      </c>
      <c r="D43" s="25"/>
      <c r="E43" s="27"/>
      <c r="F43" s="28"/>
      <c r="G43" s="28"/>
      <c r="H43" s="25"/>
      <c r="I43" s="25"/>
      <c r="J43" s="28"/>
      <c r="K43" s="29" t="str">
        <f t="shared" si="1"/>
        <v/>
      </c>
      <c r="L43" s="25"/>
      <c r="M43" s="29" t="str">
        <f t="shared" si="2"/>
        <v/>
      </c>
      <c r="N43" s="28"/>
      <c r="O43" s="29" t="str">
        <f t="shared" si="3"/>
        <v/>
      </c>
      <c r="P43" s="29" t="str">
        <f t="shared" si="4"/>
        <v/>
      </c>
      <c r="Q43" s="24" t="str">
        <f t="shared" si="5"/>
        <v/>
      </c>
      <c r="R43" s="25"/>
      <c r="S43" s="27"/>
      <c r="T43" s="24" t="str">
        <f t="shared" si="6"/>
        <v/>
      </c>
      <c r="U43" s="24" t="str">
        <f t="shared" si="7"/>
        <v/>
      </c>
      <c r="V43" s="24">
        <f>IF(OR(U43="",D43=""),0,IF(SUMPRODUCT(--(U$4:U43=U43))&gt;1,1,0))</f>
        <v>0</v>
      </c>
      <c r="W43" s="24">
        <f t="shared" si="8"/>
        <v>0</v>
      </c>
      <c r="X43" s="24">
        <f t="shared" si="9"/>
        <v>0</v>
      </c>
    </row>
    <row r="44" spans="1:24" x14ac:dyDescent="0.25">
      <c r="A44" s="24">
        <v>41</v>
      </c>
      <c r="B44" s="25"/>
      <c r="C44" s="26" t="str">
        <f t="shared" si="0"/>
        <v/>
      </c>
      <c r="D44" s="25"/>
      <c r="E44" s="27"/>
      <c r="F44" s="28"/>
      <c r="G44" s="28"/>
      <c r="H44" s="25"/>
      <c r="I44" s="25"/>
      <c r="J44" s="28"/>
      <c r="K44" s="29" t="str">
        <f t="shared" si="1"/>
        <v/>
      </c>
      <c r="L44" s="25"/>
      <c r="M44" s="29" t="str">
        <f t="shared" si="2"/>
        <v/>
      </c>
      <c r="N44" s="28"/>
      <c r="O44" s="29" t="str">
        <f t="shared" si="3"/>
        <v/>
      </c>
      <c r="P44" s="29" t="str">
        <f t="shared" si="4"/>
        <v/>
      </c>
      <c r="Q44" s="24" t="str">
        <f t="shared" si="5"/>
        <v/>
      </c>
      <c r="R44" s="25"/>
      <c r="S44" s="27"/>
      <c r="T44" s="24" t="str">
        <f t="shared" si="6"/>
        <v/>
      </c>
      <c r="U44" s="24" t="str">
        <f t="shared" si="7"/>
        <v/>
      </c>
      <c r="V44" s="24">
        <f>IF(OR(U44="",D44=""),0,IF(SUMPRODUCT(--(U$4:U44=U44))&gt;1,1,0))</f>
        <v>0</v>
      </c>
      <c r="W44" s="24">
        <f t="shared" si="8"/>
        <v>0</v>
      </c>
      <c r="X44" s="24">
        <f t="shared" si="9"/>
        <v>0</v>
      </c>
    </row>
    <row r="45" spans="1:24" x14ac:dyDescent="0.25">
      <c r="A45" s="24">
        <v>42</v>
      </c>
      <c r="B45" s="25"/>
      <c r="C45" s="26" t="str">
        <f t="shared" si="0"/>
        <v/>
      </c>
      <c r="D45" s="25"/>
      <c r="E45" s="27"/>
      <c r="F45" s="28"/>
      <c r="G45" s="28"/>
      <c r="H45" s="25"/>
      <c r="I45" s="25"/>
      <c r="J45" s="28"/>
      <c r="K45" s="29" t="str">
        <f t="shared" si="1"/>
        <v/>
      </c>
      <c r="L45" s="25"/>
      <c r="M45" s="29" t="str">
        <f t="shared" si="2"/>
        <v/>
      </c>
      <c r="N45" s="28"/>
      <c r="O45" s="29" t="str">
        <f t="shared" si="3"/>
        <v/>
      </c>
      <c r="P45" s="29" t="str">
        <f t="shared" si="4"/>
        <v/>
      </c>
      <c r="Q45" s="24" t="str">
        <f t="shared" si="5"/>
        <v/>
      </c>
      <c r="R45" s="25"/>
      <c r="S45" s="27"/>
      <c r="T45" s="24" t="str">
        <f t="shared" si="6"/>
        <v/>
      </c>
      <c r="U45" s="24" t="str">
        <f t="shared" si="7"/>
        <v/>
      </c>
      <c r="V45" s="24">
        <f>IF(OR(U45="",D45=""),0,IF(SUMPRODUCT(--(U$4:U45=U45))&gt;1,1,0))</f>
        <v>0</v>
      </c>
      <c r="W45" s="24">
        <f t="shared" si="8"/>
        <v>0</v>
      </c>
      <c r="X45" s="24">
        <f t="shared" si="9"/>
        <v>0</v>
      </c>
    </row>
    <row r="46" spans="1:24" x14ac:dyDescent="0.25">
      <c r="A46" s="24">
        <v>43</v>
      </c>
      <c r="B46" s="25"/>
      <c r="C46" s="26" t="str">
        <f t="shared" si="0"/>
        <v/>
      </c>
      <c r="D46" s="25"/>
      <c r="E46" s="27"/>
      <c r="F46" s="28"/>
      <c r="G46" s="28"/>
      <c r="H46" s="25"/>
      <c r="I46" s="25"/>
      <c r="J46" s="28"/>
      <c r="K46" s="29" t="str">
        <f t="shared" si="1"/>
        <v/>
      </c>
      <c r="L46" s="25"/>
      <c r="M46" s="29" t="str">
        <f t="shared" si="2"/>
        <v/>
      </c>
      <c r="N46" s="28"/>
      <c r="O46" s="29" t="str">
        <f t="shared" si="3"/>
        <v/>
      </c>
      <c r="P46" s="29" t="str">
        <f t="shared" si="4"/>
        <v/>
      </c>
      <c r="Q46" s="24" t="str">
        <f t="shared" si="5"/>
        <v/>
      </c>
      <c r="R46" s="25"/>
      <c r="S46" s="27"/>
      <c r="T46" s="24" t="str">
        <f t="shared" si="6"/>
        <v/>
      </c>
      <c r="U46" s="24" t="str">
        <f t="shared" si="7"/>
        <v/>
      </c>
      <c r="V46" s="24">
        <f>IF(OR(U46="",D46=""),0,IF(SUMPRODUCT(--(U$4:U46=U46))&gt;1,1,0))</f>
        <v>0</v>
      </c>
      <c r="W46" s="24">
        <f t="shared" si="8"/>
        <v>0</v>
      </c>
      <c r="X46" s="24">
        <f t="shared" si="9"/>
        <v>0</v>
      </c>
    </row>
    <row r="47" spans="1:24" x14ac:dyDescent="0.25">
      <c r="A47" s="24">
        <v>44</v>
      </c>
      <c r="B47" s="25"/>
      <c r="C47" s="26" t="str">
        <f t="shared" si="0"/>
        <v/>
      </c>
      <c r="D47" s="25"/>
      <c r="E47" s="27"/>
      <c r="F47" s="28"/>
      <c r="G47" s="28"/>
      <c r="H47" s="25"/>
      <c r="I47" s="25"/>
      <c r="J47" s="28"/>
      <c r="K47" s="29" t="str">
        <f t="shared" si="1"/>
        <v/>
      </c>
      <c r="L47" s="25"/>
      <c r="M47" s="29" t="str">
        <f t="shared" si="2"/>
        <v/>
      </c>
      <c r="N47" s="28"/>
      <c r="O47" s="29" t="str">
        <f t="shared" si="3"/>
        <v/>
      </c>
      <c r="P47" s="29" t="str">
        <f t="shared" si="4"/>
        <v/>
      </c>
      <c r="Q47" s="24" t="str">
        <f t="shared" si="5"/>
        <v/>
      </c>
      <c r="R47" s="25"/>
      <c r="S47" s="27"/>
      <c r="T47" s="24" t="str">
        <f t="shared" si="6"/>
        <v/>
      </c>
      <c r="U47" s="24" t="str">
        <f t="shared" si="7"/>
        <v/>
      </c>
      <c r="V47" s="24">
        <f>IF(OR(U47="",D47=""),0,IF(SUMPRODUCT(--(U$4:U47=U47))&gt;1,1,0))</f>
        <v>0</v>
      </c>
      <c r="W47" s="24">
        <f t="shared" si="8"/>
        <v>0</v>
      </c>
      <c r="X47" s="24">
        <f t="shared" si="9"/>
        <v>0</v>
      </c>
    </row>
    <row r="48" spans="1:24" x14ac:dyDescent="0.25">
      <c r="A48" s="24">
        <v>45</v>
      </c>
      <c r="B48" s="25"/>
      <c r="C48" s="26" t="str">
        <f t="shared" si="0"/>
        <v/>
      </c>
      <c r="D48" s="25"/>
      <c r="E48" s="27"/>
      <c r="F48" s="28"/>
      <c r="G48" s="28"/>
      <c r="H48" s="25"/>
      <c r="I48" s="25"/>
      <c r="J48" s="28"/>
      <c r="K48" s="29" t="str">
        <f t="shared" si="1"/>
        <v/>
      </c>
      <c r="L48" s="25"/>
      <c r="M48" s="29" t="str">
        <f t="shared" si="2"/>
        <v/>
      </c>
      <c r="N48" s="28"/>
      <c r="O48" s="29" t="str">
        <f t="shared" si="3"/>
        <v/>
      </c>
      <c r="P48" s="29" t="str">
        <f t="shared" si="4"/>
        <v/>
      </c>
      <c r="Q48" s="24" t="str">
        <f t="shared" si="5"/>
        <v/>
      </c>
      <c r="R48" s="25"/>
      <c r="S48" s="27"/>
      <c r="T48" s="24" t="str">
        <f t="shared" si="6"/>
        <v/>
      </c>
      <c r="U48" s="24" t="str">
        <f t="shared" si="7"/>
        <v/>
      </c>
      <c r="V48" s="24">
        <f>IF(OR(U48="",D48=""),0,IF(SUMPRODUCT(--(U$4:U48=U48))&gt;1,1,0))</f>
        <v>0</v>
      </c>
      <c r="W48" s="24">
        <f t="shared" si="8"/>
        <v>0</v>
      </c>
      <c r="X48" s="24">
        <f t="shared" si="9"/>
        <v>0</v>
      </c>
    </row>
    <row r="49" spans="1:24" x14ac:dyDescent="0.25">
      <c r="A49" s="24">
        <v>46</v>
      </c>
      <c r="B49" s="25"/>
      <c r="C49" s="26" t="str">
        <f t="shared" si="0"/>
        <v/>
      </c>
      <c r="D49" s="25"/>
      <c r="E49" s="27"/>
      <c r="F49" s="28"/>
      <c r="G49" s="28"/>
      <c r="H49" s="25"/>
      <c r="I49" s="25"/>
      <c r="J49" s="28"/>
      <c r="K49" s="29" t="str">
        <f t="shared" si="1"/>
        <v/>
      </c>
      <c r="L49" s="25"/>
      <c r="M49" s="29" t="str">
        <f t="shared" si="2"/>
        <v/>
      </c>
      <c r="N49" s="28"/>
      <c r="O49" s="29" t="str">
        <f t="shared" si="3"/>
        <v/>
      </c>
      <c r="P49" s="29" t="str">
        <f t="shared" si="4"/>
        <v/>
      </c>
      <c r="Q49" s="24" t="str">
        <f t="shared" si="5"/>
        <v/>
      </c>
      <c r="R49" s="25"/>
      <c r="S49" s="27"/>
      <c r="T49" s="24" t="str">
        <f t="shared" si="6"/>
        <v/>
      </c>
      <c r="U49" s="24" t="str">
        <f t="shared" si="7"/>
        <v/>
      </c>
      <c r="V49" s="24">
        <f>IF(OR(U49="",D49=""),0,IF(SUMPRODUCT(--(U$4:U49=U49))&gt;1,1,0))</f>
        <v>0</v>
      </c>
      <c r="W49" s="24">
        <f t="shared" si="8"/>
        <v>0</v>
      </c>
      <c r="X49" s="24">
        <f t="shared" si="9"/>
        <v>0</v>
      </c>
    </row>
    <row r="50" spans="1:24" x14ac:dyDescent="0.25">
      <c r="A50" s="24">
        <v>47</v>
      </c>
      <c r="B50" s="25"/>
      <c r="C50" s="26" t="str">
        <f t="shared" si="0"/>
        <v/>
      </c>
      <c r="D50" s="25"/>
      <c r="E50" s="27"/>
      <c r="F50" s="28"/>
      <c r="G50" s="28"/>
      <c r="H50" s="25"/>
      <c r="I50" s="25"/>
      <c r="J50" s="28"/>
      <c r="K50" s="29" t="str">
        <f t="shared" si="1"/>
        <v/>
      </c>
      <c r="L50" s="25"/>
      <c r="M50" s="29" t="str">
        <f t="shared" si="2"/>
        <v/>
      </c>
      <c r="N50" s="28"/>
      <c r="O50" s="29" t="str">
        <f t="shared" si="3"/>
        <v/>
      </c>
      <c r="P50" s="29" t="str">
        <f t="shared" si="4"/>
        <v/>
      </c>
      <c r="Q50" s="24" t="str">
        <f t="shared" si="5"/>
        <v/>
      </c>
      <c r="R50" s="25"/>
      <c r="S50" s="27"/>
      <c r="T50" s="24" t="str">
        <f t="shared" si="6"/>
        <v/>
      </c>
      <c r="U50" s="24" t="str">
        <f t="shared" si="7"/>
        <v/>
      </c>
      <c r="V50" s="24">
        <f>IF(OR(U50="",D50=""),0,IF(SUMPRODUCT(--(U$4:U50=U50))&gt;1,1,0))</f>
        <v>0</v>
      </c>
      <c r="W50" s="24">
        <f t="shared" si="8"/>
        <v>0</v>
      </c>
      <c r="X50" s="24">
        <f t="shared" si="9"/>
        <v>0</v>
      </c>
    </row>
    <row r="51" spans="1:24" x14ac:dyDescent="0.25">
      <c r="A51" s="24">
        <v>48</v>
      </c>
      <c r="B51" s="25"/>
      <c r="C51" s="26" t="str">
        <f t="shared" si="0"/>
        <v/>
      </c>
      <c r="D51" s="25"/>
      <c r="E51" s="27"/>
      <c r="F51" s="28"/>
      <c r="G51" s="28"/>
      <c r="H51" s="25"/>
      <c r="I51" s="25"/>
      <c r="J51" s="28"/>
      <c r="K51" s="29" t="str">
        <f t="shared" si="1"/>
        <v/>
      </c>
      <c r="L51" s="25"/>
      <c r="M51" s="29" t="str">
        <f t="shared" si="2"/>
        <v/>
      </c>
      <c r="N51" s="28"/>
      <c r="O51" s="29" t="str">
        <f t="shared" si="3"/>
        <v/>
      </c>
      <c r="P51" s="29" t="str">
        <f t="shared" si="4"/>
        <v/>
      </c>
      <c r="Q51" s="24" t="str">
        <f t="shared" si="5"/>
        <v/>
      </c>
      <c r="R51" s="25"/>
      <c r="S51" s="27"/>
      <c r="T51" s="24" t="str">
        <f t="shared" si="6"/>
        <v/>
      </c>
      <c r="U51" s="24" t="str">
        <f t="shared" si="7"/>
        <v/>
      </c>
      <c r="V51" s="24">
        <f>IF(OR(U51="",D51=""),0,IF(SUMPRODUCT(--(U$4:U51=U51))&gt;1,1,0))</f>
        <v>0</v>
      </c>
      <c r="W51" s="24">
        <f t="shared" si="8"/>
        <v>0</v>
      </c>
      <c r="X51" s="24">
        <f t="shared" si="9"/>
        <v>0</v>
      </c>
    </row>
    <row r="52" spans="1:24" x14ac:dyDescent="0.25">
      <c r="A52" s="24">
        <v>49</v>
      </c>
      <c r="B52" s="25"/>
      <c r="C52" s="26" t="str">
        <f t="shared" si="0"/>
        <v/>
      </c>
      <c r="D52" s="25"/>
      <c r="E52" s="27"/>
      <c r="F52" s="28"/>
      <c r="G52" s="28"/>
      <c r="H52" s="25"/>
      <c r="I52" s="25"/>
      <c r="J52" s="28"/>
      <c r="K52" s="29" t="str">
        <f t="shared" si="1"/>
        <v/>
      </c>
      <c r="L52" s="25"/>
      <c r="M52" s="29" t="str">
        <f t="shared" si="2"/>
        <v/>
      </c>
      <c r="N52" s="28"/>
      <c r="O52" s="29" t="str">
        <f t="shared" si="3"/>
        <v/>
      </c>
      <c r="P52" s="29" t="str">
        <f t="shared" si="4"/>
        <v/>
      </c>
      <c r="Q52" s="24" t="str">
        <f t="shared" si="5"/>
        <v/>
      </c>
      <c r="R52" s="25"/>
      <c r="S52" s="27"/>
      <c r="T52" s="24" t="str">
        <f t="shared" si="6"/>
        <v/>
      </c>
      <c r="U52" s="24" t="str">
        <f t="shared" si="7"/>
        <v/>
      </c>
      <c r="V52" s="24">
        <f>IF(OR(U52="",D52=""),0,IF(SUMPRODUCT(--(U$4:U52=U52))&gt;1,1,0))</f>
        <v>0</v>
      </c>
      <c r="W52" s="24">
        <f t="shared" si="8"/>
        <v>0</v>
      </c>
      <c r="X52" s="24">
        <f t="shared" si="9"/>
        <v>0</v>
      </c>
    </row>
    <row r="53" spans="1:24" x14ac:dyDescent="0.25">
      <c r="A53" s="24">
        <v>50</v>
      </c>
      <c r="B53" s="25"/>
      <c r="C53" s="26" t="str">
        <f t="shared" si="0"/>
        <v/>
      </c>
      <c r="D53" s="25"/>
      <c r="E53" s="27"/>
      <c r="F53" s="28"/>
      <c r="G53" s="28"/>
      <c r="H53" s="25"/>
      <c r="I53" s="25"/>
      <c r="J53" s="28"/>
      <c r="K53" s="29" t="str">
        <f t="shared" si="1"/>
        <v/>
      </c>
      <c r="L53" s="25"/>
      <c r="M53" s="29" t="str">
        <f t="shared" si="2"/>
        <v/>
      </c>
      <c r="N53" s="28"/>
      <c r="O53" s="29" t="str">
        <f t="shared" si="3"/>
        <v/>
      </c>
      <c r="P53" s="29" t="str">
        <f t="shared" si="4"/>
        <v/>
      </c>
      <c r="Q53" s="24" t="str">
        <f t="shared" si="5"/>
        <v/>
      </c>
      <c r="R53" s="25"/>
      <c r="S53" s="27"/>
      <c r="T53" s="24" t="str">
        <f t="shared" si="6"/>
        <v/>
      </c>
      <c r="U53" s="24" t="str">
        <f t="shared" si="7"/>
        <v/>
      </c>
      <c r="V53" s="24">
        <f>IF(OR(U53="",D53=""),0,IF(SUMPRODUCT(--(U$4:U53=U53))&gt;1,1,0))</f>
        <v>0</v>
      </c>
      <c r="W53" s="24">
        <f t="shared" si="8"/>
        <v>0</v>
      </c>
      <c r="X53" s="24">
        <f t="shared" si="9"/>
        <v>0</v>
      </c>
    </row>
    <row r="54" spans="1:24" x14ac:dyDescent="0.25">
      <c r="A54" s="24">
        <v>51</v>
      </c>
      <c r="B54" s="25"/>
      <c r="C54" s="26" t="str">
        <f t="shared" si="0"/>
        <v/>
      </c>
      <c r="D54" s="25"/>
      <c r="E54" s="27"/>
      <c r="F54" s="28"/>
      <c r="G54" s="28"/>
      <c r="H54" s="25"/>
      <c r="I54" s="25"/>
      <c r="J54" s="28"/>
      <c r="K54" s="29" t="str">
        <f t="shared" si="1"/>
        <v/>
      </c>
      <c r="L54" s="25"/>
      <c r="M54" s="29" t="str">
        <f t="shared" si="2"/>
        <v/>
      </c>
      <c r="N54" s="28"/>
      <c r="O54" s="29" t="str">
        <f t="shared" si="3"/>
        <v/>
      </c>
      <c r="P54" s="29" t="str">
        <f t="shared" si="4"/>
        <v/>
      </c>
      <c r="Q54" s="24" t="str">
        <f t="shared" si="5"/>
        <v/>
      </c>
      <c r="R54" s="25"/>
      <c r="S54" s="27"/>
      <c r="T54" s="24" t="str">
        <f t="shared" si="6"/>
        <v/>
      </c>
      <c r="U54" s="24" t="str">
        <f t="shared" si="7"/>
        <v/>
      </c>
      <c r="V54" s="24">
        <f>IF(OR(U54="",D54=""),0,IF(SUMPRODUCT(--(U$4:U54=U54))&gt;1,1,0))</f>
        <v>0</v>
      </c>
      <c r="W54" s="24">
        <f t="shared" si="8"/>
        <v>0</v>
      </c>
      <c r="X54" s="24">
        <f t="shared" si="9"/>
        <v>0</v>
      </c>
    </row>
    <row r="55" spans="1:24" x14ac:dyDescent="0.25">
      <c r="A55" s="24">
        <v>52</v>
      </c>
      <c r="B55" s="25"/>
      <c r="C55" s="26" t="str">
        <f t="shared" si="0"/>
        <v/>
      </c>
      <c r="D55" s="25"/>
      <c r="E55" s="27"/>
      <c r="F55" s="28"/>
      <c r="G55" s="28"/>
      <c r="H55" s="25"/>
      <c r="I55" s="25"/>
      <c r="J55" s="28"/>
      <c r="K55" s="29" t="str">
        <f t="shared" si="1"/>
        <v/>
      </c>
      <c r="L55" s="25"/>
      <c r="M55" s="29" t="str">
        <f t="shared" si="2"/>
        <v/>
      </c>
      <c r="N55" s="28"/>
      <c r="O55" s="29" t="str">
        <f t="shared" si="3"/>
        <v/>
      </c>
      <c r="P55" s="29" t="str">
        <f t="shared" si="4"/>
        <v/>
      </c>
      <c r="Q55" s="24" t="str">
        <f t="shared" si="5"/>
        <v/>
      </c>
      <c r="R55" s="25"/>
      <c r="S55" s="27"/>
      <c r="T55" s="24" t="str">
        <f t="shared" si="6"/>
        <v/>
      </c>
      <c r="U55" s="24" t="str">
        <f t="shared" si="7"/>
        <v/>
      </c>
      <c r="V55" s="24">
        <f>IF(OR(U55="",D55=""),0,IF(SUMPRODUCT(--(U$4:U55=U55))&gt;1,1,0))</f>
        <v>0</v>
      </c>
      <c r="W55" s="24">
        <f t="shared" si="8"/>
        <v>0</v>
      </c>
      <c r="X55" s="24">
        <f t="shared" si="9"/>
        <v>0</v>
      </c>
    </row>
    <row r="56" spans="1:24" x14ac:dyDescent="0.25">
      <c r="A56" s="24">
        <v>53</v>
      </c>
      <c r="B56" s="25"/>
      <c r="C56" s="26" t="str">
        <f t="shared" si="0"/>
        <v/>
      </c>
      <c r="D56" s="25"/>
      <c r="E56" s="27"/>
      <c r="F56" s="28"/>
      <c r="G56" s="28"/>
      <c r="H56" s="25"/>
      <c r="I56" s="25"/>
      <c r="J56" s="28"/>
      <c r="K56" s="29" t="str">
        <f t="shared" si="1"/>
        <v/>
      </c>
      <c r="L56" s="25"/>
      <c r="M56" s="29" t="str">
        <f t="shared" si="2"/>
        <v/>
      </c>
      <c r="N56" s="28"/>
      <c r="O56" s="29" t="str">
        <f t="shared" si="3"/>
        <v/>
      </c>
      <c r="P56" s="29" t="str">
        <f t="shared" si="4"/>
        <v/>
      </c>
      <c r="Q56" s="24" t="str">
        <f t="shared" si="5"/>
        <v/>
      </c>
      <c r="R56" s="25"/>
      <c r="S56" s="27"/>
      <c r="T56" s="24" t="str">
        <f t="shared" si="6"/>
        <v/>
      </c>
      <c r="U56" s="24" t="str">
        <f t="shared" si="7"/>
        <v/>
      </c>
      <c r="V56" s="24">
        <f>IF(OR(U56="",D56=""),0,IF(SUMPRODUCT(--(U$4:U56=U56))&gt;1,1,0))</f>
        <v>0</v>
      </c>
      <c r="W56" s="24">
        <f t="shared" si="8"/>
        <v>0</v>
      </c>
      <c r="X56" s="24">
        <f t="shared" si="9"/>
        <v>0</v>
      </c>
    </row>
    <row r="57" spans="1:24" x14ac:dyDescent="0.25">
      <c r="A57" s="24">
        <v>54</v>
      </c>
      <c r="B57" s="25"/>
      <c r="C57" s="26" t="str">
        <f t="shared" si="0"/>
        <v/>
      </c>
      <c r="D57" s="25"/>
      <c r="E57" s="27"/>
      <c r="F57" s="28"/>
      <c r="G57" s="28"/>
      <c r="H57" s="25"/>
      <c r="I57" s="25"/>
      <c r="J57" s="28"/>
      <c r="K57" s="29" t="str">
        <f t="shared" si="1"/>
        <v/>
      </c>
      <c r="L57" s="25"/>
      <c r="M57" s="29" t="str">
        <f t="shared" si="2"/>
        <v/>
      </c>
      <c r="N57" s="28"/>
      <c r="O57" s="29" t="str">
        <f t="shared" si="3"/>
        <v/>
      </c>
      <c r="P57" s="29" t="str">
        <f t="shared" si="4"/>
        <v/>
      </c>
      <c r="Q57" s="24" t="str">
        <f t="shared" si="5"/>
        <v/>
      </c>
      <c r="R57" s="25"/>
      <c r="S57" s="27"/>
      <c r="T57" s="24" t="str">
        <f t="shared" si="6"/>
        <v/>
      </c>
      <c r="U57" s="24" t="str">
        <f t="shared" si="7"/>
        <v/>
      </c>
      <c r="V57" s="24">
        <f>IF(OR(U57="",D57=""),0,IF(SUMPRODUCT(--(U$4:U57=U57))&gt;1,1,0))</f>
        <v>0</v>
      </c>
      <c r="W57" s="24">
        <f t="shared" si="8"/>
        <v>0</v>
      </c>
      <c r="X57" s="24">
        <f t="shared" si="9"/>
        <v>0</v>
      </c>
    </row>
    <row r="58" spans="1:24" x14ac:dyDescent="0.25">
      <c r="A58" s="24">
        <v>55</v>
      </c>
      <c r="B58" s="25"/>
      <c r="C58" s="26" t="str">
        <f t="shared" si="0"/>
        <v/>
      </c>
      <c r="D58" s="25"/>
      <c r="E58" s="27"/>
      <c r="F58" s="28"/>
      <c r="G58" s="28"/>
      <c r="H58" s="25"/>
      <c r="I58" s="25"/>
      <c r="J58" s="28"/>
      <c r="K58" s="29" t="str">
        <f t="shared" si="1"/>
        <v/>
      </c>
      <c r="L58" s="25"/>
      <c r="M58" s="29" t="str">
        <f t="shared" si="2"/>
        <v/>
      </c>
      <c r="N58" s="28"/>
      <c r="O58" s="29" t="str">
        <f t="shared" si="3"/>
        <v/>
      </c>
      <c r="P58" s="29" t="str">
        <f t="shared" si="4"/>
        <v/>
      </c>
      <c r="Q58" s="24" t="str">
        <f t="shared" si="5"/>
        <v/>
      </c>
      <c r="R58" s="25"/>
      <c r="S58" s="27"/>
      <c r="T58" s="24" t="str">
        <f t="shared" si="6"/>
        <v/>
      </c>
      <c r="U58" s="24" t="str">
        <f t="shared" si="7"/>
        <v/>
      </c>
      <c r="V58" s="24">
        <f>IF(OR(U58="",D58=""),0,IF(SUMPRODUCT(--(U$4:U58=U58))&gt;1,1,0))</f>
        <v>0</v>
      </c>
      <c r="W58" s="24">
        <f t="shared" si="8"/>
        <v>0</v>
      </c>
      <c r="X58" s="24">
        <f t="shared" si="9"/>
        <v>0</v>
      </c>
    </row>
    <row r="59" spans="1:24" x14ac:dyDescent="0.25">
      <c r="A59" s="24">
        <v>56</v>
      </c>
      <c r="B59" s="25"/>
      <c r="C59" s="26" t="str">
        <f t="shared" si="0"/>
        <v/>
      </c>
      <c r="D59" s="25"/>
      <c r="E59" s="27"/>
      <c r="F59" s="28"/>
      <c r="G59" s="28"/>
      <c r="H59" s="25"/>
      <c r="I59" s="25"/>
      <c r="J59" s="28"/>
      <c r="K59" s="29" t="str">
        <f t="shared" si="1"/>
        <v/>
      </c>
      <c r="L59" s="25"/>
      <c r="M59" s="29" t="str">
        <f t="shared" si="2"/>
        <v/>
      </c>
      <c r="N59" s="28"/>
      <c r="O59" s="29" t="str">
        <f t="shared" si="3"/>
        <v/>
      </c>
      <c r="P59" s="29" t="str">
        <f t="shared" si="4"/>
        <v/>
      </c>
      <c r="Q59" s="24" t="str">
        <f t="shared" si="5"/>
        <v/>
      </c>
      <c r="R59" s="25"/>
      <c r="S59" s="27"/>
      <c r="T59" s="24" t="str">
        <f t="shared" si="6"/>
        <v/>
      </c>
      <c r="U59" s="24" t="str">
        <f t="shared" si="7"/>
        <v/>
      </c>
      <c r="V59" s="24">
        <f>IF(OR(U59="",D59=""),0,IF(SUMPRODUCT(--(U$4:U59=U59))&gt;1,1,0))</f>
        <v>0</v>
      </c>
      <c r="W59" s="24">
        <f t="shared" si="8"/>
        <v>0</v>
      </c>
      <c r="X59" s="24">
        <f t="shared" si="9"/>
        <v>0</v>
      </c>
    </row>
    <row r="60" spans="1:24" x14ac:dyDescent="0.25">
      <c r="A60" s="24">
        <v>57</v>
      </c>
      <c r="B60" s="25"/>
      <c r="C60" s="26" t="str">
        <f t="shared" si="0"/>
        <v/>
      </c>
      <c r="D60" s="25"/>
      <c r="E60" s="27"/>
      <c r="F60" s="28"/>
      <c r="G60" s="28"/>
      <c r="H60" s="25"/>
      <c r="I60" s="25"/>
      <c r="J60" s="28"/>
      <c r="K60" s="29" t="str">
        <f t="shared" si="1"/>
        <v/>
      </c>
      <c r="L60" s="25"/>
      <c r="M60" s="29" t="str">
        <f t="shared" si="2"/>
        <v/>
      </c>
      <c r="N60" s="28"/>
      <c r="O60" s="29" t="str">
        <f t="shared" si="3"/>
        <v/>
      </c>
      <c r="P60" s="29" t="str">
        <f t="shared" si="4"/>
        <v/>
      </c>
      <c r="Q60" s="24" t="str">
        <f t="shared" si="5"/>
        <v/>
      </c>
      <c r="R60" s="25"/>
      <c r="S60" s="27"/>
      <c r="T60" s="24" t="str">
        <f t="shared" si="6"/>
        <v/>
      </c>
      <c r="U60" s="24" t="str">
        <f t="shared" si="7"/>
        <v/>
      </c>
      <c r="V60" s="24">
        <f>IF(OR(U60="",D60=""),0,IF(SUMPRODUCT(--(U$4:U60=U60))&gt;1,1,0))</f>
        <v>0</v>
      </c>
      <c r="W60" s="24">
        <f t="shared" si="8"/>
        <v>0</v>
      </c>
      <c r="X60" s="24">
        <f t="shared" si="9"/>
        <v>0</v>
      </c>
    </row>
    <row r="61" spans="1:24" x14ac:dyDescent="0.25">
      <c r="A61" s="24">
        <v>58</v>
      </c>
      <c r="B61" s="25"/>
      <c r="C61" s="26" t="str">
        <f t="shared" si="0"/>
        <v/>
      </c>
      <c r="D61" s="25"/>
      <c r="E61" s="27"/>
      <c r="F61" s="28"/>
      <c r="G61" s="28"/>
      <c r="H61" s="25"/>
      <c r="I61" s="25"/>
      <c r="J61" s="28"/>
      <c r="K61" s="29" t="str">
        <f t="shared" si="1"/>
        <v/>
      </c>
      <c r="L61" s="25"/>
      <c r="M61" s="29" t="str">
        <f t="shared" si="2"/>
        <v/>
      </c>
      <c r="N61" s="28"/>
      <c r="O61" s="29" t="str">
        <f t="shared" si="3"/>
        <v/>
      </c>
      <c r="P61" s="29" t="str">
        <f t="shared" si="4"/>
        <v/>
      </c>
      <c r="Q61" s="24" t="str">
        <f t="shared" si="5"/>
        <v/>
      </c>
      <c r="R61" s="25"/>
      <c r="S61" s="27"/>
      <c r="T61" s="24" t="str">
        <f t="shared" si="6"/>
        <v/>
      </c>
      <c r="U61" s="24" t="str">
        <f t="shared" si="7"/>
        <v/>
      </c>
      <c r="V61" s="24">
        <f>IF(OR(U61="",D61=""),0,IF(SUMPRODUCT(--(U$4:U61=U61))&gt;1,1,0))</f>
        <v>0</v>
      </c>
      <c r="W61" s="24">
        <f t="shared" si="8"/>
        <v>0</v>
      </c>
      <c r="X61" s="24">
        <f t="shared" si="9"/>
        <v>0</v>
      </c>
    </row>
    <row r="62" spans="1:24" x14ac:dyDescent="0.25">
      <c r="A62" s="24">
        <v>59</v>
      </c>
      <c r="B62" s="25"/>
      <c r="C62" s="26" t="str">
        <f t="shared" si="0"/>
        <v/>
      </c>
      <c r="D62" s="25"/>
      <c r="E62" s="27"/>
      <c r="F62" s="28"/>
      <c r="G62" s="28"/>
      <c r="H62" s="25"/>
      <c r="I62" s="25"/>
      <c r="J62" s="28"/>
      <c r="K62" s="29" t="str">
        <f t="shared" si="1"/>
        <v/>
      </c>
      <c r="L62" s="25"/>
      <c r="M62" s="29" t="str">
        <f t="shared" si="2"/>
        <v/>
      </c>
      <c r="N62" s="28"/>
      <c r="O62" s="29" t="str">
        <f t="shared" si="3"/>
        <v/>
      </c>
      <c r="P62" s="29" t="str">
        <f t="shared" si="4"/>
        <v/>
      </c>
      <c r="Q62" s="24" t="str">
        <f t="shared" si="5"/>
        <v/>
      </c>
      <c r="R62" s="25"/>
      <c r="S62" s="27"/>
      <c r="T62" s="24" t="str">
        <f t="shared" si="6"/>
        <v/>
      </c>
      <c r="U62" s="24" t="str">
        <f t="shared" si="7"/>
        <v/>
      </c>
      <c r="V62" s="24">
        <f>IF(OR(U62="",D62=""),0,IF(SUMPRODUCT(--(U$4:U62=U62))&gt;1,1,0))</f>
        <v>0</v>
      </c>
      <c r="W62" s="24">
        <f t="shared" si="8"/>
        <v>0</v>
      </c>
      <c r="X62" s="24">
        <f t="shared" si="9"/>
        <v>0</v>
      </c>
    </row>
    <row r="63" spans="1:24" x14ac:dyDescent="0.25">
      <c r="A63" s="24">
        <v>60</v>
      </c>
      <c r="B63" s="25"/>
      <c r="C63" s="26" t="str">
        <f t="shared" si="0"/>
        <v/>
      </c>
      <c r="D63" s="25"/>
      <c r="E63" s="27"/>
      <c r="F63" s="28"/>
      <c r="G63" s="28"/>
      <c r="H63" s="25"/>
      <c r="I63" s="25"/>
      <c r="J63" s="28"/>
      <c r="K63" s="29" t="str">
        <f t="shared" si="1"/>
        <v/>
      </c>
      <c r="L63" s="25"/>
      <c r="M63" s="29" t="str">
        <f t="shared" si="2"/>
        <v/>
      </c>
      <c r="N63" s="28"/>
      <c r="O63" s="29" t="str">
        <f t="shared" si="3"/>
        <v/>
      </c>
      <c r="P63" s="29" t="str">
        <f t="shared" si="4"/>
        <v/>
      </c>
      <c r="Q63" s="24" t="str">
        <f t="shared" si="5"/>
        <v/>
      </c>
      <c r="R63" s="25"/>
      <c r="S63" s="27"/>
      <c r="T63" s="24" t="str">
        <f t="shared" si="6"/>
        <v/>
      </c>
      <c r="U63" s="24" t="str">
        <f t="shared" si="7"/>
        <v/>
      </c>
      <c r="V63" s="24">
        <f>IF(OR(U63="",D63=""),0,IF(SUMPRODUCT(--(U$4:U63=U63))&gt;1,1,0))</f>
        <v>0</v>
      </c>
      <c r="W63" s="24">
        <f t="shared" si="8"/>
        <v>0</v>
      </c>
      <c r="X63" s="24">
        <f t="shared" si="9"/>
        <v>0</v>
      </c>
    </row>
    <row r="64" spans="1:24" x14ac:dyDescent="0.25">
      <c r="A64" s="24">
        <v>61</v>
      </c>
      <c r="B64" s="25"/>
      <c r="C64" s="26" t="str">
        <f t="shared" si="0"/>
        <v/>
      </c>
      <c r="D64" s="25"/>
      <c r="E64" s="27"/>
      <c r="F64" s="28"/>
      <c r="G64" s="28"/>
      <c r="H64" s="25"/>
      <c r="I64" s="25"/>
      <c r="J64" s="28"/>
      <c r="K64" s="29" t="str">
        <f t="shared" si="1"/>
        <v/>
      </c>
      <c r="L64" s="25"/>
      <c r="M64" s="29" t="str">
        <f t="shared" si="2"/>
        <v/>
      </c>
      <c r="N64" s="28"/>
      <c r="O64" s="29" t="str">
        <f t="shared" si="3"/>
        <v/>
      </c>
      <c r="P64" s="29" t="str">
        <f t="shared" si="4"/>
        <v/>
      </c>
      <c r="Q64" s="24" t="str">
        <f t="shared" si="5"/>
        <v/>
      </c>
      <c r="R64" s="25"/>
      <c r="S64" s="27"/>
      <c r="T64" s="24" t="str">
        <f t="shared" si="6"/>
        <v/>
      </c>
      <c r="U64" s="24" t="str">
        <f t="shared" si="7"/>
        <v/>
      </c>
      <c r="V64" s="24">
        <f>IF(OR(U64="",D64=""),0,IF(SUMPRODUCT(--(U$4:U64=U64))&gt;1,1,0))</f>
        <v>0</v>
      </c>
      <c r="W64" s="24">
        <f t="shared" si="8"/>
        <v>0</v>
      </c>
      <c r="X64" s="24">
        <f t="shared" si="9"/>
        <v>0</v>
      </c>
    </row>
    <row r="65" spans="1:24" x14ac:dyDescent="0.25">
      <c r="A65" s="24">
        <v>62</v>
      </c>
      <c r="B65" s="25"/>
      <c r="C65" s="26" t="str">
        <f t="shared" si="0"/>
        <v/>
      </c>
      <c r="D65" s="25"/>
      <c r="E65" s="27"/>
      <c r="F65" s="28"/>
      <c r="G65" s="28"/>
      <c r="H65" s="25"/>
      <c r="I65" s="25"/>
      <c r="J65" s="28"/>
      <c r="K65" s="29" t="str">
        <f t="shared" si="1"/>
        <v/>
      </c>
      <c r="L65" s="25"/>
      <c r="M65" s="29" t="str">
        <f t="shared" si="2"/>
        <v/>
      </c>
      <c r="N65" s="28"/>
      <c r="O65" s="29" t="str">
        <f t="shared" si="3"/>
        <v/>
      </c>
      <c r="P65" s="29" t="str">
        <f t="shared" si="4"/>
        <v/>
      </c>
      <c r="Q65" s="24" t="str">
        <f t="shared" si="5"/>
        <v/>
      </c>
      <c r="R65" s="25"/>
      <c r="S65" s="27"/>
      <c r="T65" s="24" t="str">
        <f t="shared" si="6"/>
        <v/>
      </c>
      <c r="U65" s="24" t="str">
        <f t="shared" si="7"/>
        <v/>
      </c>
      <c r="V65" s="24">
        <f>IF(OR(U65="",D65=""),0,IF(SUMPRODUCT(--(U$4:U65=U65))&gt;1,1,0))</f>
        <v>0</v>
      </c>
      <c r="W65" s="24">
        <f t="shared" si="8"/>
        <v>0</v>
      </c>
      <c r="X65" s="24">
        <f t="shared" si="9"/>
        <v>0</v>
      </c>
    </row>
    <row r="66" spans="1:24" x14ac:dyDescent="0.25">
      <c r="A66" s="24">
        <v>63</v>
      </c>
      <c r="B66" s="25"/>
      <c r="C66" s="26" t="str">
        <f t="shared" si="0"/>
        <v/>
      </c>
      <c r="D66" s="25"/>
      <c r="E66" s="27"/>
      <c r="F66" s="28"/>
      <c r="G66" s="28"/>
      <c r="H66" s="25"/>
      <c r="I66" s="25"/>
      <c r="J66" s="28"/>
      <c r="K66" s="29" t="str">
        <f t="shared" si="1"/>
        <v/>
      </c>
      <c r="L66" s="25"/>
      <c r="M66" s="29" t="str">
        <f t="shared" si="2"/>
        <v/>
      </c>
      <c r="N66" s="28"/>
      <c r="O66" s="29" t="str">
        <f t="shared" si="3"/>
        <v/>
      </c>
      <c r="P66" s="29" t="str">
        <f t="shared" si="4"/>
        <v/>
      </c>
      <c r="Q66" s="24" t="str">
        <f t="shared" si="5"/>
        <v/>
      </c>
      <c r="R66" s="25"/>
      <c r="S66" s="27"/>
      <c r="T66" s="24" t="str">
        <f t="shared" si="6"/>
        <v/>
      </c>
      <c r="U66" s="24" t="str">
        <f t="shared" si="7"/>
        <v/>
      </c>
      <c r="V66" s="24">
        <f>IF(OR(U66="",D66=""),0,IF(SUMPRODUCT(--(U$4:U66=U66))&gt;1,1,0))</f>
        <v>0</v>
      </c>
      <c r="W66" s="24">
        <f t="shared" si="8"/>
        <v>0</v>
      </c>
      <c r="X66" s="24">
        <f t="shared" si="9"/>
        <v>0</v>
      </c>
    </row>
    <row r="67" spans="1:24" x14ac:dyDescent="0.25">
      <c r="A67" s="24">
        <v>64</v>
      </c>
      <c r="B67" s="25"/>
      <c r="C67" s="26" t="str">
        <f t="shared" si="0"/>
        <v/>
      </c>
      <c r="D67" s="25"/>
      <c r="E67" s="27"/>
      <c r="F67" s="28"/>
      <c r="G67" s="28"/>
      <c r="H67" s="25"/>
      <c r="I67" s="25"/>
      <c r="J67" s="28"/>
      <c r="K67" s="29" t="str">
        <f t="shared" si="1"/>
        <v/>
      </c>
      <c r="L67" s="25"/>
      <c r="M67" s="29" t="str">
        <f t="shared" si="2"/>
        <v/>
      </c>
      <c r="N67" s="28"/>
      <c r="O67" s="29" t="str">
        <f t="shared" si="3"/>
        <v/>
      </c>
      <c r="P67" s="29" t="str">
        <f t="shared" si="4"/>
        <v/>
      </c>
      <c r="Q67" s="24" t="str">
        <f t="shared" si="5"/>
        <v/>
      </c>
      <c r="R67" s="25"/>
      <c r="S67" s="27"/>
      <c r="T67" s="24" t="str">
        <f t="shared" si="6"/>
        <v/>
      </c>
      <c r="U67" s="24" t="str">
        <f t="shared" si="7"/>
        <v/>
      </c>
      <c r="V67" s="24">
        <f>IF(OR(U67="",D67=""),0,IF(SUMPRODUCT(--(U$4:U67=U67))&gt;1,1,0))</f>
        <v>0</v>
      </c>
      <c r="W67" s="24">
        <f t="shared" si="8"/>
        <v>0</v>
      </c>
      <c r="X67" s="24">
        <f t="shared" si="9"/>
        <v>0</v>
      </c>
    </row>
    <row r="68" spans="1:24" x14ac:dyDescent="0.25">
      <c r="A68" s="24">
        <v>65</v>
      </c>
      <c r="B68" s="25"/>
      <c r="C68" s="26" t="str">
        <f t="shared" ref="C68:C131" si="10">IF(B68="","",IFERROR(INDEX(SpaceNames,MATCH(B68,SpaceCodes,0))&amp;"",""))</f>
        <v/>
      </c>
      <c r="D68" s="25"/>
      <c r="E68" s="27"/>
      <c r="F68" s="28"/>
      <c r="G68" s="28"/>
      <c r="H68" s="25"/>
      <c r="I68" s="25"/>
      <c r="J68" s="28"/>
      <c r="K68" s="29" t="str">
        <f t="shared" ref="K68:K131" si="11">IF(U68="","",IF(V68=1,0,IF(I68="يدوي",IF(J68&lt;&gt;"",J68*IF(H68="",1,H68),""),IF(AND(F68&lt;&gt;"",G68&lt;&gt;""),F68*G68*IF(H68="",1,H68),""))))</f>
        <v/>
      </c>
      <c r="L68" s="25"/>
      <c r="M68" s="29" t="str">
        <f t="shared" ref="M68:M131" si="12">IF(U68="","",IF(OR(X68=0,B68="",D68=""),0,IF(E68="",0,SUMIFS(OP_Area,OP_Space,B68,OP_Wall,D68,OP_DedFin,"نعم",OP_Target,E68))+IF(W68=1,SUMIFS(OP_Area,OP_Space,B68,OP_Wall,D68,OP_DedFin,"نعم",OP_Target,""),0)))</f>
        <v/>
      </c>
      <c r="N68" s="28"/>
      <c r="O68" s="29" t="str">
        <f t="shared" ref="O68:O131" si="13">IF(OR(U68="",K68=""),"",N(M68)+N(N68))</f>
        <v/>
      </c>
      <c r="P68" s="29" t="str">
        <f t="shared" ref="P68:P131" si="14">IF(OR(U68="",K68=""),"",K68-O68)</f>
        <v/>
      </c>
      <c r="Q68" s="24" t="str">
        <f t="shared" ref="Q68:Q131" si="15">IF(E68="","",IFERROR(IF(INDEX(WallUnit,MATCH(E68,WallMat,0))="","م²",INDEX(WallUnit,MATCH(E68,WallMat,0))),"م²"))</f>
        <v/>
      </c>
      <c r="R68" s="25"/>
      <c r="S68" s="27"/>
      <c r="T68" s="24" t="str">
        <f t="shared" ref="T68:T131" si="16">IF(U68="","",IF(V68=1,"تكرار — غير محتسب",IF(B68="","ناقص بيانات: كود الفراغ",IF(COUNTIF(SpaceCodes,B68)=0,"ناقص بيانات: الفراغ غير مسجل",IF(D68="","ناقص بيانات: كود الحائط",IF(E68="","ناقص بيانات: الخامة",IF(AND(K68="",I68="يدوي"),"ناقص قياس: أدخل المساحة المباشرة",IF(AND(K68="",J68&lt;&gt;""),"ناقص قياس: اختر «يدوي» أو أدخل الطول والارتفاع",IF(K68="","ناقص قياس",IF(O68&gt;K68+0.000001,"خطأ خصم: الخصم أكبر من الإجمالي",IF(R68="نعم","يحتاج مراجعة","مكتمل")))))))))))</f>
        <v/>
      </c>
      <c r="U68" s="24" t="str">
        <f t="shared" ref="U68:U131" si="17">IF(COUNTA(B68,D68:J68,N68)=0,"",B68&amp;"|"&amp;D68&amp;"|"&amp;E68)</f>
        <v/>
      </c>
      <c r="V68" s="24">
        <f>IF(OR(U68="",D68=""),0,IF(SUMPRODUCT(--(U$4:U68=U68))&gt;1,1,0))</f>
        <v>0</v>
      </c>
      <c r="W68" s="24">
        <f t="shared" ref="W68:W131" si="18">IF(OR(U68="",B68="",D68=""),0,COUNTIFS(WL_Space,B68,WL_Wall,D68,WL_Dup,0))</f>
        <v>0</v>
      </c>
      <c r="X68" s="24">
        <f t="shared" ref="X68:X131" si="19">IF(OR(U68="",V68=1,L68="لا"),0,1)</f>
        <v>0</v>
      </c>
    </row>
    <row r="69" spans="1:24" x14ac:dyDescent="0.25">
      <c r="A69" s="24">
        <v>66</v>
      </c>
      <c r="B69" s="25"/>
      <c r="C69" s="26" t="str">
        <f t="shared" si="10"/>
        <v/>
      </c>
      <c r="D69" s="25"/>
      <c r="E69" s="27"/>
      <c r="F69" s="28"/>
      <c r="G69" s="28"/>
      <c r="H69" s="25"/>
      <c r="I69" s="25"/>
      <c r="J69" s="28"/>
      <c r="K69" s="29" t="str">
        <f t="shared" si="11"/>
        <v/>
      </c>
      <c r="L69" s="25"/>
      <c r="M69" s="29" t="str">
        <f t="shared" si="12"/>
        <v/>
      </c>
      <c r="N69" s="28"/>
      <c r="O69" s="29" t="str">
        <f t="shared" si="13"/>
        <v/>
      </c>
      <c r="P69" s="29" t="str">
        <f t="shared" si="14"/>
        <v/>
      </c>
      <c r="Q69" s="24" t="str">
        <f t="shared" si="15"/>
        <v/>
      </c>
      <c r="R69" s="25"/>
      <c r="S69" s="27"/>
      <c r="T69" s="24" t="str">
        <f t="shared" si="16"/>
        <v/>
      </c>
      <c r="U69" s="24" t="str">
        <f t="shared" si="17"/>
        <v/>
      </c>
      <c r="V69" s="24">
        <f>IF(OR(U69="",D69=""),0,IF(SUMPRODUCT(--(U$4:U69=U69))&gt;1,1,0))</f>
        <v>0</v>
      </c>
      <c r="W69" s="24">
        <f t="shared" si="18"/>
        <v>0</v>
      </c>
      <c r="X69" s="24">
        <f t="shared" si="19"/>
        <v>0</v>
      </c>
    </row>
    <row r="70" spans="1:24" x14ac:dyDescent="0.25">
      <c r="A70" s="24">
        <v>67</v>
      </c>
      <c r="B70" s="25"/>
      <c r="C70" s="26" t="str">
        <f t="shared" si="10"/>
        <v/>
      </c>
      <c r="D70" s="25"/>
      <c r="E70" s="27"/>
      <c r="F70" s="28"/>
      <c r="G70" s="28"/>
      <c r="H70" s="25"/>
      <c r="I70" s="25"/>
      <c r="J70" s="28"/>
      <c r="K70" s="29" t="str">
        <f t="shared" si="11"/>
        <v/>
      </c>
      <c r="L70" s="25"/>
      <c r="M70" s="29" t="str">
        <f t="shared" si="12"/>
        <v/>
      </c>
      <c r="N70" s="28"/>
      <c r="O70" s="29" t="str">
        <f t="shared" si="13"/>
        <v/>
      </c>
      <c r="P70" s="29" t="str">
        <f t="shared" si="14"/>
        <v/>
      </c>
      <c r="Q70" s="24" t="str">
        <f t="shared" si="15"/>
        <v/>
      </c>
      <c r="R70" s="25"/>
      <c r="S70" s="27"/>
      <c r="T70" s="24" t="str">
        <f t="shared" si="16"/>
        <v/>
      </c>
      <c r="U70" s="24" t="str">
        <f t="shared" si="17"/>
        <v/>
      </c>
      <c r="V70" s="24">
        <f>IF(OR(U70="",D70=""),0,IF(SUMPRODUCT(--(U$4:U70=U70))&gt;1,1,0))</f>
        <v>0</v>
      </c>
      <c r="W70" s="24">
        <f t="shared" si="18"/>
        <v>0</v>
      </c>
      <c r="X70" s="24">
        <f t="shared" si="19"/>
        <v>0</v>
      </c>
    </row>
    <row r="71" spans="1:24" x14ac:dyDescent="0.25">
      <c r="A71" s="24">
        <v>68</v>
      </c>
      <c r="B71" s="25"/>
      <c r="C71" s="26" t="str">
        <f t="shared" si="10"/>
        <v/>
      </c>
      <c r="D71" s="25"/>
      <c r="E71" s="27"/>
      <c r="F71" s="28"/>
      <c r="G71" s="28"/>
      <c r="H71" s="25"/>
      <c r="I71" s="25"/>
      <c r="J71" s="28"/>
      <c r="K71" s="29" t="str">
        <f t="shared" si="11"/>
        <v/>
      </c>
      <c r="L71" s="25"/>
      <c r="M71" s="29" t="str">
        <f t="shared" si="12"/>
        <v/>
      </c>
      <c r="N71" s="28"/>
      <c r="O71" s="29" t="str">
        <f t="shared" si="13"/>
        <v/>
      </c>
      <c r="P71" s="29" t="str">
        <f t="shared" si="14"/>
        <v/>
      </c>
      <c r="Q71" s="24" t="str">
        <f t="shared" si="15"/>
        <v/>
      </c>
      <c r="R71" s="25"/>
      <c r="S71" s="27"/>
      <c r="T71" s="24" t="str">
        <f t="shared" si="16"/>
        <v/>
      </c>
      <c r="U71" s="24" t="str">
        <f t="shared" si="17"/>
        <v/>
      </c>
      <c r="V71" s="24">
        <f>IF(OR(U71="",D71=""),0,IF(SUMPRODUCT(--(U$4:U71=U71))&gt;1,1,0))</f>
        <v>0</v>
      </c>
      <c r="W71" s="24">
        <f t="shared" si="18"/>
        <v>0</v>
      </c>
      <c r="X71" s="24">
        <f t="shared" si="19"/>
        <v>0</v>
      </c>
    </row>
    <row r="72" spans="1:24" x14ac:dyDescent="0.25">
      <c r="A72" s="24">
        <v>69</v>
      </c>
      <c r="B72" s="25"/>
      <c r="C72" s="26" t="str">
        <f t="shared" si="10"/>
        <v/>
      </c>
      <c r="D72" s="25"/>
      <c r="E72" s="27"/>
      <c r="F72" s="28"/>
      <c r="G72" s="28"/>
      <c r="H72" s="25"/>
      <c r="I72" s="25"/>
      <c r="J72" s="28"/>
      <c r="K72" s="29" t="str">
        <f t="shared" si="11"/>
        <v/>
      </c>
      <c r="L72" s="25"/>
      <c r="M72" s="29" t="str">
        <f t="shared" si="12"/>
        <v/>
      </c>
      <c r="N72" s="28"/>
      <c r="O72" s="29" t="str">
        <f t="shared" si="13"/>
        <v/>
      </c>
      <c r="P72" s="29" t="str">
        <f t="shared" si="14"/>
        <v/>
      </c>
      <c r="Q72" s="24" t="str">
        <f t="shared" si="15"/>
        <v/>
      </c>
      <c r="R72" s="25"/>
      <c r="S72" s="27"/>
      <c r="T72" s="24" t="str">
        <f t="shared" si="16"/>
        <v/>
      </c>
      <c r="U72" s="24" t="str">
        <f t="shared" si="17"/>
        <v/>
      </c>
      <c r="V72" s="24">
        <f>IF(OR(U72="",D72=""),0,IF(SUMPRODUCT(--(U$4:U72=U72))&gt;1,1,0))</f>
        <v>0</v>
      </c>
      <c r="W72" s="24">
        <f t="shared" si="18"/>
        <v>0</v>
      </c>
      <c r="X72" s="24">
        <f t="shared" si="19"/>
        <v>0</v>
      </c>
    </row>
    <row r="73" spans="1:24" x14ac:dyDescent="0.25">
      <c r="A73" s="24">
        <v>70</v>
      </c>
      <c r="B73" s="25"/>
      <c r="C73" s="26" t="str">
        <f t="shared" si="10"/>
        <v/>
      </c>
      <c r="D73" s="25"/>
      <c r="E73" s="27"/>
      <c r="F73" s="28"/>
      <c r="G73" s="28"/>
      <c r="H73" s="25"/>
      <c r="I73" s="25"/>
      <c r="J73" s="28"/>
      <c r="K73" s="29" t="str">
        <f t="shared" si="11"/>
        <v/>
      </c>
      <c r="L73" s="25"/>
      <c r="M73" s="29" t="str">
        <f t="shared" si="12"/>
        <v/>
      </c>
      <c r="N73" s="28"/>
      <c r="O73" s="29" t="str">
        <f t="shared" si="13"/>
        <v/>
      </c>
      <c r="P73" s="29" t="str">
        <f t="shared" si="14"/>
        <v/>
      </c>
      <c r="Q73" s="24" t="str">
        <f t="shared" si="15"/>
        <v/>
      </c>
      <c r="R73" s="25"/>
      <c r="S73" s="27"/>
      <c r="T73" s="24" t="str">
        <f t="shared" si="16"/>
        <v/>
      </c>
      <c r="U73" s="24" t="str">
        <f t="shared" si="17"/>
        <v/>
      </c>
      <c r="V73" s="24">
        <f>IF(OR(U73="",D73=""),0,IF(SUMPRODUCT(--(U$4:U73=U73))&gt;1,1,0))</f>
        <v>0</v>
      </c>
      <c r="W73" s="24">
        <f t="shared" si="18"/>
        <v>0</v>
      </c>
      <c r="X73" s="24">
        <f t="shared" si="19"/>
        <v>0</v>
      </c>
    </row>
    <row r="74" spans="1:24" x14ac:dyDescent="0.25">
      <c r="A74" s="24">
        <v>71</v>
      </c>
      <c r="B74" s="25"/>
      <c r="C74" s="26" t="str">
        <f t="shared" si="10"/>
        <v/>
      </c>
      <c r="D74" s="25"/>
      <c r="E74" s="27"/>
      <c r="F74" s="28"/>
      <c r="G74" s="28"/>
      <c r="H74" s="25"/>
      <c r="I74" s="25"/>
      <c r="J74" s="28"/>
      <c r="K74" s="29" t="str">
        <f t="shared" si="11"/>
        <v/>
      </c>
      <c r="L74" s="25"/>
      <c r="M74" s="29" t="str">
        <f t="shared" si="12"/>
        <v/>
      </c>
      <c r="N74" s="28"/>
      <c r="O74" s="29" t="str">
        <f t="shared" si="13"/>
        <v/>
      </c>
      <c r="P74" s="29" t="str">
        <f t="shared" si="14"/>
        <v/>
      </c>
      <c r="Q74" s="24" t="str">
        <f t="shared" si="15"/>
        <v/>
      </c>
      <c r="R74" s="25"/>
      <c r="S74" s="27"/>
      <c r="T74" s="24" t="str">
        <f t="shared" si="16"/>
        <v/>
      </c>
      <c r="U74" s="24" t="str">
        <f t="shared" si="17"/>
        <v/>
      </c>
      <c r="V74" s="24">
        <f>IF(OR(U74="",D74=""),0,IF(SUMPRODUCT(--(U$4:U74=U74))&gt;1,1,0))</f>
        <v>0</v>
      </c>
      <c r="W74" s="24">
        <f t="shared" si="18"/>
        <v>0</v>
      </c>
      <c r="X74" s="24">
        <f t="shared" si="19"/>
        <v>0</v>
      </c>
    </row>
    <row r="75" spans="1:24" x14ac:dyDescent="0.25">
      <c r="A75" s="24">
        <v>72</v>
      </c>
      <c r="B75" s="25"/>
      <c r="C75" s="26" t="str">
        <f t="shared" si="10"/>
        <v/>
      </c>
      <c r="D75" s="25"/>
      <c r="E75" s="27"/>
      <c r="F75" s="28"/>
      <c r="G75" s="28"/>
      <c r="H75" s="25"/>
      <c r="I75" s="25"/>
      <c r="J75" s="28"/>
      <c r="K75" s="29" t="str">
        <f t="shared" si="11"/>
        <v/>
      </c>
      <c r="L75" s="25"/>
      <c r="M75" s="29" t="str">
        <f t="shared" si="12"/>
        <v/>
      </c>
      <c r="N75" s="28"/>
      <c r="O75" s="29" t="str">
        <f t="shared" si="13"/>
        <v/>
      </c>
      <c r="P75" s="29" t="str">
        <f t="shared" si="14"/>
        <v/>
      </c>
      <c r="Q75" s="24" t="str">
        <f t="shared" si="15"/>
        <v/>
      </c>
      <c r="R75" s="25"/>
      <c r="S75" s="27"/>
      <c r="T75" s="24" t="str">
        <f t="shared" si="16"/>
        <v/>
      </c>
      <c r="U75" s="24" t="str">
        <f t="shared" si="17"/>
        <v/>
      </c>
      <c r="V75" s="24">
        <f>IF(OR(U75="",D75=""),0,IF(SUMPRODUCT(--(U$4:U75=U75))&gt;1,1,0))</f>
        <v>0</v>
      </c>
      <c r="W75" s="24">
        <f t="shared" si="18"/>
        <v>0</v>
      </c>
      <c r="X75" s="24">
        <f t="shared" si="19"/>
        <v>0</v>
      </c>
    </row>
    <row r="76" spans="1:24" x14ac:dyDescent="0.25">
      <c r="A76" s="24">
        <v>73</v>
      </c>
      <c r="B76" s="25"/>
      <c r="C76" s="26" t="str">
        <f t="shared" si="10"/>
        <v/>
      </c>
      <c r="D76" s="25"/>
      <c r="E76" s="27"/>
      <c r="F76" s="28"/>
      <c r="G76" s="28"/>
      <c r="H76" s="25"/>
      <c r="I76" s="25"/>
      <c r="J76" s="28"/>
      <c r="K76" s="29" t="str">
        <f t="shared" si="11"/>
        <v/>
      </c>
      <c r="L76" s="25"/>
      <c r="M76" s="29" t="str">
        <f t="shared" si="12"/>
        <v/>
      </c>
      <c r="N76" s="28"/>
      <c r="O76" s="29" t="str">
        <f t="shared" si="13"/>
        <v/>
      </c>
      <c r="P76" s="29" t="str">
        <f t="shared" si="14"/>
        <v/>
      </c>
      <c r="Q76" s="24" t="str">
        <f t="shared" si="15"/>
        <v/>
      </c>
      <c r="R76" s="25"/>
      <c r="S76" s="27"/>
      <c r="T76" s="24" t="str">
        <f t="shared" si="16"/>
        <v/>
      </c>
      <c r="U76" s="24" t="str">
        <f t="shared" si="17"/>
        <v/>
      </c>
      <c r="V76" s="24">
        <f>IF(OR(U76="",D76=""),0,IF(SUMPRODUCT(--(U$4:U76=U76))&gt;1,1,0))</f>
        <v>0</v>
      </c>
      <c r="W76" s="24">
        <f t="shared" si="18"/>
        <v>0</v>
      </c>
      <c r="X76" s="24">
        <f t="shared" si="19"/>
        <v>0</v>
      </c>
    </row>
    <row r="77" spans="1:24" x14ac:dyDescent="0.25">
      <c r="A77" s="24">
        <v>74</v>
      </c>
      <c r="B77" s="25"/>
      <c r="C77" s="26" t="str">
        <f t="shared" si="10"/>
        <v/>
      </c>
      <c r="D77" s="25"/>
      <c r="E77" s="27"/>
      <c r="F77" s="28"/>
      <c r="G77" s="28"/>
      <c r="H77" s="25"/>
      <c r="I77" s="25"/>
      <c r="J77" s="28"/>
      <c r="K77" s="29" t="str">
        <f t="shared" si="11"/>
        <v/>
      </c>
      <c r="L77" s="25"/>
      <c r="M77" s="29" t="str">
        <f t="shared" si="12"/>
        <v/>
      </c>
      <c r="N77" s="28"/>
      <c r="O77" s="29" t="str">
        <f t="shared" si="13"/>
        <v/>
      </c>
      <c r="P77" s="29" t="str">
        <f t="shared" si="14"/>
        <v/>
      </c>
      <c r="Q77" s="24" t="str">
        <f t="shared" si="15"/>
        <v/>
      </c>
      <c r="R77" s="25"/>
      <c r="S77" s="27"/>
      <c r="T77" s="24" t="str">
        <f t="shared" si="16"/>
        <v/>
      </c>
      <c r="U77" s="24" t="str">
        <f t="shared" si="17"/>
        <v/>
      </c>
      <c r="V77" s="24">
        <f>IF(OR(U77="",D77=""),0,IF(SUMPRODUCT(--(U$4:U77=U77))&gt;1,1,0))</f>
        <v>0</v>
      </c>
      <c r="W77" s="24">
        <f t="shared" si="18"/>
        <v>0</v>
      </c>
      <c r="X77" s="24">
        <f t="shared" si="19"/>
        <v>0</v>
      </c>
    </row>
    <row r="78" spans="1:24" x14ac:dyDescent="0.25">
      <c r="A78" s="24">
        <v>75</v>
      </c>
      <c r="B78" s="25"/>
      <c r="C78" s="26" t="str">
        <f t="shared" si="10"/>
        <v/>
      </c>
      <c r="D78" s="25"/>
      <c r="E78" s="27"/>
      <c r="F78" s="28"/>
      <c r="G78" s="28"/>
      <c r="H78" s="25"/>
      <c r="I78" s="25"/>
      <c r="J78" s="28"/>
      <c r="K78" s="29" t="str">
        <f t="shared" si="11"/>
        <v/>
      </c>
      <c r="L78" s="25"/>
      <c r="M78" s="29" t="str">
        <f t="shared" si="12"/>
        <v/>
      </c>
      <c r="N78" s="28"/>
      <c r="O78" s="29" t="str">
        <f t="shared" si="13"/>
        <v/>
      </c>
      <c r="P78" s="29" t="str">
        <f t="shared" si="14"/>
        <v/>
      </c>
      <c r="Q78" s="24" t="str">
        <f t="shared" si="15"/>
        <v/>
      </c>
      <c r="R78" s="25"/>
      <c r="S78" s="27"/>
      <c r="T78" s="24" t="str">
        <f t="shared" si="16"/>
        <v/>
      </c>
      <c r="U78" s="24" t="str">
        <f t="shared" si="17"/>
        <v/>
      </c>
      <c r="V78" s="24">
        <f>IF(OR(U78="",D78=""),0,IF(SUMPRODUCT(--(U$4:U78=U78))&gt;1,1,0))</f>
        <v>0</v>
      </c>
      <c r="W78" s="24">
        <f t="shared" si="18"/>
        <v>0</v>
      </c>
      <c r="X78" s="24">
        <f t="shared" si="19"/>
        <v>0</v>
      </c>
    </row>
    <row r="79" spans="1:24" x14ac:dyDescent="0.25">
      <c r="A79" s="24">
        <v>76</v>
      </c>
      <c r="B79" s="25"/>
      <c r="C79" s="26" t="str">
        <f t="shared" si="10"/>
        <v/>
      </c>
      <c r="D79" s="25"/>
      <c r="E79" s="27"/>
      <c r="F79" s="28"/>
      <c r="G79" s="28"/>
      <c r="H79" s="25"/>
      <c r="I79" s="25"/>
      <c r="J79" s="28"/>
      <c r="K79" s="29" t="str">
        <f t="shared" si="11"/>
        <v/>
      </c>
      <c r="L79" s="25"/>
      <c r="M79" s="29" t="str">
        <f t="shared" si="12"/>
        <v/>
      </c>
      <c r="N79" s="28"/>
      <c r="O79" s="29" t="str">
        <f t="shared" si="13"/>
        <v/>
      </c>
      <c r="P79" s="29" t="str">
        <f t="shared" si="14"/>
        <v/>
      </c>
      <c r="Q79" s="24" t="str">
        <f t="shared" si="15"/>
        <v/>
      </c>
      <c r="R79" s="25"/>
      <c r="S79" s="27"/>
      <c r="T79" s="24" t="str">
        <f t="shared" si="16"/>
        <v/>
      </c>
      <c r="U79" s="24" t="str">
        <f t="shared" si="17"/>
        <v/>
      </c>
      <c r="V79" s="24">
        <f>IF(OR(U79="",D79=""),0,IF(SUMPRODUCT(--(U$4:U79=U79))&gt;1,1,0))</f>
        <v>0</v>
      </c>
      <c r="W79" s="24">
        <f t="shared" si="18"/>
        <v>0</v>
      </c>
      <c r="X79" s="24">
        <f t="shared" si="19"/>
        <v>0</v>
      </c>
    </row>
    <row r="80" spans="1:24" x14ac:dyDescent="0.25">
      <c r="A80" s="24">
        <v>77</v>
      </c>
      <c r="B80" s="25"/>
      <c r="C80" s="26" t="str">
        <f t="shared" si="10"/>
        <v/>
      </c>
      <c r="D80" s="25"/>
      <c r="E80" s="27"/>
      <c r="F80" s="28"/>
      <c r="G80" s="28"/>
      <c r="H80" s="25"/>
      <c r="I80" s="25"/>
      <c r="J80" s="28"/>
      <c r="K80" s="29" t="str">
        <f t="shared" si="11"/>
        <v/>
      </c>
      <c r="L80" s="25"/>
      <c r="M80" s="29" t="str">
        <f t="shared" si="12"/>
        <v/>
      </c>
      <c r="N80" s="28"/>
      <c r="O80" s="29" t="str">
        <f t="shared" si="13"/>
        <v/>
      </c>
      <c r="P80" s="29" t="str">
        <f t="shared" si="14"/>
        <v/>
      </c>
      <c r="Q80" s="24" t="str">
        <f t="shared" si="15"/>
        <v/>
      </c>
      <c r="R80" s="25"/>
      <c r="S80" s="27"/>
      <c r="T80" s="24" t="str">
        <f t="shared" si="16"/>
        <v/>
      </c>
      <c r="U80" s="24" t="str">
        <f t="shared" si="17"/>
        <v/>
      </c>
      <c r="V80" s="24">
        <f>IF(OR(U80="",D80=""),0,IF(SUMPRODUCT(--(U$4:U80=U80))&gt;1,1,0))</f>
        <v>0</v>
      </c>
      <c r="W80" s="24">
        <f t="shared" si="18"/>
        <v>0</v>
      </c>
      <c r="X80" s="24">
        <f t="shared" si="19"/>
        <v>0</v>
      </c>
    </row>
    <row r="81" spans="1:24" x14ac:dyDescent="0.25">
      <c r="A81" s="24">
        <v>78</v>
      </c>
      <c r="B81" s="25"/>
      <c r="C81" s="26" t="str">
        <f t="shared" si="10"/>
        <v/>
      </c>
      <c r="D81" s="25"/>
      <c r="E81" s="27"/>
      <c r="F81" s="28"/>
      <c r="G81" s="28"/>
      <c r="H81" s="25"/>
      <c r="I81" s="25"/>
      <c r="J81" s="28"/>
      <c r="K81" s="29" t="str">
        <f t="shared" si="11"/>
        <v/>
      </c>
      <c r="L81" s="25"/>
      <c r="M81" s="29" t="str">
        <f t="shared" si="12"/>
        <v/>
      </c>
      <c r="N81" s="28"/>
      <c r="O81" s="29" t="str">
        <f t="shared" si="13"/>
        <v/>
      </c>
      <c r="P81" s="29" t="str">
        <f t="shared" si="14"/>
        <v/>
      </c>
      <c r="Q81" s="24" t="str">
        <f t="shared" si="15"/>
        <v/>
      </c>
      <c r="R81" s="25"/>
      <c r="S81" s="27"/>
      <c r="T81" s="24" t="str">
        <f t="shared" si="16"/>
        <v/>
      </c>
      <c r="U81" s="24" t="str">
        <f t="shared" si="17"/>
        <v/>
      </c>
      <c r="V81" s="24">
        <f>IF(OR(U81="",D81=""),0,IF(SUMPRODUCT(--(U$4:U81=U81))&gt;1,1,0))</f>
        <v>0</v>
      </c>
      <c r="W81" s="24">
        <f t="shared" si="18"/>
        <v>0</v>
      </c>
      <c r="X81" s="24">
        <f t="shared" si="19"/>
        <v>0</v>
      </c>
    </row>
    <row r="82" spans="1:24" x14ac:dyDescent="0.25">
      <c r="A82" s="24">
        <v>79</v>
      </c>
      <c r="B82" s="25"/>
      <c r="C82" s="26" t="str">
        <f t="shared" si="10"/>
        <v/>
      </c>
      <c r="D82" s="25"/>
      <c r="E82" s="27"/>
      <c r="F82" s="28"/>
      <c r="G82" s="28"/>
      <c r="H82" s="25"/>
      <c r="I82" s="25"/>
      <c r="J82" s="28"/>
      <c r="K82" s="29" t="str">
        <f t="shared" si="11"/>
        <v/>
      </c>
      <c r="L82" s="25"/>
      <c r="M82" s="29" t="str">
        <f t="shared" si="12"/>
        <v/>
      </c>
      <c r="N82" s="28"/>
      <c r="O82" s="29" t="str">
        <f t="shared" si="13"/>
        <v/>
      </c>
      <c r="P82" s="29" t="str">
        <f t="shared" si="14"/>
        <v/>
      </c>
      <c r="Q82" s="24" t="str">
        <f t="shared" si="15"/>
        <v/>
      </c>
      <c r="R82" s="25"/>
      <c r="S82" s="27"/>
      <c r="T82" s="24" t="str">
        <f t="shared" si="16"/>
        <v/>
      </c>
      <c r="U82" s="24" t="str">
        <f t="shared" si="17"/>
        <v/>
      </c>
      <c r="V82" s="24">
        <f>IF(OR(U82="",D82=""),0,IF(SUMPRODUCT(--(U$4:U82=U82))&gt;1,1,0))</f>
        <v>0</v>
      </c>
      <c r="W82" s="24">
        <f t="shared" si="18"/>
        <v>0</v>
      </c>
      <c r="X82" s="24">
        <f t="shared" si="19"/>
        <v>0</v>
      </c>
    </row>
    <row r="83" spans="1:24" x14ac:dyDescent="0.25">
      <c r="A83" s="24">
        <v>80</v>
      </c>
      <c r="B83" s="25"/>
      <c r="C83" s="26" t="str">
        <f t="shared" si="10"/>
        <v/>
      </c>
      <c r="D83" s="25"/>
      <c r="E83" s="27"/>
      <c r="F83" s="28"/>
      <c r="G83" s="28"/>
      <c r="H83" s="25"/>
      <c r="I83" s="25"/>
      <c r="J83" s="28"/>
      <c r="K83" s="29" t="str">
        <f t="shared" si="11"/>
        <v/>
      </c>
      <c r="L83" s="25"/>
      <c r="M83" s="29" t="str">
        <f t="shared" si="12"/>
        <v/>
      </c>
      <c r="N83" s="28"/>
      <c r="O83" s="29" t="str">
        <f t="shared" si="13"/>
        <v/>
      </c>
      <c r="P83" s="29" t="str">
        <f t="shared" si="14"/>
        <v/>
      </c>
      <c r="Q83" s="24" t="str">
        <f t="shared" si="15"/>
        <v/>
      </c>
      <c r="R83" s="25"/>
      <c r="S83" s="27"/>
      <c r="T83" s="24" t="str">
        <f t="shared" si="16"/>
        <v/>
      </c>
      <c r="U83" s="24" t="str">
        <f t="shared" si="17"/>
        <v/>
      </c>
      <c r="V83" s="24">
        <f>IF(OR(U83="",D83=""),0,IF(SUMPRODUCT(--(U$4:U83=U83))&gt;1,1,0))</f>
        <v>0</v>
      </c>
      <c r="W83" s="24">
        <f t="shared" si="18"/>
        <v>0</v>
      </c>
      <c r="X83" s="24">
        <f t="shared" si="19"/>
        <v>0</v>
      </c>
    </row>
    <row r="84" spans="1:24" x14ac:dyDescent="0.25">
      <c r="A84" s="24">
        <v>81</v>
      </c>
      <c r="B84" s="25"/>
      <c r="C84" s="26" t="str">
        <f t="shared" si="10"/>
        <v/>
      </c>
      <c r="D84" s="25"/>
      <c r="E84" s="27"/>
      <c r="F84" s="28"/>
      <c r="G84" s="28"/>
      <c r="H84" s="25"/>
      <c r="I84" s="25"/>
      <c r="J84" s="28"/>
      <c r="K84" s="29" t="str">
        <f t="shared" si="11"/>
        <v/>
      </c>
      <c r="L84" s="25"/>
      <c r="M84" s="29" t="str">
        <f t="shared" si="12"/>
        <v/>
      </c>
      <c r="N84" s="28"/>
      <c r="O84" s="29" t="str">
        <f t="shared" si="13"/>
        <v/>
      </c>
      <c r="P84" s="29" t="str">
        <f t="shared" si="14"/>
        <v/>
      </c>
      <c r="Q84" s="24" t="str">
        <f t="shared" si="15"/>
        <v/>
      </c>
      <c r="R84" s="25"/>
      <c r="S84" s="27"/>
      <c r="T84" s="24" t="str">
        <f t="shared" si="16"/>
        <v/>
      </c>
      <c r="U84" s="24" t="str">
        <f t="shared" si="17"/>
        <v/>
      </c>
      <c r="V84" s="24">
        <f>IF(OR(U84="",D84=""),0,IF(SUMPRODUCT(--(U$4:U84=U84))&gt;1,1,0))</f>
        <v>0</v>
      </c>
      <c r="W84" s="24">
        <f t="shared" si="18"/>
        <v>0</v>
      </c>
      <c r="X84" s="24">
        <f t="shared" si="19"/>
        <v>0</v>
      </c>
    </row>
    <row r="85" spans="1:24" x14ac:dyDescent="0.25">
      <c r="A85" s="24">
        <v>82</v>
      </c>
      <c r="B85" s="25"/>
      <c r="C85" s="26" t="str">
        <f t="shared" si="10"/>
        <v/>
      </c>
      <c r="D85" s="25"/>
      <c r="E85" s="27"/>
      <c r="F85" s="28"/>
      <c r="G85" s="28"/>
      <c r="H85" s="25"/>
      <c r="I85" s="25"/>
      <c r="J85" s="28"/>
      <c r="K85" s="29" t="str">
        <f t="shared" si="11"/>
        <v/>
      </c>
      <c r="L85" s="25"/>
      <c r="M85" s="29" t="str">
        <f t="shared" si="12"/>
        <v/>
      </c>
      <c r="N85" s="28"/>
      <c r="O85" s="29" t="str">
        <f t="shared" si="13"/>
        <v/>
      </c>
      <c r="P85" s="29" t="str">
        <f t="shared" si="14"/>
        <v/>
      </c>
      <c r="Q85" s="24" t="str">
        <f t="shared" si="15"/>
        <v/>
      </c>
      <c r="R85" s="25"/>
      <c r="S85" s="27"/>
      <c r="T85" s="24" t="str">
        <f t="shared" si="16"/>
        <v/>
      </c>
      <c r="U85" s="24" t="str">
        <f t="shared" si="17"/>
        <v/>
      </c>
      <c r="V85" s="24">
        <f>IF(OR(U85="",D85=""),0,IF(SUMPRODUCT(--(U$4:U85=U85))&gt;1,1,0))</f>
        <v>0</v>
      </c>
      <c r="W85" s="24">
        <f t="shared" si="18"/>
        <v>0</v>
      </c>
      <c r="X85" s="24">
        <f t="shared" si="19"/>
        <v>0</v>
      </c>
    </row>
    <row r="86" spans="1:24" x14ac:dyDescent="0.25">
      <c r="A86" s="24">
        <v>83</v>
      </c>
      <c r="B86" s="25"/>
      <c r="C86" s="26" t="str">
        <f t="shared" si="10"/>
        <v/>
      </c>
      <c r="D86" s="25"/>
      <c r="E86" s="27"/>
      <c r="F86" s="28"/>
      <c r="G86" s="28"/>
      <c r="H86" s="25"/>
      <c r="I86" s="25"/>
      <c r="J86" s="28"/>
      <c r="K86" s="29" t="str">
        <f t="shared" si="11"/>
        <v/>
      </c>
      <c r="L86" s="25"/>
      <c r="M86" s="29" t="str">
        <f t="shared" si="12"/>
        <v/>
      </c>
      <c r="N86" s="28"/>
      <c r="O86" s="29" t="str">
        <f t="shared" si="13"/>
        <v/>
      </c>
      <c r="P86" s="29" t="str">
        <f t="shared" si="14"/>
        <v/>
      </c>
      <c r="Q86" s="24" t="str">
        <f t="shared" si="15"/>
        <v/>
      </c>
      <c r="R86" s="25"/>
      <c r="S86" s="27"/>
      <c r="T86" s="24" t="str">
        <f t="shared" si="16"/>
        <v/>
      </c>
      <c r="U86" s="24" t="str">
        <f t="shared" si="17"/>
        <v/>
      </c>
      <c r="V86" s="24">
        <f>IF(OR(U86="",D86=""),0,IF(SUMPRODUCT(--(U$4:U86=U86))&gt;1,1,0))</f>
        <v>0</v>
      </c>
      <c r="W86" s="24">
        <f t="shared" si="18"/>
        <v>0</v>
      </c>
      <c r="X86" s="24">
        <f t="shared" si="19"/>
        <v>0</v>
      </c>
    </row>
    <row r="87" spans="1:24" x14ac:dyDescent="0.25">
      <c r="A87" s="24">
        <v>84</v>
      </c>
      <c r="B87" s="25"/>
      <c r="C87" s="26" t="str">
        <f t="shared" si="10"/>
        <v/>
      </c>
      <c r="D87" s="25"/>
      <c r="E87" s="27"/>
      <c r="F87" s="28"/>
      <c r="G87" s="28"/>
      <c r="H87" s="25"/>
      <c r="I87" s="25"/>
      <c r="J87" s="28"/>
      <c r="K87" s="29" t="str">
        <f t="shared" si="11"/>
        <v/>
      </c>
      <c r="L87" s="25"/>
      <c r="M87" s="29" t="str">
        <f t="shared" si="12"/>
        <v/>
      </c>
      <c r="N87" s="28"/>
      <c r="O87" s="29" t="str">
        <f t="shared" si="13"/>
        <v/>
      </c>
      <c r="P87" s="29" t="str">
        <f t="shared" si="14"/>
        <v/>
      </c>
      <c r="Q87" s="24" t="str">
        <f t="shared" si="15"/>
        <v/>
      </c>
      <c r="R87" s="25"/>
      <c r="S87" s="27"/>
      <c r="T87" s="24" t="str">
        <f t="shared" si="16"/>
        <v/>
      </c>
      <c r="U87" s="24" t="str">
        <f t="shared" si="17"/>
        <v/>
      </c>
      <c r="V87" s="24">
        <f>IF(OR(U87="",D87=""),0,IF(SUMPRODUCT(--(U$4:U87=U87))&gt;1,1,0))</f>
        <v>0</v>
      </c>
      <c r="W87" s="24">
        <f t="shared" si="18"/>
        <v>0</v>
      </c>
      <c r="X87" s="24">
        <f t="shared" si="19"/>
        <v>0</v>
      </c>
    </row>
    <row r="88" spans="1:24" x14ac:dyDescent="0.25">
      <c r="A88" s="24">
        <v>85</v>
      </c>
      <c r="B88" s="25"/>
      <c r="C88" s="26" t="str">
        <f t="shared" si="10"/>
        <v/>
      </c>
      <c r="D88" s="25"/>
      <c r="E88" s="27"/>
      <c r="F88" s="28"/>
      <c r="G88" s="28"/>
      <c r="H88" s="25"/>
      <c r="I88" s="25"/>
      <c r="J88" s="28"/>
      <c r="K88" s="29" t="str">
        <f t="shared" si="11"/>
        <v/>
      </c>
      <c r="L88" s="25"/>
      <c r="M88" s="29" t="str">
        <f t="shared" si="12"/>
        <v/>
      </c>
      <c r="N88" s="28"/>
      <c r="O88" s="29" t="str">
        <f t="shared" si="13"/>
        <v/>
      </c>
      <c r="P88" s="29" t="str">
        <f t="shared" si="14"/>
        <v/>
      </c>
      <c r="Q88" s="24" t="str">
        <f t="shared" si="15"/>
        <v/>
      </c>
      <c r="R88" s="25"/>
      <c r="S88" s="27"/>
      <c r="T88" s="24" t="str">
        <f t="shared" si="16"/>
        <v/>
      </c>
      <c r="U88" s="24" t="str">
        <f t="shared" si="17"/>
        <v/>
      </c>
      <c r="V88" s="24">
        <f>IF(OR(U88="",D88=""),0,IF(SUMPRODUCT(--(U$4:U88=U88))&gt;1,1,0))</f>
        <v>0</v>
      </c>
      <c r="W88" s="24">
        <f t="shared" si="18"/>
        <v>0</v>
      </c>
      <c r="X88" s="24">
        <f t="shared" si="19"/>
        <v>0</v>
      </c>
    </row>
    <row r="89" spans="1:24" x14ac:dyDescent="0.25">
      <c r="A89" s="24">
        <v>86</v>
      </c>
      <c r="B89" s="25"/>
      <c r="C89" s="26" t="str">
        <f t="shared" si="10"/>
        <v/>
      </c>
      <c r="D89" s="25"/>
      <c r="E89" s="27"/>
      <c r="F89" s="28"/>
      <c r="G89" s="28"/>
      <c r="H89" s="25"/>
      <c r="I89" s="25"/>
      <c r="J89" s="28"/>
      <c r="K89" s="29" t="str">
        <f t="shared" si="11"/>
        <v/>
      </c>
      <c r="L89" s="25"/>
      <c r="M89" s="29" t="str">
        <f t="shared" si="12"/>
        <v/>
      </c>
      <c r="N89" s="28"/>
      <c r="O89" s="29" t="str">
        <f t="shared" si="13"/>
        <v/>
      </c>
      <c r="P89" s="29" t="str">
        <f t="shared" si="14"/>
        <v/>
      </c>
      <c r="Q89" s="24" t="str">
        <f t="shared" si="15"/>
        <v/>
      </c>
      <c r="R89" s="25"/>
      <c r="S89" s="27"/>
      <c r="T89" s="24" t="str">
        <f t="shared" si="16"/>
        <v/>
      </c>
      <c r="U89" s="24" t="str">
        <f t="shared" si="17"/>
        <v/>
      </c>
      <c r="V89" s="24">
        <f>IF(OR(U89="",D89=""),0,IF(SUMPRODUCT(--(U$4:U89=U89))&gt;1,1,0))</f>
        <v>0</v>
      </c>
      <c r="W89" s="24">
        <f t="shared" si="18"/>
        <v>0</v>
      </c>
      <c r="X89" s="24">
        <f t="shared" si="19"/>
        <v>0</v>
      </c>
    </row>
    <row r="90" spans="1:24" x14ac:dyDescent="0.25">
      <c r="A90" s="24">
        <v>87</v>
      </c>
      <c r="B90" s="25"/>
      <c r="C90" s="26" t="str">
        <f t="shared" si="10"/>
        <v/>
      </c>
      <c r="D90" s="25"/>
      <c r="E90" s="27"/>
      <c r="F90" s="28"/>
      <c r="G90" s="28"/>
      <c r="H90" s="25"/>
      <c r="I90" s="25"/>
      <c r="J90" s="28"/>
      <c r="K90" s="29" t="str">
        <f t="shared" si="11"/>
        <v/>
      </c>
      <c r="L90" s="25"/>
      <c r="M90" s="29" t="str">
        <f t="shared" si="12"/>
        <v/>
      </c>
      <c r="N90" s="28"/>
      <c r="O90" s="29" t="str">
        <f t="shared" si="13"/>
        <v/>
      </c>
      <c r="P90" s="29" t="str">
        <f t="shared" si="14"/>
        <v/>
      </c>
      <c r="Q90" s="24" t="str">
        <f t="shared" si="15"/>
        <v/>
      </c>
      <c r="R90" s="25"/>
      <c r="S90" s="27"/>
      <c r="T90" s="24" t="str">
        <f t="shared" si="16"/>
        <v/>
      </c>
      <c r="U90" s="24" t="str">
        <f t="shared" si="17"/>
        <v/>
      </c>
      <c r="V90" s="24">
        <f>IF(OR(U90="",D90=""),0,IF(SUMPRODUCT(--(U$4:U90=U90))&gt;1,1,0))</f>
        <v>0</v>
      </c>
      <c r="W90" s="24">
        <f t="shared" si="18"/>
        <v>0</v>
      </c>
      <c r="X90" s="24">
        <f t="shared" si="19"/>
        <v>0</v>
      </c>
    </row>
    <row r="91" spans="1:24" x14ac:dyDescent="0.25">
      <c r="A91" s="24">
        <v>88</v>
      </c>
      <c r="B91" s="25"/>
      <c r="C91" s="26" t="str">
        <f t="shared" si="10"/>
        <v/>
      </c>
      <c r="D91" s="25"/>
      <c r="E91" s="27"/>
      <c r="F91" s="28"/>
      <c r="G91" s="28"/>
      <c r="H91" s="25"/>
      <c r="I91" s="25"/>
      <c r="J91" s="28"/>
      <c r="K91" s="29" t="str">
        <f t="shared" si="11"/>
        <v/>
      </c>
      <c r="L91" s="25"/>
      <c r="M91" s="29" t="str">
        <f t="shared" si="12"/>
        <v/>
      </c>
      <c r="N91" s="28"/>
      <c r="O91" s="29" t="str">
        <f t="shared" si="13"/>
        <v/>
      </c>
      <c r="P91" s="29" t="str">
        <f t="shared" si="14"/>
        <v/>
      </c>
      <c r="Q91" s="24" t="str">
        <f t="shared" si="15"/>
        <v/>
      </c>
      <c r="R91" s="25"/>
      <c r="S91" s="27"/>
      <c r="T91" s="24" t="str">
        <f t="shared" si="16"/>
        <v/>
      </c>
      <c r="U91" s="24" t="str">
        <f t="shared" si="17"/>
        <v/>
      </c>
      <c r="V91" s="24">
        <f>IF(OR(U91="",D91=""),0,IF(SUMPRODUCT(--(U$4:U91=U91))&gt;1,1,0))</f>
        <v>0</v>
      </c>
      <c r="W91" s="24">
        <f t="shared" si="18"/>
        <v>0</v>
      </c>
      <c r="X91" s="24">
        <f t="shared" si="19"/>
        <v>0</v>
      </c>
    </row>
    <row r="92" spans="1:24" x14ac:dyDescent="0.25">
      <c r="A92" s="24">
        <v>89</v>
      </c>
      <c r="B92" s="25"/>
      <c r="C92" s="26" t="str">
        <f t="shared" si="10"/>
        <v/>
      </c>
      <c r="D92" s="25"/>
      <c r="E92" s="27"/>
      <c r="F92" s="28"/>
      <c r="G92" s="28"/>
      <c r="H92" s="25"/>
      <c r="I92" s="25"/>
      <c r="J92" s="28"/>
      <c r="K92" s="29" t="str">
        <f t="shared" si="11"/>
        <v/>
      </c>
      <c r="L92" s="25"/>
      <c r="M92" s="29" t="str">
        <f t="shared" si="12"/>
        <v/>
      </c>
      <c r="N92" s="28"/>
      <c r="O92" s="29" t="str">
        <f t="shared" si="13"/>
        <v/>
      </c>
      <c r="P92" s="29" t="str">
        <f t="shared" si="14"/>
        <v/>
      </c>
      <c r="Q92" s="24" t="str">
        <f t="shared" si="15"/>
        <v/>
      </c>
      <c r="R92" s="25"/>
      <c r="S92" s="27"/>
      <c r="T92" s="24" t="str">
        <f t="shared" si="16"/>
        <v/>
      </c>
      <c r="U92" s="24" t="str">
        <f t="shared" si="17"/>
        <v/>
      </c>
      <c r="V92" s="24">
        <f>IF(OR(U92="",D92=""),0,IF(SUMPRODUCT(--(U$4:U92=U92))&gt;1,1,0))</f>
        <v>0</v>
      </c>
      <c r="W92" s="24">
        <f t="shared" si="18"/>
        <v>0</v>
      </c>
      <c r="X92" s="24">
        <f t="shared" si="19"/>
        <v>0</v>
      </c>
    </row>
    <row r="93" spans="1:24" x14ac:dyDescent="0.25">
      <c r="A93" s="24">
        <v>90</v>
      </c>
      <c r="B93" s="25"/>
      <c r="C93" s="26" t="str">
        <f t="shared" si="10"/>
        <v/>
      </c>
      <c r="D93" s="25"/>
      <c r="E93" s="27"/>
      <c r="F93" s="28"/>
      <c r="G93" s="28"/>
      <c r="H93" s="25"/>
      <c r="I93" s="25"/>
      <c r="J93" s="28"/>
      <c r="K93" s="29" t="str">
        <f t="shared" si="11"/>
        <v/>
      </c>
      <c r="L93" s="25"/>
      <c r="M93" s="29" t="str">
        <f t="shared" si="12"/>
        <v/>
      </c>
      <c r="N93" s="28"/>
      <c r="O93" s="29" t="str">
        <f t="shared" si="13"/>
        <v/>
      </c>
      <c r="P93" s="29" t="str">
        <f t="shared" si="14"/>
        <v/>
      </c>
      <c r="Q93" s="24" t="str">
        <f t="shared" si="15"/>
        <v/>
      </c>
      <c r="R93" s="25"/>
      <c r="S93" s="27"/>
      <c r="T93" s="24" t="str">
        <f t="shared" si="16"/>
        <v/>
      </c>
      <c r="U93" s="24" t="str">
        <f t="shared" si="17"/>
        <v/>
      </c>
      <c r="V93" s="24">
        <f>IF(OR(U93="",D93=""),0,IF(SUMPRODUCT(--(U$4:U93=U93))&gt;1,1,0))</f>
        <v>0</v>
      </c>
      <c r="W93" s="24">
        <f t="shared" si="18"/>
        <v>0</v>
      </c>
      <c r="X93" s="24">
        <f t="shared" si="19"/>
        <v>0</v>
      </c>
    </row>
    <row r="94" spans="1:24" x14ac:dyDescent="0.25">
      <c r="A94" s="24">
        <v>91</v>
      </c>
      <c r="B94" s="25"/>
      <c r="C94" s="26" t="str">
        <f t="shared" si="10"/>
        <v/>
      </c>
      <c r="D94" s="25"/>
      <c r="E94" s="27"/>
      <c r="F94" s="28"/>
      <c r="G94" s="28"/>
      <c r="H94" s="25"/>
      <c r="I94" s="25"/>
      <c r="J94" s="28"/>
      <c r="K94" s="29" t="str">
        <f t="shared" si="11"/>
        <v/>
      </c>
      <c r="L94" s="25"/>
      <c r="M94" s="29" t="str">
        <f t="shared" si="12"/>
        <v/>
      </c>
      <c r="N94" s="28"/>
      <c r="O94" s="29" t="str">
        <f t="shared" si="13"/>
        <v/>
      </c>
      <c r="P94" s="29" t="str">
        <f t="shared" si="14"/>
        <v/>
      </c>
      <c r="Q94" s="24" t="str">
        <f t="shared" si="15"/>
        <v/>
      </c>
      <c r="R94" s="25"/>
      <c r="S94" s="27"/>
      <c r="T94" s="24" t="str">
        <f t="shared" si="16"/>
        <v/>
      </c>
      <c r="U94" s="24" t="str">
        <f t="shared" si="17"/>
        <v/>
      </c>
      <c r="V94" s="24">
        <f>IF(OR(U94="",D94=""),0,IF(SUMPRODUCT(--(U$4:U94=U94))&gt;1,1,0))</f>
        <v>0</v>
      </c>
      <c r="W94" s="24">
        <f t="shared" si="18"/>
        <v>0</v>
      </c>
      <c r="X94" s="24">
        <f t="shared" si="19"/>
        <v>0</v>
      </c>
    </row>
    <row r="95" spans="1:24" x14ac:dyDescent="0.25">
      <c r="A95" s="24">
        <v>92</v>
      </c>
      <c r="B95" s="25"/>
      <c r="C95" s="26" t="str">
        <f t="shared" si="10"/>
        <v/>
      </c>
      <c r="D95" s="25"/>
      <c r="E95" s="27"/>
      <c r="F95" s="28"/>
      <c r="G95" s="28"/>
      <c r="H95" s="25"/>
      <c r="I95" s="25"/>
      <c r="J95" s="28"/>
      <c r="K95" s="29" t="str">
        <f t="shared" si="11"/>
        <v/>
      </c>
      <c r="L95" s="25"/>
      <c r="M95" s="29" t="str">
        <f t="shared" si="12"/>
        <v/>
      </c>
      <c r="N95" s="28"/>
      <c r="O95" s="29" t="str">
        <f t="shared" si="13"/>
        <v/>
      </c>
      <c r="P95" s="29" t="str">
        <f t="shared" si="14"/>
        <v/>
      </c>
      <c r="Q95" s="24" t="str">
        <f t="shared" si="15"/>
        <v/>
      </c>
      <c r="R95" s="25"/>
      <c r="S95" s="27"/>
      <c r="T95" s="24" t="str">
        <f t="shared" si="16"/>
        <v/>
      </c>
      <c r="U95" s="24" t="str">
        <f t="shared" si="17"/>
        <v/>
      </c>
      <c r="V95" s="24">
        <f>IF(OR(U95="",D95=""),0,IF(SUMPRODUCT(--(U$4:U95=U95))&gt;1,1,0))</f>
        <v>0</v>
      </c>
      <c r="W95" s="24">
        <f t="shared" si="18"/>
        <v>0</v>
      </c>
      <c r="X95" s="24">
        <f t="shared" si="19"/>
        <v>0</v>
      </c>
    </row>
    <row r="96" spans="1:24" x14ac:dyDescent="0.25">
      <c r="A96" s="24">
        <v>93</v>
      </c>
      <c r="B96" s="25"/>
      <c r="C96" s="26" t="str">
        <f t="shared" si="10"/>
        <v/>
      </c>
      <c r="D96" s="25"/>
      <c r="E96" s="27"/>
      <c r="F96" s="28"/>
      <c r="G96" s="28"/>
      <c r="H96" s="25"/>
      <c r="I96" s="25"/>
      <c r="J96" s="28"/>
      <c r="K96" s="29" t="str">
        <f t="shared" si="11"/>
        <v/>
      </c>
      <c r="L96" s="25"/>
      <c r="M96" s="29" t="str">
        <f t="shared" si="12"/>
        <v/>
      </c>
      <c r="N96" s="28"/>
      <c r="O96" s="29" t="str">
        <f t="shared" si="13"/>
        <v/>
      </c>
      <c r="P96" s="29" t="str">
        <f t="shared" si="14"/>
        <v/>
      </c>
      <c r="Q96" s="24" t="str">
        <f t="shared" si="15"/>
        <v/>
      </c>
      <c r="R96" s="25"/>
      <c r="S96" s="27"/>
      <c r="T96" s="24" t="str">
        <f t="shared" si="16"/>
        <v/>
      </c>
      <c r="U96" s="24" t="str">
        <f t="shared" si="17"/>
        <v/>
      </c>
      <c r="V96" s="24">
        <f>IF(OR(U96="",D96=""),0,IF(SUMPRODUCT(--(U$4:U96=U96))&gt;1,1,0))</f>
        <v>0</v>
      </c>
      <c r="W96" s="24">
        <f t="shared" si="18"/>
        <v>0</v>
      </c>
      <c r="X96" s="24">
        <f t="shared" si="19"/>
        <v>0</v>
      </c>
    </row>
    <row r="97" spans="1:24" x14ac:dyDescent="0.25">
      <c r="A97" s="24">
        <v>94</v>
      </c>
      <c r="B97" s="25"/>
      <c r="C97" s="26" t="str">
        <f t="shared" si="10"/>
        <v/>
      </c>
      <c r="D97" s="25"/>
      <c r="E97" s="27"/>
      <c r="F97" s="28"/>
      <c r="G97" s="28"/>
      <c r="H97" s="25"/>
      <c r="I97" s="25"/>
      <c r="J97" s="28"/>
      <c r="K97" s="29" t="str">
        <f t="shared" si="11"/>
        <v/>
      </c>
      <c r="L97" s="25"/>
      <c r="M97" s="29" t="str">
        <f t="shared" si="12"/>
        <v/>
      </c>
      <c r="N97" s="28"/>
      <c r="O97" s="29" t="str">
        <f t="shared" si="13"/>
        <v/>
      </c>
      <c r="P97" s="29" t="str">
        <f t="shared" si="14"/>
        <v/>
      </c>
      <c r="Q97" s="24" t="str">
        <f t="shared" si="15"/>
        <v/>
      </c>
      <c r="R97" s="25"/>
      <c r="S97" s="27"/>
      <c r="T97" s="24" t="str">
        <f t="shared" si="16"/>
        <v/>
      </c>
      <c r="U97" s="24" t="str">
        <f t="shared" si="17"/>
        <v/>
      </c>
      <c r="V97" s="24">
        <f>IF(OR(U97="",D97=""),0,IF(SUMPRODUCT(--(U$4:U97=U97))&gt;1,1,0))</f>
        <v>0</v>
      </c>
      <c r="W97" s="24">
        <f t="shared" si="18"/>
        <v>0</v>
      </c>
      <c r="X97" s="24">
        <f t="shared" si="19"/>
        <v>0</v>
      </c>
    </row>
    <row r="98" spans="1:24" x14ac:dyDescent="0.25">
      <c r="A98" s="24">
        <v>95</v>
      </c>
      <c r="B98" s="25"/>
      <c r="C98" s="26" t="str">
        <f t="shared" si="10"/>
        <v/>
      </c>
      <c r="D98" s="25"/>
      <c r="E98" s="27"/>
      <c r="F98" s="28"/>
      <c r="G98" s="28"/>
      <c r="H98" s="25"/>
      <c r="I98" s="25"/>
      <c r="J98" s="28"/>
      <c r="K98" s="29" t="str">
        <f t="shared" si="11"/>
        <v/>
      </c>
      <c r="L98" s="25"/>
      <c r="M98" s="29" t="str">
        <f t="shared" si="12"/>
        <v/>
      </c>
      <c r="N98" s="28"/>
      <c r="O98" s="29" t="str">
        <f t="shared" si="13"/>
        <v/>
      </c>
      <c r="P98" s="29" t="str">
        <f t="shared" si="14"/>
        <v/>
      </c>
      <c r="Q98" s="24" t="str">
        <f t="shared" si="15"/>
        <v/>
      </c>
      <c r="R98" s="25"/>
      <c r="S98" s="27"/>
      <c r="T98" s="24" t="str">
        <f t="shared" si="16"/>
        <v/>
      </c>
      <c r="U98" s="24" t="str">
        <f t="shared" si="17"/>
        <v/>
      </c>
      <c r="V98" s="24">
        <f>IF(OR(U98="",D98=""),0,IF(SUMPRODUCT(--(U$4:U98=U98))&gt;1,1,0))</f>
        <v>0</v>
      </c>
      <c r="W98" s="24">
        <f t="shared" si="18"/>
        <v>0</v>
      </c>
      <c r="X98" s="24">
        <f t="shared" si="19"/>
        <v>0</v>
      </c>
    </row>
    <row r="99" spans="1:24" x14ac:dyDescent="0.25">
      <c r="A99" s="24">
        <v>96</v>
      </c>
      <c r="B99" s="25"/>
      <c r="C99" s="26" t="str">
        <f t="shared" si="10"/>
        <v/>
      </c>
      <c r="D99" s="25"/>
      <c r="E99" s="27"/>
      <c r="F99" s="28"/>
      <c r="G99" s="28"/>
      <c r="H99" s="25"/>
      <c r="I99" s="25"/>
      <c r="J99" s="28"/>
      <c r="K99" s="29" t="str">
        <f t="shared" si="11"/>
        <v/>
      </c>
      <c r="L99" s="25"/>
      <c r="M99" s="29" t="str">
        <f t="shared" si="12"/>
        <v/>
      </c>
      <c r="N99" s="28"/>
      <c r="O99" s="29" t="str">
        <f t="shared" si="13"/>
        <v/>
      </c>
      <c r="P99" s="29" t="str">
        <f t="shared" si="14"/>
        <v/>
      </c>
      <c r="Q99" s="24" t="str">
        <f t="shared" si="15"/>
        <v/>
      </c>
      <c r="R99" s="25"/>
      <c r="S99" s="27"/>
      <c r="T99" s="24" t="str">
        <f t="shared" si="16"/>
        <v/>
      </c>
      <c r="U99" s="24" t="str">
        <f t="shared" si="17"/>
        <v/>
      </c>
      <c r="V99" s="24">
        <f>IF(OR(U99="",D99=""),0,IF(SUMPRODUCT(--(U$4:U99=U99))&gt;1,1,0))</f>
        <v>0</v>
      </c>
      <c r="W99" s="24">
        <f t="shared" si="18"/>
        <v>0</v>
      </c>
      <c r="X99" s="24">
        <f t="shared" si="19"/>
        <v>0</v>
      </c>
    </row>
    <row r="100" spans="1:24" x14ac:dyDescent="0.25">
      <c r="A100" s="24">
        <v>97</v>
      </c>
      <c r="B100" s="25"/>
      <c r="C100" s="26" t="str">
        <f t="shared" si="10"/>
        <v/>
      </c>
      <c r="D100" s="25"/>
      <c r="E100" s="27"/>
      <c r="F100" s="28"/>
      <c r="G100" s="28"/>
      <c r="H100" s="25"/>
      <c r="I100" s="25"/>
      <c r="J100" s="28"/>
      <c r="K100" s="29" t="str">
        <f t="shared" si="11"/>
        <v/>
      </c>
      <c r="L100" s="25"/>
      <c r="M100" s="29" t="str">
        <f t="shared" si="12"/>
        <v/>
      </c>
      <c r="N100" s="28"/>
      <c r="O100" s="29" t="str">
        <f t="shared" si="13"/>
        <v/>
      </c>
      <c r="P100" s="29" t="str">
        <f t="shared" si="14"/>
        <v/>
      </c>
      <c r="Q100" s="24" t="str">
        <f t="shared" si="15"/>
        <v/>
      </c>
      <c r="R100" s="25"/>
      <c r="S100" s="27"/>
      <c r="T100" s="24" t="str">
        <f t="shared" si="16"/>
        <v/>
      </c>
      <c r="U100" s="24" t="str">
        <f t="shared" si="17"/>
        <v/>
      </c>
      <c r="V100" s="24">
        <f>IF(OR(U100="",D100=""),0,IF(SUMPRODUCT(--(U$4:U100=U100))&gt;1,1,0))</f>
        <v>0</v>
      </c>
      <c r="W100" s="24">
        <f t="shared" si="18"/>
        <v>0</v>
      </c>
      <c r="X100" s="24">
        <f t="shared" si="19"/>
        <v>0</v>
      </c>
    </row>
    <row r="101" spans="1:24" x14ac:dyDescent="0.25">
      <c r="A101" s="24">
        <v>98</v>
      </c>
      <c r="B101" s="25"/>
      <c r="C101" s="26" t="str">
        <f t="shared" si="10"/>
        <v/>
      </c>
      <c r="D101" s="25"/>
      <c r="E101" s="27"/>
      <c r="F101" s="28"/>
      <c r="G101" s="28"/>
      <c r="H101" s="25"/>
      <c r="I101" s="25"/>
      <c r="J101" s="28"/>
      <c r="K101" s="29" t="str">
        <f t="shared" si="11"/>
        <v/>
      </c>
      <c r="L101" s="25"/>
      <c r="M101" s="29" t="str">
        <f t="shared" si="12"/>
        <v/>
      </c>
      <c r="N101" s="28"/>
      <c r="O101" s="29" t="str">
        <f t="shared" si="13"/>
        <v/>
      </c>
      <c r="P101" s="29" t="str">
        <f t="shared" si="14"/>
        <v/>
      </c>
      <c r="Q101" s="24" t="str">
        <f t="shared" si="15"/>
        <v/>
      </c>
      <c r="R101" s="25"/>
      <c r="S101" s="27"/>
      <c r="T101" s="24" t="str">
        <f t="shared" si="16"/>
        <v/>
      </c>
      <c r="U101" s="24" t="str">
        <f t="shared" si="17"/>
        <v/>
      </c>
      <c r="V101" s="24">
        <f>IF(OR(U101="",D101=""),0,IF(SUMPRODUCT(--(U$4:U101=U101))&gt;1,1,0))</f>
        <v>0</v>
      </c>
      <c r="W101" s="24">
        <f t="shared" si="18"/>
        <v>0</v>
      </c>
      <c r="X101" s="24">
        <f t="shared" si="19"/>
        <v>0</v>
      </c>
    </row>
    <row r="102" spans="1:24" x14ac:dyDescent="0.25">
      <c r="A102" s="24">
        <v>99</v>
      </c>
      <c r="B102" s="25"/>
      <c r="C102" s="26" t="str">
        <f t="shared" si="10"/>
        <v/>
      </c>
      <c r="D102" s="25"/>
      <c r="E102" s="27"/>
      <c r="F102" s="28"/>
      <c r="G102" s="28"/>
      <c r="H102" s="25"/>
      <c r="I102" s="25"/>
      <c r="J102" s="28"/>
      <c r="K102" s="29" t="str">
        <f t="shared" si="11"/>
        <v/>
      </c>
      <c r="L102" s="25"/>
      <c r="M102" s="29" t="str">
        <f t="shared" si="12"/>
        <v/>
      </c>
      <c r="N102" s="28"/>
      <c r="O102" s="29" t="str">
        <f t="shared" si="13"/>
        <v/>
      </c>
      <c r="P102" s="29" t="str">
        <f t="shared" si="14"/>
        <v/>
      </c>
      <c r="Q102" s="24" t="str">
        <f t="shared" si="15"/>
        <v/>
      </c>
      <c r="R102" s="25"/>
      <c r="S102" s="27"/>
      <c r="T102" s="24" t="str">
        <f t="shared" si="16"/>
        <v/>
      </c>
      <c r="U102" s="24" t="str">
        <f t="shared" si="17"/>
        <v/>
      </c>
      <c r="V102" s="24">
        <f>IF(OR(U102="",D102=""),0,IF(SUMPRODUCT(--(U$4:U102=U102))&gt;1,1,0))</f>
        <v>0</v>
      </c>
      <c r="W102" s="24">
        <f t="shared" si="18"/>
        <v>0</v>
      </c>
      <c r="X102" s="24">
        <f t="shared" si="19"/>
        <v>0</v>
      </c>
    </row>
    <row r="103" spans="1:24" x14ac:dyDescent="0.25">
      <c r="A103" s="24">
        <v>100</v>
      </c>
      <c r="B103" s="25"/>
      <c r="C103" s="26" t="str">
        <f t="shared" si="10"/>
        <v/>
      </c>
      <c r="D103" s="25"/>
      <c r="E103" s="27"/>
      <c r="F103" s="28"/>
      <c r="G103" s="28"/>
      <c r="H103" s="25"/>
      <c r="I103" s="25"/>
      <c r="J103" s="28"/>
      <c r="K103" s="29" t="str">
        <f t="shared" si="11"/>
        <v/>
      </c>
      <c r="L103" s="25"/>
      <c r="M103" s="29" t="str">
        <f t="shared" si="12"/>
        <v/>
      </c>
      <c r="N103" s="28"/>
      <c r="O103" s="29" t="str">
        <f t="shared" si="13"/>
        <v/>
      </c>
      <c r="P103" s="29" t="str">
        <f t="shared" si="14"/>
        <v/>
      </c>
      <c r="Q103" s="24" t="str">
        <f t="shared" si="15"/>
        <v/>
      </c>
      <c r="R103" s="25"/>
      <c r="S103" s="27"/>
      <c r="T103" s="24" t="str">
        <f t="shared" si="16"/>
        <v/>
      </c>
      <c r="U103" s="24" t="str">
        <f t="shared" si="17"/>
        <v/>
      </c>
      <c r="V103" s="24">
        <f>IF(OR(U103="",D103=""),0,IF(SUMPRODUCT(--(U$4:U103=U103))&gt;1,1,0))</f>
        <v>0</v>
      </c>
      <c r="W103" s="24">
        <f t="shared" si="18"/>
        <v>0</v>
      </c>
      <c r="X103" s="24">
        <f t="shared" si="19"/>
        <v>0</v>
      </c>
    </row>
    <row r="104" spans="1:24" x14ac:dyDescent="0.25">
      <c r="A104" s="24">
        <v>101</v>
      </c>
      <c r="B104" s="25"/>
      <c r="C104" s="26" t="str">
        <f t="shared" si="10"/>
        <v/>
      </c>
      <c r="D104" s="25"/>
      <c r="E104" s="27"/>
      <c r="F104" s="28"/>
      <c r="G104" s="28"/>
      <c r="H104" s="25"/>
      <c r="I104" s="25"/>
      <c r="J104" s="28"/>
      <c r="K104" s="29" t="str">
        <f t="shared" si="11"/>
        <v/>
      </c>
      <c r="L104" s="25"/>
      <c r="M104" s="29" t="str">
        <f t="shared" si="12"/>
        <v/>
      </c>
      <c r="N104" s="28"/>
      <c r="O104" s="29" t="str">
        <f t="shared" si="13"/>
        <v/>
      </c>
      <c r="P104" s="29" t="str">
        <f t="shared" si="14"/>
        <v/>
      </c>
      <c r="Q104" s="24" t="str">
        <f t="shared" si="15"/>
        <v/>
      </c>
      <c r="R104" s="25"/>
      <c r="S104" s="27"/>
      <c r="T104" s="24" t="str">
        <f t="shared" si="16"/>
        <v/>
      </c>
      <c r="U104" s="24" t="str">
        <f t="shared" si="17"/>
        <v/>
      </c>
      <c r="V104" s="24">
        <f>IF(OR(U104="",D104=""),0,IF(SUMPRODUCT(--(U$4:U104=U104))&gt;1,1,0))</f>
        <v>0</v>
      </c>
      <c r="W104" s="24">
        <f t="shared" si="18"/>
        <v>0</v>
      </c>
      <c r="X104" s="24">
        <f t="shared" si="19"/>
        <v>0</v>
      </c>
    </row>
    <row r="105" spans="1:24" x14ac:dyDescent="0.25">
      <c r="A105" s="24">
        <v>102</v>
      </c>
      <c r="B105" s="25"/>
      <c r="C105" s="26" t="str">
        <f t="shared" si="10"/>
        <v/>
      </c>
      <c r="D105" s="25"/>
      <c r="E105" s="27"/>
      <c r="F105" s="28"/>
      <c r="G105" s="28"/>
      <c r="H105" s="25"/>
      <c r="I105" s="25"/>
      <c r="J105" s="28"/>
      <c r="K105" s="29" t="str">
        <f t="shared" si="11"/>
        <v/>
      </c>
      <c r="L105" s="25"/>
      <c r="M105" s="29" t="str">
        <f t="shared" si="12"/>
        <v/>
      </c>
      <c r="N105" s="28"/>
      <c r="O105" s="29" t="str">
        <f t="shared" si="13"/>
        <v/>
      </c>
      <c r="P105" s="29" t="str">
        <f t="shared" si="14"/>
        <v/>
      </c>
      <c r="Q105" s="24" t="str">
        <f t="shared" si="15"/>
        <v/>
      </c>
      <c r="R105" s="25"/>
      <c r="S105" s="27"/>
      <c r="T105" s="24" t="str">
        <f t="shared" si="16"/>
        <v/>
      </c>
      <c r="U105" s="24" t="str">
        <f t="shared" si="17"/>
        <v/>
      </c>
      <c r="V105" s="24">
        <f>IF(OR(U105="",D105=""),0,IF(SUMPRODUCT(--(U$4:U105=U105))&gt;1,1,0))</f>
        <v>0</v>
      </c>
      <c r="W105" s="24">
        <f t="shared" si="18"/>
        <v>0</v>
      </c>
      <c r="X105" s="24">
        <f t="shared" si="19"/>
        <v>0</v>
      </c>
    </row>
    <row r="106" spans="1:24" x14ac:dyDescent="0.25">
      <c r="A106" s="24">
        <v>103</v>
      </c>
      <c r="B106" s="25"/>
      <c r="C106" s="26" t="str">
        <f t="shared" si="10"/>
        <v/>
      </c>
      <c r="D106" s="25"/>
      <c r="E106" s="27"/>
      <c r="F106" s="28"/>
      <c r="G106" s="28"/>
      <c r="H106" s="25"/>
      <c r="I106" s="25"/>
      <c r="J106" s="28"/>
      <c r="K106" s="29" t="str">
        <f t="shared" si="11"/>
        <v/>
      </c>
      <c r="L106" s="25"/>
      <c r="M106" s="29" t="str">
        <f t="shared" si="12"/>
        <v/>
      </c>
      <c r="N106" s="28"/>
      <c r="O106" s="29" t="str">
        <f t="shared" si="13"/>
        <v/>
      </c>
      <c r="P106" s="29" t="str">
        <f t="shared" si="14"/>
        <v/>
      </c>
      <c r="Q106" s="24" t="str">
        <f t="shared" si="15"/>
        <v/>
      </c>
      <c r="R106" s="25"/>
      <c r="S106" s="27"/>
      <c r="T106" s="24" t="str">
        <f t="shared" si="16"/>
        <v/>
      </c>
      <c r="U106" s="24" t="str">
        <f t="shared" si="17"/>
        <v/>
      </c>
      <c r="V106" s="24">
        <f>IF(OR(U106="",D106=""),0,IF(SUMPRODUCT(--(U$4:U106=U106))&gt;1,1,0))</f>
        <v>0</v>
      </c>
      <c r="W106" s="24">
        <f t="shared" si="18"/>
        <v>0</v>
      </c>
      <c r="X106" s="24">
        <f t="shared" si="19"/>
        <v>0</v>
      </c>
    </row>
    <row r="107" spans="1:24" x14ac:dyDescent="0.25">
      <c r="A107" s="24">
        <v>104</v>
      </c>
      <c r="B107" s="25"/>
      <c r="C107" s="26" t="str">
        <f t="shared" si="10"/>
        <v/>
      </c>
      <c r="D107" s="25"/>
      <c r="E107" s="27"/>
      <c r="F107" s="28"/>
      <c r="G107" s="28"/>
      <c r="H107" s="25"/>
      <c r="I107" s="25"/>
      <c r="J107" s="28"/>
      <c r="K107" s="29" t="str">
        <f t="shared" si="11"/>
        <v/>
      </c>
      <c r="L107" s="25"/>
      <c r="M107" s="29" t="str">
        <f t="shared" si="12"/>
        <v/>
      </c>
      <c r="N107" s="28"/>
      <c r="O107" s="29" t="str">
        <f t="shared" si="13"/>
        <v/>
      </c>
      <c r="P107" s="29" t="str">
        <f t="shared" si="14"/>
        <v/>
      </c>
      <c r="Q107" s="24" t="str">
        <f t="shared" si="15"/>
        <v/>
      </c>
      <c r="R107" s="25"/>
      <c r="S107" s="27"/>
      <c r="T107" s="24" t="str">
        <f t="shared" si="16"/>
        <v/>
      </c>
      <c r="U107" s="24" t="str">
        <f t="shared" si="17"/>
        <v/>
      </c>
      <c r="V107" s="24">
        <f>IF(OR(U107="",D107=""),0,IF(SUMPRODUCT(--(U$4:U107=U107))&gt;1,1,0))</f>
        <v>0</v>
      </c>
      <c r="W107" s="24">
        <f t="shared" si="18"/>
        <v>0</v>
      </c>
      <c r="X107" s="24">
        <f t="shared" si="19"/>
        <v>0</v>
      </c>
    </row>
    <row r="108" spans="1:24" x14ac:dyDescent="0.25">
      <c r="A108" s="24">
        <v>105</v>
      </c>
      <c r="B108" s="25"/>
      <c r="C108" s="26" t="str">
        <f t="shared" si="10"/>
        <v/>
      </c>
      <c r="D108" s="25"/>
      <c r="E108" s="27"/>
      <c r="F108" s="28"/>
      <c r="G108" s="28"/>
      <c r="H108" s="25"/>
      <c r="I108" s="25"/>
      <c r="J108" s="28"/>
      <c r="K108" s="29" t="str">
        <f t="shared" si="11"/>
        <v/>
      </c>
      <c r="L108" s="25"/>
      <c r="M108" s="29" t="str">
        <f t="shared" si="12"/>
        <v/>
      </c>
      <c r="N108" s="28"/>
      <c r="O108" s="29" t="str">
        <f t="shared" si="13"/>
        <v/>
      </c>
      <c r="P108" s="29" t="str">
        <f t="shared" si="14"/>
        <v/>
      </c>
      <c r="Q108" s="24" t="str">
        <f t="shared" si="15"/>
        <v/>
      </c>
      <c r="R108" s="25"/>
      <c r="S108" s="27"/>
      <c r="T108" s="24" t="str">
        <f t="shared" si="16"/>
        <v/>
      </c>
      <c r="U108" s="24" t="str">
        <f t="shared" si="17"/>
        <v/>
      </c>
      <c r="V108" s="24">
        <f>IF(OR(U108="",D108=""),0,IF(SUMPRODUCT(--(U$4:U108=U108))&gt;1,1,0))</f>
        <v>0</v>
      </c>
      <c r="W108" s="24">
        <f t="shared" si="18"/>
        <v>0</v>
      </c>
      <c r="X108" s="24">
        <f t="shared" si="19"/>
        <v>0</v>
      </c>
    </row>
    <row r="109" spans="1:24" x14ac:dyDescent="0.25">
      <c r="A109" s="24">
        <v>106</v>
      </c>
      <c r="B109" s="25"/>
      <c r="C109" s="26" t="str">
        <f t="shared" si="10"/>
        <v/>
      </c>
      <c r="D109" s="25"/>
      <c r="E109" s="27"/>
      <c r="F109" s="28"/>
      <c r="G109" s="28"/>
      <c r="H109" s="25"/>
      <c r="I109" s="25"/>
      <c r="J109" s="28"/>
      <c r="K109" s="29" t="str">
        <f t="shared" si="11"/>
        <v/>
      </c>
      <c r="L109" s="25"/>
      <c r="M109" s="29" t="str">
        <f t="shared" si="12"/>
        <v/>
      </c>
      <c r="N109" s="28"/>
      <c r="O109" s="29" t="str">
        <f t="shared" si="13"/>
        <v/>
      </c>
      <c r="P109" s="29" t="str">
        <f t="shared" si="14"/>
        <v/>
      </c>
      <c r="Q109" s="24" t="str">
        <f t="shared" si="15"/>
        <v/>
      </c>
      <c r="R109" s="25"/>
      <c r="S109" s="27"/>
      <c r="T109" s="24" t="str">
        <f t="shared" si="16"/>
        <v/>
      </c>
      <c r="U109" s="24" t="str">
        <f t="shared" si="17"/>
        <v/>
      </c>
      <c r="V109" s="24">
        <f>IF(OR(U109="",D109=""),0,IF(SUMPRODUCT(--(U$4:U109=U109))&gt;1,1,0))</f>
        <v>0</v>
      </c>
      <c r="W109" s="24">
        <f t="shared" si="18"/>
        <v>0</v>
      </c>
      <c r="X109" s="24">
        <f t="shared" si="19"/>
        <v>0</v>
      </c>
    </row>
    <row r="110" spans="1:24" x14ac:dyDescent="0.25">
      <c r="A110" s="24">
        <v>107</v>
      </c>
      <c r="B110" s="25"/>
      <c r="C110" s="26" t="str">
        <f t="shared" si="10"/>
        <v/>
      </c>
      <c r="D110" s="25"/>
      <c r="E110" s="27"/>
      <c r="F110" s="28"/>
      <c r="G110" s="28"/>
      <c r="H110" s="25"/>
      <c r="I110" s="25"/>
      <c r="J110" s="28"/>
      <c r="K110" s="29" t="str">
        <f t="shared" si="11"/>
        <v/>
      </c>
      <c r="L110" s="25"/>
      <c r="M110" s="29" t="str">
        <f t="shared" si="12"/>
        <v/>
      </c>
      <c r="N110" s="28"/>
      <c r="O110" s="29" t="str">
        <f t="shared" si="13"/>
        <v/>
      </c>
      <c r="P110" s="29" t="str">
        <f t="shared" si="14"/>
        <v/>
      </c>
      <c r="Q110" s="24" t="str">
        <f t="shared" si="15"/>
        <v/>
      </c>
      <c r="R110" s="25"/>
      <c r="S110" s="27"/>
      <c r="T110" s="24" t="str">
        <f t="shared" si="16"/>
        <v/>
      </c>
      <c r="U110" s="24" t="str">
        <f t="shared" si="17"/>
        <v/>
      </c>
      <c r="V110" s="24">
        <f>IF(OR(U110="",D110=""),0,IF(SUMPRODUCT(--(U$4:U110=U110))&gt;1,1,0))</f>
        <v>0</v>
      </c>
      <c r="W110" s="24">
        <f t="shared" si="18"/>
        <v>0</v>
      </c>
      <c r="X110" s="24">
        <f t="shared" si="19"/>
        <v>0</v>
      </c>
    </row>
    <row r="111" spans="1:24" x14ac:dyDescent="0.25">
      <c r="A111" s="24">
        <v>108</v>
      </c>
      <c r="B111" s="25"/>
      <c r="C111" s="26" t="str">
        <f t="shared" si="10"/>
        <v/>
      </c>
      <c r="D111" s="25"/>
      <c r="E111" s="27"/>
      <c r="F111" s="28"/>
      <c r="G111" s="28"/>
      <c r="H111" s="25"/>
      <c r="I111" s="25"/>
      <c r="J111" s="28"/>
      <c r="K111" s="29" t="str">
        <f t="shared" si="11"/>
        <v/>
      </c>
      <c r="L111" s="25"/>
      <c r="M111" s="29" t="str">
        <f t="shared" si="12"/>
        <v/>
      </c>
      <c r="N111" s="28"/>
      <c r="O111" s="29" t="str">
        <f t="shared" si="13"/>
        <v/>
      </c>
      <c r="P111" s="29" t="str">
        <f t="shared" si="14"/>
        <v/>
      </c>
      <c r="Q111" s="24" t="str">
        <f t="shared" si="15"/>
        <v/>
      </c>
      <c r="R111" s="25"/>
      <c r="S111" s="27"/>
      <c r="T111" s="24" t="str">
        <f t="shared" si="16"/>
        <v/>
      </c>
      <c r="U111" s="24" t="str">
        <f t="shared" si="17"/>
        <v/>
      </c>
      <c r="V111" s="24">
        <f>IF(OR(U111="",D111=""),0,IF(SUMPRODUCT(--(U$4:U111=U111))&gt;1,1,0))</f>
        <v>0</v>
      </c>
      <c r="W111" s="24">
        <f t="shared" si="18"/>
        <v>0</v>
      </c>
      <c r="X111" s="24">
        <f t="shared" si="19"/>
        <v>0</v>
      </c>
    </row>
    <row r="112" spans="1:24" x14ac:dyDescent="0.25">
      <c r="A112" s="24">
        <v>109</v>
      </c>
      <c r="B112" s="25"/>
      <c r="C112" s="26" t="str">
        <f t="shared" si="10"/>
        <v/>
      </c>
      <c r="D112" s="25"/>
      <c r="E112" s="27"/>
      <c r="F112" s="28"/>
      <c r="G112" s="28"/>
      <c r="H112" s="25"/>
      <c r="I112" s="25"/>
      <c r="J112" s="28"/>
      <c r="K112" s="29" t="str">
        <f t="shared" si="11"/>
        <v/>
      </c>
      <c r="L112" s="25"/>
      <c r="M112" s="29" t="str">
        <f t="shared" si="12"/>
        <v/>
      </c>
      <c r="N112" s="28"/>
      <c r="O112" s="29" t="str">
        <f t="shared" si="13"/>
        <v/>
      </c>
      <c r="P112" s="29" t="str">
        <f t="shared" si="14"/>
        <v/>
      </c>
      <c r="Q112" s="24" t="str">
        <f t="shared" si="15"/>
        <v/>
      </c>
      <c r="R112" s="25"/>
      <c r="S112" s="27"/>
      <c r="T112" s="24" t="str">
        <f t="shared" si="16"/>
        <v/>
      </c>
      <c r="U112" s="24" t="str">
        <f t="shared" si="17"/>
        <v/>
      </c>
      <c r="V112" s="24">
        <f>IF(OR(U112="",D112=""),0,IF(SUMPRODUCT(--(U$4:U112=U112))&gt;1,1,0))</f>
        <v>0</v>
      </c>
      <c r="W112" s="24">
        <f t="shared" si="18"/>
        <v>0</v>
      </c>
      <c r="X112" s="24">
        <f t="shared" si="19"/>
        <v>0</v>
      </c>
    </row>
    <row r="113" spans="1:24" x14ac:dyDescent="0.25">
      <c r="A113" s="24">
        <v>110</v>
      </c>
      <c r="B113" s="25"/>
      <c r="C113" s="26" t="str">
        <f t="shared" si="10"/>
        <v/>
      </c>
      <c r="D113" s="25"/>
      <c r="E113" s="27"/>
      <c r="F113" s="28"/>
      <c r="G113" s="28"/>
      <c r="H113" s="25"/>
      <c r="I113" s="25"/>
      <c r="J113" s="28"/>
      <c r="K113" s="29" t="str">
        <f t="shared" si="11"/>
        <v/>
      </c>
      <c r="L113" s="25"/>
      <c r="M113" s="29" t="str">
        <f t="shared" si="12"/>
        <v/>
      </c>
      <c r="N113" s="28"/>
      <c r="O113" s="29" t="str">
        <f t="shared" si="13"/>
        <v/>
      </c>
      <c r="P113" s="29" t="str">
        <f t="shared" si="14"/>
        <v/>
      </c>
      <c r="Q113" s="24" t="str">
        <f t="shared" si="15"/>
        <v/>
      </c>
      <c r="R113" s="25"/>
      <c r="S113" s="27"/>
      <c r="T113" s="24" t="str">
        <f t="shared" si="16"/>
        <v/>
      </c>
      <c r="U113" s="24" t="str">
        <f t="shared" si="17"/>
        <v/>
      </c>
      <c r="V113" s="24">
        <f>IF(OR(U113="",D113=""),0,IF(SUMPRODUCT(--(U$4:U113=U113))&gt;1,1,0))</f>
        <v>0</v>
      </c>
      <c r="W113" s="24">
        <f t="shared" si="18"/>
        <v>0</v>
      </c>
      <c r="X113" s="24">
        <f t="shared" si="19"/>
        <v>0</v>
      </c>
    </row>
    <row r="114" spans="1:24" x14ac:dyDescent="0.25">
      <c r="A114" s="24">
        <v>111</v>
      </c>
      <c r="B114" s="25"/>
      <c r="C114" s="26" t="str">
        <f t="shared" si="10"/>
        <v/>
      </c>
      <c r="D114" s="25"/>
      <c r="E114" s="27"/>
      <c r="F114" s="28"/>
      <c r="G114" s="28"/>
      <c r="H114" s="25"/>
      <c r="I114" s="25"/>
      <c r="J114" s="28"/>
      <c r="K114" s="29" t="str">
        <f t="shared" si="11"/>
        <v/>
      </c>
      <c r="L114" s="25"/>
      <c r="M114" s="29" t="str">
        <f t="shared" si="12"/>
        <v/>
      </c>
      <c r="N114" s="28"/>
      <c r="O114" s="29" t="str">
        <f t="shared" si="13"/>
        <v/>
      </c>
      <c r="P114" s="29" t="str">
        <f t="shared" si="14"/>
        <v/>
      </c>
      <c r="Q114" s="24" t="str">
        <f t="shared" si="15"/>
        <v/>
      </c>
      <c r="R114" s="25"/>
      <c r="S114" s="27"/>
      <c r="T114" s="24" t="str">
        <f t="shared" si="16"/>
        <v/>
      </c>
      <c r="U114" s="24" t="str">
        <f t="shared" si="17"/>
        <v/>
      </c>
      <c r="V114" s="24">
        <f>IF(OR(U114="",D114=""),0,IF(SUMPRODUCT(--(U$4:U114=U114))&gt;1,1,0))</f>
        <v>0</v>
      </c>
      <c r="W114" s="24">
        <f t="shared" si="18"/>
        <v>0</v>
      </c>
      <c r="X114" s="24">
        <f t="shared" si="19"/>
        <v>0</v>
      </c>
    </row>
    <row r="115" spans="1:24" x14ac:dyDescent="0.25">
      <c r="A115" s="24">
        <v>112</v>
      </c>
      <c r="B115" s="25"/>
      <c r="C115" s="26" t="str">
        <f t="shared" si="10"/>
        <v/>
      </c>
      <c r="D115" s="25"/>
      <c r="E115" s="27"/>
      <c r="F115" s="28"/>
      <c r="G115" s="28"/>
      <c r="H115" s="25"/>
      <c r="I115" s="25"/>
      <c r="J115" s="28"/>
      <c r="K115" s="29" t="str">
        <f t="shared" si="11"/>
        <v/>
      </c>
      <c r="L115" s="25"/>
      <c r="M115" s="29" t="str">
        <f t="shared" si="12"/>
        <v/>
      </c>
      <c r="N115" s="28"/>
      <c r="O115" s="29" t="str">
        <f t="shared" si="13"/>
        <v/>
      </c>
      <c r="P115" s="29" t="str">
        <f t="shared" si="14"/>
        <v/>
      </c>
      <c r="Q115" s="24" t="str">
        <f t="shared" si="15"/>
        <v/>
      </c>
      <c r="R115" s="25"/>
      <c r="S115" s="27"/>
      <c r="T115" s="24" t="str">
        <f t="shared" si="16"/>
        <v/>
      </c>
      <c r="U115" s="24" t="str">
        <f t="shared" si="17"/>
        <v/>
      </c>
      <c r="V115" s="24">
        <f>IF(OR(U115="",D115=""),0,IF(SUMPRODUCT(--(U$4:U115=U115))&gt;1,1,0))</f>
        <v>0</v>
      </c>
      <c r="W115" s="24">
        <f t="shared" si="18"/>
        <v>0</v>
      </c>
      <c r="X115" s="24">
        <f t="shared" si="19"/>
        <v>0</v>
      </c>
    </row>
    <row r="116" spans="1:24" x14ac:dyDescent="0.25">
      <c r="A116" s="24">
        <v>113</v>
      </c>
      <c r="B116" s="25"/>
      <c r="C116" s="26" t="str">
        <f t="shared" si="10"/>
        <v/>
      </c>
      <c r="D116" s="25"/>
      <c r="E116" s="27"/>
      <c r="F116" s="28"/>
      <c r="G116" s="28"/>
      <c r="H116" s="25"/>
      <c r="I116" s="25"/>
      <c r="J116" s="28"/>
      <c r="K116" s="29" t="str">
        <f t="shared" si="11"/>
        <v/>
      </c>
      <c r="L116" s="25"/>
      <c r="M116" s="29" t="str">
        <f t="shared" si="12"/>
        <v/>
      </c>
      <c r="N116" s="28"/>
      <c r="O116" s="29" t="str">
        <f t="shared" si="13"/>
        <v/>
      </c>
      <c r="P116" s="29" t="str">
        <f t="shared" si="14"/>
        <v/>
      </c>
      <c r="Q116" s="24" t="str">
        <f t="shared" si="15"/>
        <v/>
      </c>
      <c r="R116" s="25"/>
      <c r="S116" s="27"/>
      <c r="T116" s="24" t="str">
        <f t="shared" si="16"/>
        <v/>
      </c>
      <c r="U116" s="24" t="str">
        <f t="shared" si="17"/>
        <v/>
      </c>
      <c r="V116" s="24">
        <f>IF(OR(U116="",D116=""),0,IF(SUMPRODUCT(--(U$4:U116=U116))&gt;1,1,0))</f>
        <v>0</v>
      </c>
      <c r="W116" s="24">
        <f t="shared" si="18"/>
        <v>0</v>
      </c>
      <c r="X116" s="24">
        <f t="shared" si="19"/>
        <v>0</v>
      </c>
    </row>
    <row r="117" spans="1:24" x14ac:dyDescent="0.25">
      <c r="A117" s="24">
        <v>114</v>
      </c>
      <c r="B117" s="25"/>
      <c r="C117" s="26" t="str">
        <f t="shared" si="10"/>
        <v/>
      </c>
      <c r="D117" s="25"/>
      <c r="E117" s="27"/>
      <c r="F117" s="28"/>
      <c r="G117" s="28"/>
      <c r="H117" s="25"/>
      <c r="I117" s="25"/>
      <c r="J117" s="28"/>
      <c r="K117" s="29" t="str">
        <f t="shared" si="11"/>
        <v/>
      </c>
      <c r="L117" s="25"/>
      <c r="M117" s="29" t="str">
        <f t="shared" si="12"/>
        <v/>
      </c>
      <c r="N117" s="28"/>
      <c r="O117" s="29" t="str">
        <f t="shared" si="13"/>
        <v/>
      </c>
      <c r="P117" s="29" t="str">
        <f t="shared" si="14"/>
        <v/>
      </c>
      <c r="Q117" s="24" t="str">
        <f t="shared" si="15"/>
        <v/>
      </c>
      <c r="R117" s="25"/>
      <c r="S117" s="27"/>
      <c r="T117" s="24" t="str">
        <f t="shared" si="16"/>
        <v/>
      </c>
      <c r="U117" s="24" t="str">
        <f t="shared" si="17"/>
        <v/>
      </c>
      <c r="V117" s="24">
        <f>IF(OR(U117="",D117=""),0,IF(SUMPRODUCT(--(U$4:U117=U117))&gt;1,1,0))</f>
        <v>0</v>
      </c>
      <c r="W117" s="24">
        <f t="shared" si="18"/>
        <v>0</v>
      </c>
      <c r="X117" s="24">
        <f t="shared" si="19"/>
        <v>0</v>
      </c>
    </row>
    <row r="118" spans="1:24" x14ac:dyDescent="0.25">
      <c r="A118" s="24">
        <v>115</v>
      </c>
      <c r="B118" s="25"/>
      <c r="C118" s="26" t="str">
        <f t="shared" si="10"/>
        <v/>
      </c>
      <c r="D118" s="25"/>
      <c r="E118" s="27"/>
      <c r="F118" s="28"/>
      <c r="G118" s="28"/>
      <c r="H118" s="25"/>
      <c r="I118" s="25"/>
      <c r="J118" s="28"/>
      <c r="K118" s="29" t="str">
        <f t="shared" si="11"/>
        <v/>
      </c>
      <c r="L118" s="25"/>
      <c r="M118" s="29" t="str">
        <f t="shared" si="12"/>
        <v/>
      </c>
      <c r="N118" s="28"/>
      <c r="O118" s="29" t="str">
        <f t="shared" si="13"/>
        <v/>
      </c>
      <c r="P118" s="29" t="str">
        <f t="shared" si="14"/>
        <v/>
      </c>
      <c r="Q118" s="24" t="str">
        <f t="shared" si="15"/>
        <v/>
      </c>
      <c r="R118" s="25"/>
      <c r="S118" s="27"/>
      <c r="T118" s="24" t="str">
        <f t="shared" si="16"/>
        <v/>
      </c>
      <c r="U118" s="24" t="str">
        <f t="shared" si="17"/>
        <v/>
      </c>
      <c r="V118" s="24">
        <f>IF(OR(U118="",D118=""),0,IF(SUMPRODUCT(--(U$4:U118=U118))&gt;1,1,0))</f>
        <v>0</v>
      </c>
      <c r="W118" s="24">
        <f t="shared" si="18"/>
        <v>0</v>
      </c>
      <c r="X118" s="24">
        <f t="shared" si="19"/>
        <v>0</v>
      </c>
    </row>
    <row r="119" spans="1:24" x14ac:dyDescent="0.25">
      <c r="A119" s="24">
        <v>116</v>
      </c>
      <c r="B119" s="25"/>
      <c r="C119" s="26" t="str">
        <f t="shared" si="10"/>
        <v/>
      </c>
      <c r="D119" s="25"/>
      <c r="E119" s="27"/>
      <c r="F119" s="28"/>
      <c r="G119" s="28"/>
      <c r="H119" s="25"/>
      <c r="I119" s="25"/>
      <c r="J119" s="28"/>
      <c r="K119" s="29" t="str">
        <f t="shared" si="11"/>
        <v/>
      </c>
      <c r="L119" s="25"/>
      <c r="M119" s="29" t="str">
        <f t="shared" si="12"/>
        <v/>
      </c>
      <c r="N119" s="28"/>
      <c r="O119" s="29" t="str">
        <f t="shared" si="13"/>
        <v/>
      </c>
      <c r="P119" s="29" t="str">
        <f t="shared" si="14"/>
        <v/>
      </c>
      <c r="Q119" s="24" t="str">
        <f t="shared" si="15"/>
        <v/>
      </c>
      <c r="R119" s="25"/>
      <c r="S119" s="27"/>
      <c r="T119" s="24" t="str">
        <f t="shared" si="16"/>
        <v/>
      </c>
      <c r="U119" s="24" t="str">
        <f t="shared" si="17"/>
        <v/>
      </c>
      <c r="V119" s="24">
        <f>IF(OR(U119="",D119=""),0,IF(SUMPRODUCT(--(U$4:U119=U119))&gt;1,1,0))</f>
        <v>0</v>
      </c>
      <c r="W119" s="24">
        <f t="shared" si="18"/>
        <v>0</v>
      </c>
      <c r="X119" s="24">
        <f t="shared" si="19"/>
        <v>0</v>
      </c>
    </row>
    <row r="120" spans="1:24" x14ac:dyDescent="0.25">
      <c r="A120" s="24">
        <v>117</v>
      </c>
      <c r="B120" s="25"/>
      <c r="C120" s="26" t="str">
        <f t="shared" si="10"/>
        <v/>
      </c>
      <c r="D120" s="25"/>
      <c r="E120" s="27"/>
      <c r="F120" s="28"/>
      <c r="G120" s="28"/>
      <c r="H120" s="25"/>
      <c r="I120" s="25"/>
      <c r="J120" s="28"/>
      <c r="K120" s="29" t="str">
        <f t="shared" si="11"/>
        <v/>
      </c>
      <c r="L120" s="25"/>
      <c r="M120" s="29" t="str">
        <f t="shared" si="12"/>
        <v/>
      </c>
      <c r="N120" s="28"/>
      <c r="O120" s="29" t="str">
        <f t="shared" si="13"/>
        <v/>
      </c>
      <c r="P120" s="29" t="str">
        <f t="shared" si="14"/>
        <v/>
      </c>
      <c r="Q120" s="24" t="str">
        <f t="shared" si="15"/>
        <v/>
      </c>
      <c r="R120" s="25"/>
      <c r="S120" s="27"/>
      <c r="T120" s="24" t="str">
        <f t="shared" si="16"/>
        <v/>
      </c>
      <c r="U120" s="24" t="str">
        <f t="shared" si="17"/>
        <v/>
      </c>
      <c r="V120" s="24">
        <f>IF(OR(U120="",D120=""),0,IF(SUMPRODUCT(--(U$4:U120=U120))&gt;1,1,0))</f>
        <v>0</v>
      </c>
      <c r="W120" s="24">
        <f t="shared" si="18"/>
        <v>0</v>
      </c>
      <c r="X120" s="24">
        <f t="shared" si="19"/>
        <v>0</v>
      </c>
    </row>
    <row r="121" spans="1:24" x14ac:dyDescent="0.25">
      <c r="A121" s="24">
        <v>118</v>
      </c>
      <c r="B121" s="25"/>
      <c r="C121" s="26" t="str">
        <f t="shared" si="10"/>
        <v/>
      </c>
      <c r="D121" s="25"/>
      <c r="E121" s="27"/>
      <c r="F121" s="28"/>
      <c r="G121" s="28"/>
      <c r="H121" s="25"/>
      <c r="I121" s="25"/>
      <c r="J121" s="28"/>
      <c r="K121" s="29" t="str">
        <f t="shared" si="11"/>
        <v/>
      </c>
      <c r="L121" s="25"/>
      <c r="M121" s="29" t="str">
        <f t="shared" si="12"/>
        <v/>
      </c>
      <c r="N121" s="28"/>
      <c r="O121" s="29" t="str">
        <f t="shared" si="13"/>
        <v/>
      </c>
      <c r="P121" s="29" t="str">
        <f t="shared" si="14"/>
        <v/>
      </c>
      <c r="Q121" s="24" t="str">
        <f t="shared" si="15"/>
        <v/>
      </c>
      <c r="R121" s="25"/>
      <c r="S121" s="27"/>
      <c r="T121" s="24" t="str">
        <f t="shared" si="16"/>
        <v/>
      </c>
      <c r="U121" s="24" t="str">
        <f t="shared" si="17"/>
        <v/>
      </c>
      <c r="V121" s="24">
        <f>IF(OR(U121="",D121=""),0,IF(SUMPRODUCT(--(U$4:U121=U121))&gt;1,1,0))</f>
        <v>0</v>
      </c>
      <c r="W121" s="24">
        <f t="shared" si="18"/>
        <v>0</v>
      </c>
      <c r="X121" s="24">
        <f t="shared" si="19"/>
        <v>0</v>
      </c>
    </row>
    <row r="122" spans="1:24" x14ac:dyDescent="0.25">
      <c r="A122" s="24">
        <v>119</v>
      </c>
      <c r="B122" s="25"/>
      <c r="C122" s="26" t="str">
        <f t="shared" si="10"/>
        <v/>
      </c>
      <c r="D122" s="25"/>
      <c r="E122" s="27"/>
      <c r="F122" s="28"/>
      <c r="G122" s="28"/>
      <c r="H122" s="25"/>
      <c r="I122" s="25"/>
      <c r="J122" s="28"/>
      <c r="K122" s="29" t="str">
        <f t="shared" si="11"/>
        <v/>
      </c>
      <c r="L122" s="25"/>
      <c r="M122" s="29" t="str">
        <f t="shared" si="12"/>
        <v/>
      </c>
      <c r="N122" s="28"/>
      <c r="O122" s="29" t="str">
        <f t="shared" si="13"/>
        <v/>
      </c>
      <c r="P122" s="29" t="str">
        <f t="shared" si="14"/>
        <v/>
      </c>
      <c r="Q122" s="24" t="str">
        <f t="shared" si="15"/>
        <v/>
      </c>
      <c r="R122" s="25"/>
      <c r="S122" s="27"/>
      <c r="T122" s="24" t="str">
        <f t="shared" si="16"/>
        <v/>
      </c>
      <c r="U122" s="24" t="str">
        <f t="shared" si="17"/>
        <v/>
      </c>
      <c r="V122" s="24">
        <f>IF(OR(U122="",D122=""),0,IF(SUMPRODUCT(--(U$4:U122=U122))&gt;1,1,0))</f>
        <v>0</v>
      </c>
      <c r="W122" s="24">
        <f t="shared" si="18"/>
        <v>0</v>
      </c>
      <c r="X122" s="24">
        <f t="shared" si="19"/>
        <v>0</v>
      </c>
    </row>
    <row r="123" spans="1:24" x14ac:dyDescent="0.25">
      <c r="A123" s="24">
        <v>120</v>
      </c>
      <c r="B123" s="25"/>
      <c r="C123" s="26" t="str">
        <f t="shared" si="10"/>
        <v/>
      </c>
      <c r="D123" s="25"/>
      <c r="E123" s="27"/>
      <c r="F123" s="28"/>
      <c r="G123" s="28"/>
      <c r="H123" s="25"/>
      <c r="I123" s="25"/>
      <c r="J123" s="28"/>
      <c r="K123" s="29" t="str">
        <f t="shared" si="11"/>
        <v/>
      </c>
      <c r="L123" s="25"/>
      <c r="M123" s="29" t="str">
        <f t="shared" si="12"/>
        <v/>
      </c>
      <c r="N123" s="28"/>
      <c r="O123" s="29" t="str">
        <f t="shared" si="13"/>
        <v/>
      </c>
      <c r="P123" s="29" t="str">
        <f t="shared" si="14"/>
        <v/>
      </c>
      <c r="Q123" s="24" t="str">
        <f t="shared" si="15"/>
        <v/>
      </c>
      <c r="R123" s="25"/>
      <c r="S123" s="27"/>
      <c r="T123" s="24" t="str">
        <f t="shared" si="16"/>
        <v/>
      </c>
      <c r="U123" s="24" t="str">
        <f t="shared" si="17"/>
        <v/>
      </c>
      <c r="V123" s="24">
        <f>IF(OR(U123="",D123=""),0,IF(SUMPRODUCT(--(U$4:U123=U123))&gt;1,1,0))</f>
        <v>0</v>
      </c>
      <c r="W123" s="24">
        <f t="shared" si="18"/>
        <v>0</v>
      </c>
      <c r="X123" s="24">
        <f t="shared" si="19"/>
        <v>0</v>
      </c>
    </row>
    <row r="124" spans="1:24" x14ac:dyDescent="0.25">
      <c r="A124" s="24">
        <v>121</v>
      </c>
      <c r="B124" s="25"/>
      <c r="C124" s="26" t="str">
        <f t="shared" si="10"/>
        <v/>
      </c>
      <c r="D124" s="25"/>
      <c r="E124" s="27"/>
      <c r="F124" s="28"/>
      <c r="G124" s="28"/>
      <c r="H124" s="25"/>
      <c r="I124" s="25"/>
      <c r="J124" s="28"/>
      <c r="K124" s="29" t="str">
        <f t="shared" si="11"/>
        <v/>
      </c>
      <c r="L124" s="25"/>
      <c r="M124" s="29" t="str">
        <f t="shared" si="12"/>
        <v/>
      </c>
      <c r="N124" s="28"/>
      <c r="O124" s="29" t="str">
        <f t="shared" si="13"/>
        <v/>
      </c>
      <c r="P124" s="29" t="str">
        <f t="shared" si="14"/>
        <v/>
      </c>
      <c r="Q124" s="24" t="str">
        <f t="shared" si="15"/>
        <v/>
      </c>
      <c r="R124" s="25"/>
      <c r="S124" s="27"/>
      <c r="T124" s="24" t="str">
        <f t="shared" si="16"/>
        <v/>
      </c>
      <c r="U124" s="24" t="str">
        <f t="shared" si="17"/>
        <v/>
      </c>
      <c r="V124" s="24">
        <f>IF(OR(U124="",D124=""),0,IF(SUMPRODUCT(--(U$4:U124=U124))&gt;1,1,0))</f>
        <v>0</v>
      </c>
      <c r="W124" s="24">
        <f t="shared" si="18"/>
        <v>0</v>
      </c>
      <c r="X124" s="24">
        <f t="shared" si="19"/>
        <v>0</v>
      </c>
    </row>
    <row r="125" spans="1:24" x14ac:dyDescent="0.25">
      <c r="A125" s="24">
        <v>122</v>
      </c>
      <c r="B125" s="25"/>
      <c r="C125" s="26" t="str">
        <f t="shared" si="10"/>
        <v/>
      </c>
      <c r="D125" s="25"/>
      <c r="E125" s="27"/>
      <c r="F125" s="28"/>
      <c r="G125" s="28"/>
      <c r="H125" s="25"/>
      <c r="I125" s="25"/>
      <c r="J125" s="28"/>
      <c r="K125" s="29" t="str">
        <f t="shared" si="11"/>
        <v/>
      </c>
      <c r="L125" s="25"/>
      <c r="M125" s="29" t="str">
        <f t="shared" si="12"/>
        <v/>
      </c>
      <c r="N125" s="28"/>
      <c r="O125" s="29" t="str">
        <f t="shared" si="13"/>
        <v/>
      </c>
      <c r="P125" s="29" t="str">
        <f t="shared" si="14"/>
        <v/>
      </c>
      <c r="Q125" s="24" t="str">
        <f t="shared" si="15"/>
        <v/>
      </c>
      <c r="R125" s="25"/>
      <c r="S125" s="27"/>
      <c r="T125" s="24" t="str">
        <f t="shared" si="16"/>
        <v/>
      </c>
      <c r="U125" s="24" t="str">
        <f t="shared" si="17"/>
        <v/>
      </c>
      <c r="V125" s="24">
        <f>IF(OR(U125="",D125=""),0,IF(SUMPRODUCT(--(U$4:U125=U125))&gt;1,1,0))</f>
        <v>0</v>
      </c>
      <c r="W125" s="24">
        <f t="shared" si="18"/>
        <v>0</v>
      </c>
      <c r="X125" s="24">
        <f t="shared" si="19"/>
        <v>0</v>
      </c>
    </row>
    <row r="126" spans="1:24" x14ac:dyDescent="0.25">
      <c r="A126" s="24">
        <v>123</v>
      </c>
      <c r="B126" s="25"/>
      <c r="C126" s="26" t="str">
        <f t="shared" si="10"/>
        <v/>
      </c>
      <c r="D126" s="25"/>
      <c r="E126" s="27"/>
      <c r="F126" s="28"/>
      <c r="G126" s="28"/>
      <c r="H126" s="25"/>
      <c r="I126" s="25"/>
      <c r="J126" s="28"/>
      <c r="K126" s="29" t="str">
        <f t="shared" si="11"/>
        <v/>
      </c>
      <c r="L126" s="25"/>
      <c r="M126" s="29" t="str">
        <f t="shared" si="12"/>
        <v/>
      </c>
      <c r="N126" s="28"/>
      <c r="O126" s="29" t="str">
        <f t="shared" si="13"/>
        <v/>
      </c>
      <c r="P126" s="29" t="str">
        <f t="shared" si="14"/>
        <v/>
      </c>
      <c r="Q126" s="24" t="str">
        <f t="shared" si="15"/>
        <v/>
      </c>
      <c r="R126" s="25"/>
      <c r="S126" s="27"/>
      <c r="T126" s="24" t="str">
        <f t="shared" si="16"/>
        <v/>
      </c>
      <c r="U126" s="24" t="str">
        <f t="shared" si="17"/>
        <v/>
      </c>
      <c r="V126" s="24">
        <f>IF(OR(U126="",D126=""),0,IF(SUMPRODUCT(--(U$4:U126=U126))&gt;1,1,0))</f>
        <v>0</v>
      </c>
      <c r="W126" s="24">
        <f t="shared" si="18"/>
        <v>0</v>
      </c>
      <c r="X126" s="24">
        <f t="shared" si="19"/>
        <v>0</v>
      </c>
    </row>
    <row r="127" spans="1:24" x14ac:dyDescent="0.25">
      <c r="A127" s="24">
        <v>124</v>
      </c>
      <c r="B127" s="25"/>
      <c r="C127" s="26" t="str">
        <f t="shared" si="10"/>
        <v/>
      </c>
      <c r="D127" s="25"/>
      <c r="E127" s="27"/>
      <c r="F127" s="28"/>
      <c r="G127" s="28"/>
      <c r="H127" s="25"/>
      <c r="I127" s="25"/>
      <c r="J127" s="28"/>
      <c r="K127" s="29" t="str">
        <f t="shared" si="11"/>
        <v/>
      </c>
      <c r="L127" s="25"/>
      <c r="M127" s="29" t="str">
        <f t="shared" si="12"/>
        <v/>
      </c>
      <c r="N127" s="28"/>
      <c r="O127" s="29" t="str">
        <f t="shared" si="13"/>
        <v/>
      </c>
      <c r="P127" s="29" t="str">
        <f t="shared" si="14"/>
        <v/>
      </c>
      <c r="Q127" s="24" t="str">
        <f t="shared" si="15"/>
        <v/>
      </c>
      <c r="R127" s="25"/>
      <c r="S127" s="27"/>
      <c r="T127" s="24" t="str">
        <f t="shared" si="16"/>
        <v/>
      </c>
      <c r="U127" s="24" t="str">
        <f t="shared" si="17"/>
        <v/>
      </c>
      <c r="V127" s="24">
        <f>IF(OR(U127="",D127=""),0,IF(SUMPRODUCT(--(U$4:U127=U127))&gt;1,1,0))</f>
        <v>0</v>
      </c>
      <c r="W127" s="24">
        <f t="shared" si="18"/>
        <v>0</v>
      </c>
      <c r="X127" s="24">
        <f t="shared" si="19"/>
        <v>0</v>
      </c>
    </row>
    <row r="128" spans="1:24" x14ac:dyDescent="0.25">
      <c r="A128" s="24">
        <v>125</v>
      </c>
      <c r="B128" s="25"/>
      <c r="C128" s="26" t="str">
        <f t="shared" si="10"/>
        <v/>
      </c>
      <c r="D128" s="25"/>
      <c r="E128" s="27"/>
      <c r="F128" s="28"/>
      <c r="G128" s="28"/>
      <c r="H128" s="25"/>
      <c r="I128" s="25"/>
      <c r="J128" s="28"/>
      <c r="K128" s="29" t="str">
        <f t="shared" si="11"/>
        <v/>
      </c>
      <c r="L128" s="25"/>
      <c r="M128" s="29" t="str">
        <f t="shared" si="12"/>
        <v/>
      </c>
      <c r="N128" s="28"/>
      <c r="O128" s="29" t="str">
        <f t="shared" si="13"/>
        <v/>
      </c>
      <c r="P128" s="29" t="str">
        <f t="shared" si="14"/>
        <v/>
      </c>
      <c r="Q128" s="24" t="str">
        <f t="shared" si="15"/>
        <v/>
      </c>
      <c r="R128" s="25"/>
      <c r="S128" s="27"/>
      <c r="T128" s="24" t="str">
        <f t="shared" si="16"/>
        <v/>
      </c>
      <c r="U128" s="24" t="str">
        <f t="shared" si="17"/>
        <v/>
      </c>
      <c r="V128" s="24">
        <f>IF(OR(U128="",D128=""),0,IF(SUMPRODUCT(--(U$4:U128=U128))&gt;1,1,0))</f>
        <v>0</v>
      </c>
      <c r="W128" s="24">
        <f t="shared" si="18"/>
        <v>0</v>
      </c>
      <c r="X128" s="24">
        <f t="shared" si="19"/>
        <v>0</v>
      </c>
    </row>
    <row r="129" spans="1:24" x14ac:dyDescent="0.25">
      <c r="A129" s="24">
        <v>126</v>
      </c>
      <c r="B129" s="25"/>
      <c r="C129" s="26" t="str">
        <f t="shared" si="10"/>
        <v/>
      </c>
      <c r="D129" s="25"/>
      <c r="E129" s="27"/>
      <c r="F129" s="28"/>
      <c r="G129" s="28"/>
      <c r="H129" s="25"/>
      <c r="I129" s="25"/>
      <c r="J129" s="28"/>
      <c r="K129" s="29" t="str">
        <f t="shared" si="11"/>
        <v/>
      </c>
      <c r="L129" s="25"/>
      <c r="M129" s="29" t="str">
        <f t="shared" si="12"/>
        <v/>
      </c>
      <c r="N129" s="28"/>
      <c r="O129" s="29" t="str">
        <f t="shared" si="13"/>
        <v/>
      </c>
      <c r="P129" s="29" t="str">
        <f t="shared" si="14"/>
        <v/>
      </c>
      <c r="Q129" s="24" t="str">
        <f t="shared" si="15"/>
        <v/>
      </c>
      <c r="R129" s="25"/>
      <c r="S129" s="27"/>
      <c r="T129" s="24" t="str">
        <f t="shared" si="16"/>
        <v/>
      </c>
      <c r="U129" s="24" t="str">
        <f t="shared" si="17"/>
        <v/>
      </c>
      <c r="V129" s="24">
        <f>IF(OR(U129="",D129=""),0,IF(SUMPRODUCT(--(U$4:U129=U129))&gt;1,1,0))</f>
        <v>0</v>
      </c>
      <c r="W129" s="24">
        <f t="shared" si="18"/>
        <v>0</v>
      </c>
      <c r="X129" s="24">
        <f t="shared" si="19"/>
        <v>0</v>
      </c>
    </row>
    <row r="130" spans="1:24" x14ac:dyDescent="0.25">
      <c r="A130" s="24">
        <v>127</v>
      </c>
      <c r="B130" s="25"/>
      <c r="C130" s="26" t="str">
        <f t="shared" si="10"/>
        <v/>
      </c>
      <c r="D130" s="25"/>
      <c r="E130" s="27"/>
      <c r="F130" s="28"/>
      <c r="G130" s="28"/>
      <c r="H130" s="25"/>
      <c r="I130" s="25"/>
      <c r="J130" s="28"/>
      <c r="K130" s="29" t="str">
        <f t="shared" si="11"/>
        <v/>
      </c>
      <c r="L130" s="25"/>
      <c r="M130" s="29" t="str">
        <f t="shared" si="12"/>
        <v/>
      </c>
      <c r="N130" s="28"/>
      <c r="O130" s="29" t="str">
        <f t="shared" si="13"/>
        <v/>
      </c>
      <c r="P130" s="29" t="str">
        <f t="shared" si="14"/>
        <v/>
      </c>
      <c r="Q130" s="24" t="str">
        <f t="shared" si="15"/>
        <v/>
      </c>
      <c r="R130" s="25"/>
      <c r="S130" s="27"/>
      <c r="T130" s="24" t="str">
        <f t="shared" si="16"/>
        <v/>
      </c>
      <c r="U130" s="24" t="str">
        <f t="shared" si="17"/>
        <v/>
      </c>
      <c r="V130" s="24">
        <f>IF(OR(U130="",D130=""),0,IF(SUMPRODUCT(--(U$4:U130=U130))&gt;1,1,0))</f>
        <v>0</v>
      </c>
      <c r="W130" s="24">
        <f t="shared" si="18"/>
        <v>0</v>
      </c>
      <c r="X130" s="24">
        <f t="shared" si="19"/>
        <v>0</v>
      </c>
    </row>
    <row r="131" spans="1:24" x14ac:dyDescent="0.25">
      <c r="A131" s="24">
        <v>128</v>
      </c>
      <c r="B131" s="25"/>
      <c r="C131" s="26" t="str">
        <f t="shared" si="10"/>
        <v/>
      </c>
      <c r="D131" s="25"/>
      <c r="E131" s="27"/>
      <c r="F131" s="28"/>
      <c r="G131" s="28"/>
      <c r="H131" s="25"/>
      <c r="I131" s="25"/>
      <c r="J131" s="28"/>
      <c r="K131" s="29" t="str">
        <f t="shared" si="11"/>
        <v/>
      </c>
      <c r="L131" s="25"/>
      <c r="M131" s="29" t="str">
        <f t="shared" si="12"/>
        <v/>
      </c>
      <c r="N131" s="28"/>
      <c r="O131" s="29" t="str">
        <f t="shared" si="13"/>
        <v/>
      </c>
      <c r="P131" s="29" t="str">
        <f t="shared" si="14"/>
        <v/>
      </c>
      <c r="Q131" s="24" t="str">
        <f t="shared" si="15"/>
        <v/>
      </c>
      <c r="R131" s="25"/>
      <c r="S131" s="27"/>
      <c r="T131" s="24" t="str">
        <f t="shared" si="16"/>
        <v/>
      </c>
      <c r="U131" s="24" t="str">
        <f t="shared" si="17"/>
        <v/>
      </c>
      <c r="V131" s="24">
        <f>IF(OR(U131="",D131=""),0,IF(SUMPRODUCT(--(U$4:U131=U131))&gt;1,1,0))</f>
        <v>0</v>
      </c>
      <c r="W131" s="24">
        <f t="shared" si="18"/>
        <v>0</v>
      </c>
      <c r="X131" s="24">
        <f t="shared" si="19"/>
        <v>0</v>
      </c>
    </row>
    <row r="132" spans="1:24" x14ac:dyDescent="0.25">
      <c r="A132" s="24">
        <v>129</v>
      </c>
      <c r="B132" s="25"/>
      <c r="C132" s="26" t="str">
        <f t="shared" ref="C132:C195" si="20">IF(B132="","",IFERROR(INDEX(SpaceNames,MATCH(B132,SpaceCodes,0))&amp;"",""))</f>
        <v/>
      </c>
      <c r="D132" s="25"/>
      <c r="E132" s="27"/>
      <c r="F132" s="28"/>
      <c r="G132" s="28"/>
      <c r="H132" s="25"/>
      <c r="I132" s="25"/>
      <c r="J132" s="28"/>
      <c r="K132" s="29" t="str">
        <f t="shared" ref="K132:K195" si="21">IF(U132="","",IF(V132=1,0,IF(I132="يدوي",IF(J132&lt;&gt;"",J132*IF(H132="",1,H132),""),IF(AND(F132&lt;&gt;"",G132&lt;&gt;""),F132*G132*IF(H132="",1,H132),""))))</f>
        <v/>
      </c>
      <c r="L132" s="25"/>
      <c r="M132" s="29" t="str">
        <f t="shared" ref="M132:M195" si="22">IF(U132="","",IF(OR(X132=0,B132="",D132=""),0,IF(E132="",0,SUMIFS(OP_Area,OP_Space,B132,OP_Wall,D132,OP_DedFin,"نعم",OP_Target,E132))+IF(W132=1,SUMIFS(OP_Area,OP_Space,B132,OP_Wall,D132,OP_DedFin,"نعم",OP_Target,""),0)))</f>
        <v/>
      </c>
      <c r="N132" s="28"/>
      <c r="O132" s="29" t="str">
        <f t="shared" ref="O132:O195" si="23">IF(OR(U132="",K132=""),"",N(M132)+N(N132))</f>
        <v/>
      </c>
      <c r="P132" s="29" t="str">
        <f t="shared" ref="P132:P195" si="24">IF(OR(U132="",K132=""),"",K132-O132)</f>
        <v/>
      </c>
      <c r="Q132" s="24" t="str">
        <f t="shared" ref="Q132:Q195" si="25">IF(E132="","",IFERROR(IF(INDEX(WallUnit,MATCH(E132,WallMat,0))="","م²",INDEX(WallUnit,MATCH(E132,WallMat,0))),"م²"))</f>
        <v/>
      </c>
      <c r="R132" s="25"/>
      <c r="S132" s="27"/>
      <c r="T132" s="24" t="str">
        <f t="shared" ref="T132:T195" si="26">IF(U132="","",IF(V132=1,"تكرار — غير محتسب",IF(B132="","ناقص بيانات: كود الفراغ",IF(COUNTIF(SpaceCodes,B132)=0,"ناقص بيانات: الفراغ غير مسجل",IF(D132="","ناقص بيانات: كود الحائط",IF(E132="","ناقص بيانات: الخامة",IF(AND(K132="",I132="يدوي"),"ناقص قياس: أدخل المساحة المباشرة",IF(AND(K132="",J132&lt;&gt;""),"ناقص قياس: اختر «يدوي» أو أدخل الطول والارتفاع",IF(K132="","ناقص قياس",IF(O132&gt;K132+0.000001,"خطأ خصم: الخصم أكبر من الإجمالي",IF(R132="نعم","يحتاج مراجعة","مكتمل")))))))))))</f>
        <v/>
      </c>
      <c r="U132" s="24" t="str">
        <f t="shared" ref="U132:U195" si="27">IF(COUNTA(B132,D132:J132,N132)=0,"",B132&amp;"|"&amp;D132&amp;"|"&amp;E132)</f>
        <v/>
      </c>
      <c r="V132" s="24">
        <f>IF(OR(U132="",D132=""),0,IF(SUMPRODUCT(--(U$4:U132=U132))&gt;1,1,0))</f>
        <v>0</v>
      </c>
      <c r="W132" s="24">
        <f t="shared" ref="W132:W195" si="28">IF(OR(U132="",B132="",D132=""),0,COUNTIFS(WL_Space,B132,WL_Wall,D132,WL_Dup,0))</f>
        <v>0</v>
      </c>
      <c r="X132" s="24">
        <f t="shared" ref="X132:X195" si="29">IF(OR(U132="",V132=1,L132="لا"),0,1)</f>
        <v>0</v>
      </c>
    </row>
    <row r="133" spans="1:24" x14ac:dyDescent="0.25">
      <c r="A133" s="24">
        <v>130</v>
      </c>
      <c r="B133" s="25"/>
      <c r="C133" s="26" t="str">
        <f t="shared" si="20"/>
        <v/>
      </c>
      <c r="D133" s="25"/>
      <c r="E133" s="27"/>
      <c r="F133" s="28"/>
      <c r="G133" s="28"/>
      <c r="H133" s="25"/>
      <c r="I133" s="25"/>
      <c r="J133" s="28"/>
      <c r="K133" s="29" t="str">
        <f t="shared" si="21"/>
        <v/>
      </c>
      <c r="L133" s="25"/>
      <c r="M133" s="29" t="str">
        <f t="shared" si="22"/>
        <v/>
      </c>
      <c r="N133" s="28"/>
      <c r="O133" s="29" t="str">
        <f t="shared" si="23"/>
        <v/>
      </c>
      <c r="P133" s="29" t="str">
        <f t="shared" si="24"/>
        <v/>
      </c>
      <c r="Q133" s="24" t="str">
        <f t="shared" si="25"/>
        <v/>
      </c>
      <c r="R133" s="25"/>
      <c r="S133" s="27"/>
      <c r="T133" s="24" t="str">
        <f t="shared" si="26"/>
        <v/>
      </c>
      <c r="U133" s="24" t="str">
        <f t="shared" si="27"/>
        <v/>
      </c>
      <c r="V133" s="24">
        <f>IF(OR(U133="",D133=""),0,IF(SUMPRODUCT(--(U$4:U133=U133))&gt;1,1,0))</f>
        <v>0</v>
      </c>
      <c r="W133" s="24">
        <f t="shared" si="28"/>
        <v>0</v>
      </c>
      <c r="X133" s="24">
        <f t="shared" si="29"/>
        <v>0</v>
      </c>
    </row>
    <row r="134" spans="1:24" x14ac:dyDescent="0.25">
      <c r="A134" s="24">
        <v>131</v>
      </c>
      <c r="B134" s="25"/>
      <c r="C134" s="26" t="str">
        <f t="shared" si="20"/>
        <v/>
      </c>
      <c r="D134" s="25"/>
      <c r="E134" s="27"/>
      <c r="F134" s="28"/>
      <c r="G134" s="28"/>
      <c r="H134" s="25"/>
      <c r="I134" s="25"/>
      <c r="J134" s="28"/>
      <c r="K134" s="29" t="str">
        <f t="shared" si="21"/>
        <v/>
      </c>
      <c r="L134" s="25"/>
      <c r="M134" s="29" t="str">
        <f t="shared" si="22"/>
        <v/>
      </c>
      <c r="N134" s="28"/>
      <c r="O134" s="29" t="str">
        <f t="shared" si="23"/>
        <v/>
      </c>
      <c r="P134" s="29" t="str">
        <f t="shared" si="24"/>
        <v/>
      </c>
      <c r="Q134" s="24" t="str">
        <f t="shared" si="25"/>
        <v/>
      </c>
      <c r="R134" s="25"/>
      <c r="S134" s="27"/>
      <c r="T134" s="24" t="str">
        <f t="shared" si="26"/>
        <v/>
      </c>
      <c r="U134" s="24" t="str">
        <f t="shared" si="27"/>
        <v/>
      </c>
      <c r="V134" s="24">
        <f>IF(OR(U134="",D134=""),0,IF(SUMPRODUCT(--(U$4:U134=U134))&gt;1,1,0))</f>
        <v>0</v>
      </c>
      <c r="W134" s="24">
        <f t="shared" si="28"/>
        <v>0</v>
      </c>
      <c r="X134" s="24">
        <f t="shared" si="29"/>
        <v>0</v>
      </c>
    </row>
    <row r="135" spans="1:24" x14ac:dyDescent="0.25">
      <c r="A135" s="24">
        <v>132</v>
      </c>
      <c r="B135" s="25"/>
      <c r="C135" s="26" t="str">
        <f t="shared" si="20"/>
        <v/>
      </c>
      <c r="D135" s="25"/>
      <c r="E135" s="27"/>
      <c r="F135" s="28"/>
      <c r="G135" s="28"/>
      <c r="H135" s="25"/>
      <c r="I135" s="25"/>
      <c r="J135" s="28"/>
      <c r="K135" s="29" t="str">
        <f t="shared" si="21"/>
        <v/>
      </c>
      <c r="L135" s="25"/>
      <c r="M135" s="29" t="str">
        <f t="shared" si="22"/>
        <v/>
      </c>
      <c r="N135" s="28"/>
      <c r="O135" s="29" t="str">
        <f t="shared" si="23"/>
        <v/>
      </c>
      <c r="P135" s="29" t="str">
        <f t="shared" si="24"/>
        <v/>
      </c>
      <c r="Q135" s="24" t="str">
        <f t="shared" si="25"/>
        <v/>
      </c>
      <c r="R135" s="25"/>
      <c r="S135" s="27"/>
      <c r="T135" s="24" t="str">
        <f t="shared" si="26"/>
        <v/>
      </c>
      <c r="U135" s="24" t="str">
        <f t="shared" si="27"/>
        <v/>
      </c>
      <c r="V135" s="24">
        <f>IF(OR(U135="",D135=""),0,IF(SUMPRODUCT(--(U$4:U135=U135))&gt;1,1,0))</f>
        <v>0</v>
      </c>
      <c r="W135" s="24">
        <f t="shared" si="28"/>
        <v>0</v>
      </c>
      <c r="X135" s="24">
        <f t="shared" si="29"/>
        <v>0</v>
      </c>
    </row>
    <row r="136" spans="1:24" x14ac:dyDescent="0.25">
      <c r="A136" s="24">
        <v>133</v>
      </c>
      <c r="B136" s="25"/>
      <c r="C136" s="26" t="str">
        <f t="shared" si="20"/>
        <v/>
      </c>
      <c r="D136" s="25"/>
      <c r="E136" s="27"/>
      <c r="F136" s="28"/>
      <c r="G136" s="28"/>
      <c r="H136" s="25"/>
      <c r="I136" s="25"/>
      <c r="J136" s="28"/>
      <c r="K136" s="29" t="str">
        <f t="shared" si="21"/>
        <v/>
      </c>
      <c r="L136" s="25"/>
      <c r="M136" s="29" t="str">
        <f t="shared" si="22"/>
        <v/>
      </c>
      <c r="N136" s="28"/>
      <c r="O136" s="29" t="str">
        <f t="shared" si="23"/>
        <v/>
      </c>
      <c r="P136" s="29" t="str">
        <f t="shared" si="24"/>
        <v/>
      </c>
      <c r="Q136" s="24" t="str">
        <f t="shared" si="25"/>
        <v/>
      </c>
      <c r="R136" s="25"/>
      <c r="S136" s="27"/>
      <c r="T136" s="24" t="str">
        <f t="shared" si="26"/>
        <v/>
      </c>
      <c r="U136" s="24" t="str">
        <f t="shared" si="27"/>
        <v/>
      </c>
      <c r="V136" s="24">
        <f>IF(OR(U136="",D136=""),0,IF(SUMPRODUCT(--(U$4:U136=U136))&gt;1,1,0))</f>
        <v>0</v>
      </c>
      <c r="W136" s="24">
        <f t="shared" si="28"/>
        <v>0</v>
      </c>
      <c r="X136" s="24">
        <f t="shared" si="29"/>
        <v>0</v>
      </c>
    </row>
    <row r="137" spans="1:24" x14ac:dyDescent="0.25">
      <c r="A137" s="24">
        <v>134</v>
      </c>
      <c r="B137" s="25"/>
      <c r="C137" s="26" t="str">
        <f t="shared" si="20"/>
        <v/>
      </c>
      <c r="D137" s="25"/>
      <c r="E137" s="27"/>
      <c r="F137" s="28"/>
      <c r="G137" s="28"/>
      <c r="H137" s="25"/>
      <c r="I137" s="25"/>
      <c r="J137" s="28"/>
      <c r="K137" s="29" t="str">
        <f t="shared" si="21"/>
        <v/>
      </c>
      <c r="L137" s="25"/>
      <c r="M137" s="29" t="str">
        <f t="shared" si="22"/>
        <v/>
      </c>
      <c r="N137" s="28"/>
      <c r="O137" s="29" t="str">
        <f t="shared" si="23"/>
        <v/>
      </c>
      <c r="P137" s="29" t="str">
        <f t="shared" si="24"/>
        <v/>
      </c>
      <c r="Q137" s="24" t="str">
        <f t="shared" si="25"/>
        <v/>
      </c>
      <c r="R137" s="25"/>
      <c r="S137" s="27"/>
      <c r="T137" s="24" t="str">
        <f t="shared" si="26"/>
        <v/>
      </c>
      <c r="U137" s="24" t="str">
        <f t="shared" si="27"/>
        <v/>
      </c>
      <c r="V137" s="24">
        <f>IF(OR(U137="",D137=""),0,IF(SUMPRODUCT(--(U$4:U137=U137))&gt;1,1,0))</f>
        <v>0</v>
      </c>
      <c r="W137" s="24">
        <f t="shared" si="28"/>
        <v>0</v>
      </c>
      <c r="X137" s="24">
        <f t="shared" si="29"/>
        <v>0</v>
      </c>
    </row>
    <row r="138" spans="1:24" x14ac:dyDescent="0.25">
      <c r="A138" s="24">
        <v>135</v>
      </c>
      <c r="B138" s="25"/>
      <c r="C138" s="26" t="str">
        <f t="shared" si="20"/>
        <v/>
      </c>
      <c r="D138" s="25"/>
      <c r="E138" s="27"/>
      <c r="F138" s="28"/>
      <c r="G138" s="28"/>
      <c r="H138" s="25"/>
      <c r="I138" s="25"/>
      <c r="J138" s="28"/>
      <c r="K138" s="29" t="str">
        <f t="shared" si="21"/>
        <v/>
      </c>
      <c r="L138" s="25"/>
      <c r="M138" s="29" t="str">
        <f t="shared" si="22"/>
        <v/>
      </c>
      <c r="N138" s="28"/>
      <c r="O138" s="29" t="str">
        <f t="shared" si="23"/>
        <v/>
      </c>
      <c r="P138" s="29" t="str">
        <f t="shared" si="24"/>
        <v/>
      </c>
      <c r="Q138" s="24" t="str">
        <f t="shared" si="25"/>
        <v/>
      </c>
      <c r="R138" s="25"/>
      <c r="S138" s="27"/>
      <c r="T138" s="24" t="str">
        <f t="shared" si="26"/>
        <v/>
      </c>
      <c r="U138" s="24" t="str">
        <f t="shared" si="27"/>
        <v/>
      </c>
      <c r="V138" s="24">
        <f>IF(OR(U138="",D138=""),0,IF(SUMPRODUCT(--(U$4:U138=U138))&gt;1,1,0))</f>
        <v>0</v>
      </c>
      <c r="W138" s="24">
        <f t="shared" si="28"/>
        <v>0</v>
      </c>
      <c r="X138" s="24">
        <f t="shared" si="29"/>
        <v>0</v>
      </c>
    </row>
    <row r="139" spans="1:24" x14ac:dyDescent="0.25">
      <c r="A139" s="24">
        <v>136</v>
      </c>
      <c r="B139" s="25"/>
      <c r="C139" s="26" t="str">
        <f t="shared" si="20"/>
        <v/>
      </c>
      <c r="D139" s="25"/>
      <c r="E139" s="27"/>
      <c r="F139" s="28"/>
      <c r="G139" s="28"/>
      <c r="H139" s="25"/>
      <c r="I139" s="25"/>
      <c r="J139" s="28"/>
      <c r="K139" s="29" t="str">
        <f t="shared" si="21"/>
        <v/>
      </c>
      <c r="L139" s="25"/>
      <c r="M139" s="29" t="str">
        <f t="shared" si="22"/>
        <v/>
      </c>
      <c r="N139" s="28"/>
      <c r="O139" s="29" t="str">
        <f t="shared" si="23"/>
        <v/>
      </c>
      <c r="P139" s="29" t="str">
        <f t="shared" si="24"/>
        <v/>
      </c>
      <c r="Q139" s="24" t="str">
        <f t="shared" si="25"/>
        <v/>
      </c>
      <c r="R139" s="25"/>
      <c r="S139" s="27"/>
      <c r="T139" s="24" t="str">
        <f t="shared" si="26"/>
        <v/>
      </c>
      <c r="U139" s="24" t="str">
        <f t="shared" si="27"/>
        <v/>
      </c>
      <c r="V139" s="24">
        <f>IF(OR(U139="",D139=""),0,IF(SUMPRODUCT(--(U$4:U139=U139))&gt;1,1,0))</f>
        <v>0</v>
      </c>
      <c r="W139" s="24">
        <f t="shared" si="28"/>
        <v>0</v>
      </c>
      <c r="X139" s="24">
        <f t="shared" si="29"/>
        <v>0</v>
      </c>
    </row>
    <row r="140" spans="1:24" x14ac:dyDescent="0.25">
      <c r="A140" s="24">
        <v>137</v>
      </c>
      <c r="B140" s="25"/>
      <c r="C140" s="26" t="str">
        <f t="shared" si="20"/>
        <v/>
      </c>
      <c r="D140" s="25"/>
      <c r="E140" s="27"/>
      <c r="F140" s="28"/>
      <c r="G140" s="28"/>
      <c r="H140" s="25"/>
      <c r="I140" s="25"/>
      <c r="J140" s="28"/>
      <c r="K140" s="29" t="str">
        <f t="shared" si="21"/>
        <v/>
      </c>
      <c r="L140" s="25"/>
      <c r="M140" s="29" t="str">
        <f t="shared" si="22"/>
        <v/>
      </c>
      <c r="N140" s="28"/>
      <c r="O140" s="29" t="str">
        <f t="shared" si="23"/>
        <v/>
      </c>
      <c r="P140" s="29" t="str">
        <f t="shared" si="24"/>
        <v/>
      </c>
      <c r="Q140" s="24" t="str">
        <f t="shared" si="25"/>
        <v/>
      </c>
      <c r="R140" s="25"/>
      <c r="S140" s="27"/>
      <c r="T140" s="24" t="str">
        <f t="shared" si="26"/>
        <v/>
      </c>
      <c r="U140" s="24" t="str">
        <f t="shared" si="27"/>
        <v/>
      </c>
      <c r="V140" s="24">
        <f>IF(OR(U140="",D140=""),0,IF(SUMPRODUCT(--(U$4:U140=U140))&gt;1,1,0))</f>
        <v>0</v>
      </c>
      <c r="W140" s="24">
        <f t="shared" si="28"/>
        <v>0</v>
      </c>
      <c r="X140" s="24">
        <f t="shared" si="29"/>
        <v>0</v>
      </c>
    </row>
    <row r="141" spans="1:24" x14ac:dyDescent="0.25">
      <c r="A141" s="24">
        <v>138</v>
      </c>
      <c r="B141" s="25"/>
      <c r="C141" s="26" t="str">
        <f t="shared" si="20"/>
        <v/>
      </c>
      <c r="D141" s="25"/>
      <c r="E141" s="27"/>
      <c r="F141" s="28"/>
      <c r="G141" s="28"/>
      <c r="H141" s="25"/>
      <c r="I141" s="25"/>
      <c r="J141" s="28"/>
      <c r="K141" s="29" t="str">
        <f t="shared" si="21"/>
        <v/>
      </c>
      <c r="L141" s="25"/>
      <c r="M141" s="29" t="str">
        <f t="shared" si="22"/>
        <v/>
      </c>
      <c r="N141" s="28"/>
      <c r="O141" s="29" t="str">
        <f t="shared" si="23"/>
        <v/>
      </c>
      <c r="P141" s="29" t="str">
        <f t="shared" si="24"/>
        <v/>
      </c>
      <c r="Q141" s="24" t="str">
        <f t="shared" si="25"/>
        <v/>
      </c>
      <c r="R141" s="25"/>
      <c r="S141" s="27"/>
      <c r="T141" s="24" t="str">
        <f t="shared" si="26"/>
        <v/>
      </c>
      <c r="U141" s="24" t="str">
        <f t="shared" si="27"/>
        <v/>
      </c>
      <c r="V141" s="24">
        <f>IF(OR(U141="",D141=""),0,IF(SUMPRODUCT(--(U$4:U141=U141))&gt;1,1,0))</f>
        <v>0</v>
      </c>
      <c r="W141" s="24">
        <f t="shared" si="28"/>
        <v>0</v>
      </c>
      <c r="X141" s="24">
        <f t="shared" si="29"/>
        <v>0</v>
      </c>
    </row>
    <row r="142" spans="1:24" x14ac:dyDescent="0.25">
      <c r="A142" s="24">
        <v>139</v>
      </c>
      <c r="B142" s="25"/>
      <c r="C142" s="26" t="str">
        <f t="shared" si="20"/>
        <v/>
      </c>
      <c r="D142" s="25"/>
      <c r="E142" s="27"/>
      <c r="F142" s="28"/>
      <c r="G142" s="28"/>
      <c r="H142" s="25"/>
      <c r="I142" s="25"/>
      <c r="J142" s="28"/>
      <c r="K142" s="29" t="str">
        <f t="shared" si="21"/>
        <v/>
      </c>
      <c r="L142" s="25"/>
      <c r="M142" s="29" t="str">
        <f t="shared" si="22"/>
        <v/>
      </c>
      <c r="N142" s="28"/>
      <c r="O142" s="29" t="str">
        <f t="shared" si="23"/>
        <v/>
      </c>
      <c r="P142" s="29" t="str">
        <f t="shared" si="24"/>
        <v/>
      </c>
      <c r="Q142" s="24" t="str">
        <f t="shared" si="25"/>
        <v/>
      </c>
      <c r="R142" s="25"/>
      <c r="S142" s="27"/>
      <c r="T142" s="24" t="str">
        <f t="shared" si="26"/>
        <v/>
      </c>
      <c r="U142" s="24" t="str">
        <f t="shared" si="27"/>
        <v/>
      </c>
      <c r="V142" s="24">
        <f>IF(OR(U142="",D142=""),0,IF(SUMPRODUCT(--(U$4:U142=U142))&gt;1,1,0))</f>
        <v>0</v>
      </c>
      <c r="W142" s="24">
        <f t="shared" si="28"/>
        <v>0</v>
      </c>
      <c r="X142" s="24">
        <f t="shared" si="29"/>
        <v>0</v>
      </c>
    </row>
    <row r="143" spans="1:24" x14ac:dyDescent="0.25">
      <c r="A143" s="24">
        <v>140</v>
      </c>
      <c r="B143" s="25"/>
      <c r="C143" s="26" t="str">
        <f t="shared" si="20"/>
        <v/>
      </c>
      <c r="D143" s="25"/>
      <c r="E143" s="27"/>
      <c r="F143" s="28"/>
      <c r="G143" s="28"/>
      <c r="H143" s="25"/>
      <c r="I143" s="25"/>
      <c r="J143" s="28"/>
      <c r="K143" s="29" t="str">
        <f t="shared" si="21"/>
        <v/>
      </c>
      <c r="L143" s="25"/>
      <c r="M143" s="29" t="str">
        <f t="shared" si="22"/>
        <v/>
      </c>
      <c r="N143" s="28"/>
      <c r="O143" s="29" t="str">
        <f t="shared" si="23"/>
        <v/>
      </c>
      <c r="P143" s="29" t="str">
        <f t="shared" si="24"/>
        <v/>
      </c>
      <c r="Q143" s="24" t="str">
        <f t="shared" si="25"/>
        <v/>
      </c>
      <c r="R143" s="25"/>
      <c r="S143" s="27"/>
      <c r="T143" s="24" t="str">
        <f t="shared" si="26"/>
        <v/>
      </c>
      <c r="U143" s="24" t="str">
        <f t="shared" si="27"/>
        <v/>
      </c>
      <c r="V143" s="24">
        <f>IF(OR(U143="",D143=""),0,IF(SUMPRODUCT(--(U$4:U143=U143))&gt;1,1,0))</f>
        <v>0</v>
      </c>
      <c r="W143" s="24">
        <f t="shared" si="28"/>
        <v>0</v>
      </c>
      <c r="X143" s="24">
        <f t="shared" si="29"/>
        <v>0</v>
      </c>
    </row>
    <row r="144" spans="1:24" x14ac:dyDescent="0.25">
      <c r="A144" s="24">
        <v>141</v>
      </c>
      <c r="B144" s="25"/>
      <c r="C144" s="26" t="str">
        <f t="shared" si="20"/>
        <v/>
      </c>
      <c r="D144" s="25"/>
      <c r="E144" s="27"/>
      <c r="F144" s="28"/>
      <c r="G144" s="28"/>
      <c r="H144" s="25"/>
      <c r="I144" s="25"/>
      <c r="J144" s="28"/>
      <c r="K144" s="29" t="str">
        <f t="shared" si="21"/>
        <v/>
      </c>
      <c r="L144" s="25"/>
      <c r="M144" s="29" t="str">
        <f t="shared" si="22"/>
        <v/>
      </c>
      <c r="N144" s="28"/>
      <c r="O144" s="29" t="str">
        <f t="shared" si="23"/>
        <v/>
      </c>
      <c r="P144" s="29" t="str">
        <f t="shared" si="24"/>
        <v/>
      </c>
      <c r="Q144" s="24" t="str">
        <f t="shared" si="25"/>
        <v/>
      </c>
      <c r="R144" s="25"/>
      <c r="S144" s="27"/>
      <c r="T144" s="24" t="str">
        <f t="shared" si="26"/>
        <v/>
      </c>
      <c r="U144" s="24" t="str">
        <f t="shared" si="27"/>
        <v/>
      </c>
      <c r="V144" s="24">
        <f>IF(OR(U144="",D144=""),0,IF(SUMPRODUCT(--(U$4:U144=U144))&gt;1,1,0))</f>
        <v>0</v>
      </c>
      <c r="W144" s="24">
        <f t="shared" si="28"/>
        <v>0</v>
      </c>
      <c r="X144" s="24">
        <f t="shared" si="29"/>
        <v>0</v>
      </c>
    </row>
    <row r="145" spans="1:24" x14ac:dyDescent="0.25">
      <c r="A145" s="24">
        <v>142</v>
      </c>
      <c r="B145" s="25"/>
      <c r="C145" s="26" t="str">
        <f t="shared" si="20"/>
        <v/>
      </c>
      <c r="D145" s="25"/>
      <c r="E145" s="27"/>
      <c r="F145" s="28"/>
      <c r="G145" s="28"/>
      <c r="H145" s="25"/>
      <c r="I145" s="25"/>
      <c r="J145" s="28"/>
      <c r="K145" s="29" t="str">
        <f t="shared" si="21"/>
        <v/>
      </c>
      <c r="L145" s="25"/>
      <c r="M145" s="29" t="str">
        <f t="shared" si="22"/>
        <v/>
      </c>
      <c r="N145" s="28"/>
      <c r="O145" s="29" t="str">
        <f t="shared" si="23"/>
        <v/>
      </c>
      <c r="P145" s="29" t="str">
        <f t="shared" si="24"/>
        <v/>
      </c>
      <c r="Q145" s="24" t="str">
        <f t="shared" si="25"/>
        <v/>
      </c>
      <c r="R145" s="25"/>
      <c r="S145" s="27"/>
      <c r="T145" s="24" t="str">
        <f t="shared" si="26"/>
        <v/>
      </c>
      <c r="U145" s="24" t="str">
        <f t="shared" si="27"/>
        <v/>
      </c>
      <c r="V145" s="24">
        <f>IF(OR(U145="",D145=""),0,IF(SUMPRODUCT(--(U$4:U145=U145))&gt;1,1,0))</f>
        <v>0</v>
      </c>
      <c r="W145" s="24">
        <f t="shared" si="28"/>
        <v>0</v>
      </c>
      <c r="X145" s="24">
        <f t="shared" si="29"/>
        <v>0</v>
      </c>
    </row>
    <row r="146" spans="1:24" x14ac:dyDescent="0.25">
      <c r="A146" s="24">
        <v>143</v>
      </c>
      <c r="B146" s="25"/>
      <c r="C146" s="26" t="str">
        <f t="shared" si="20"/>
        <v/>
      </c>
      <c r="D146" s="25"/>
      <c r="E146" s="27"/>
      <c r="F146" s="28"/>
      <c r="G146" s="28"/>
      <c r="H146" s="25"/>
      <c r="I146" s="25"/>
      <c r="J146" s="28"/>
      <c r="K146" s="29" t="str">
        <f t="shared" si="21"/>
        <v/>
      </c>
      <c r="L146" s="25"/>
      <c r="M146" s="29" t="str">
        <f t="shared" si="22"/>
        <v/>
      </c>
      <c r="N146" s="28"/>
      <c r="O146" s="29" t="str">
        <f t="shared" si="23"/>
        <v/>
      </c>
      <c r="P146" s="29" t="str">
        <f t="shared" si="24"/>
        <v/>
      </c>
      <c r="Q146" s="24" t="str">
        <f t="shared" si="25"/>
        <v/>
      </c>
      <c r="R146" s="25"/>
      <c r="S146" s="27"/>
      <c r="T146" s="24" t="str">
        <f t="shared" si="26"/>
        <v/>
      </c>
      <c r="U146" s="24" t="str">
        <f t="shared" si="27"/>
        <v/>
      </c>
      <c r="V146" s="24">
        <f>IF(OR(U146="",D146=""),0,IF(SUMPRODUCT(--(U$4:U146=U146))&gt;1,1,0))</f>
        <v>0</v>
      </c>
      <c r="W146" s="24">
        <f t="shared" si="28"/>
        <v>0</v>
      </c>
      <c r="X146" s="24">
        <f t="shared" si="29"/>
        <v>0</v>
      </c>
    </row>
    <row r="147" spans="1:24" x14ac:dyDescent="0.25">
      <c r="A147" s="24">
        <v>144</v>
      </c>
      <c r="B147" s="25"/>
      <c r="C147" s="26" t="str">
        <f t="shared" si="20"/>
        <v/>
      </c>
      <c r="D147" s="25"/>
      <c r="E147" s="27"/>
      <c r="F147" s="28"/>
      <c r="G147" s="28"/>
      <c r="H147" s="25"/>
      <c r="I147" s="25"/>
      <c r="J147" s="28"/>
      <c r="K147" s="29" t="str">
        <f t="shared" si="21"/>
        <v/>
      </c>
      <c r="L147" s="25"/>
      <c r="M147" s="29" t="str">
        <f t="shared" si="22"/>
        <v/>
      </c>
      <c r="N147" s="28"/>
      <c r="O147" s="29" t="str">
        <f t="shared" si="23"/>
        <v/>
      </c>
      <c r="P147" s="29" t="str">
        <f t="shared" si="24"/>
        <v/>
      </c>
      <c r="Q147" s="24" t="str">
        <f t="shared" si="25"/>
        <v/>
      </c>
      <c r="R147" s="25"/>
      <c r="S147" s="27"/>
      <c r="T147" s="24" t="str">
        <f t="shared" si="26"/>
        <v/>
      </c>
      <c r="U147" s="24" t="str">
        <f t="shared" si="27"/>
        <v/>
      </c>
      <c r="V147" s="24">
        <f>IF(OR(U147="",D147=""),0,IF(SUMPRODUCT(--(U$4:U147=U147))&gt;1,1,0))</f>
        <v>0</v>
      </c>
      <c r="W147" s="24">
        <f t="shared" si="28"/>
        <v>0</v>
      </c>
      <c r="X147" s="24">
        <f t="shared" si="29"/>
        <v>0</v>
      </c>
    </row>
    <row r="148" spans="1:24" x14ac:dyDescent="0.25">
      <c r="A148" s="24">
        <v>145</v>
      </c>
      <c r="B148" s="25"/>
      <c r="C148" s="26" t="str">
        <f t="shared" si="20"/>
        <v/>
      </c>
      <c r="D148" s="25"/>
      <c r="E148" s="27"/>
      <c r="F148" s="28"/>
      <c r="G148" s="28"/>
      <c r="H148" s="25"/>
      <c r="I148" s="25"/>
      <c r="J148" s="28"/>
      <c r="K148" s="29" t="str">
        <f t="shared" si="21"/>
        <v/>
      </c>
      <c r="L148" s="25"/>
      <c r="M148" s="29" t="str">
        <f t="shared" si="22"/>
        <v/>
      </c>
      <c r="N148" s="28"/>
      <c r="O148" s="29" t="str">
        <f t="shared" si="23"/>
        <v/>
      </c>
      <c r="P148" s="29" t="str">
        <f t="shared" si="24"/>
        <v/>
      </c>
      <c r="Q148" s="24" t="str">
        <f t="shared" si="25"/>
        <v/>
      </c>
      <c r="R148" s="25"/>
      <c r="S148" s="27"/>
      <c r="T148" s="24" t="str">
        <f t="shared" si="26"/>
        <v/>
      </c>
      <c r="U148" s="24" t="str">
        <f t="shared" si="27"/>
        <v/>
      </c>
      <c r="V148" s="24">
        <f>IF(OR(U148="",D148=""),0,IF(SUMPRODUCT(--(U$4:U148=U148))&gt;1,1,0))</f>
        <v>0</v>
      </c>
      <c r="W148" s="24">
        <f t="shared" si="28"/>
        <v>0</v>
      </c>
      <c r="X148" s="24">
        <f t="shared" si="29"/>
        <v>0</v>
      </c>
    </row>
    <row r="149" spans="1:24" x14ac:dyDescent="0.25">
      <c r="A149" s="24">
        <v>146</v>
      </c>
      <c r="B149" s="25"/>
      <c r="C149" s="26" t="str">
        <f t="shared" si="20"/>
        <v/>
      </c>
      <c r="D149" s="25"/>
      <c r="E149" s="27"/>
      <c r="F149" s="28"/>
      <c r="G149" s="28"/>
      <c r="H149" s="25"/>
      <c r="I149" s="25"/>
      <c r="J149" s="28"/>
      <c r="K149" s="29" t="str">
        <f t="shared" si="21"/>
        <v/>
      </c>
      <c r="L149" s="25"/>
      <c r="M149" s="29" t="str">
        <f t="shared" si="22"/>
        <v/>
      </c>
      <c r="N149" s="28"/>
      <c r="O149" s="29" t="str">
        <f t="shared" si="23"/>
        <v/>
      </c>
      <c r="P149" s="29" t="str">
        <f t="shared" si="24"/>
        <v/>
      </c>
      <c r="Q149" s="24" t="str">
        <f t="shared" si="25"/>
        <v/>
      </c>
      <c r="R149" s="25"/>
      <c r="S149" s="27"/>
      <c r="T149" s="24" t="str">
        <f t="shared" si="26"/>
        <v/>
      </c>
      <c r="U149" s="24" t="str">
        <f t="shared" si="27"/>
        <v/>
      </c>
      <c r="V149" s="24">
        <f>IF(OR(U149="",D149=""),0,IF(SUMPRODUCT(--(U$4:U149=U149))&gt;1,1,0))</f>
        <v>0</v>
      </c>
      <c r="W149" s="24">
        <f t="shared" si="28"/>
        <v>0</v>
      </c>
      <c r="X149" s="24">
        <f t="shared" si="29"/>
        <v>0</v>
      </c>
    </row>
    <row r="150" spans="1:24" x14ac:dyDescent="0.25">
      <c r="A150" s="24">
        <v>147</v>
      </c>
      <c r="B150" s="25"/>
      <c r="C150" s="26" t="str">
        <f t="shared" si="20"/>
        <v/>
      </c>
      <c r="D150" s="25"/>
      <c r="E150" s="27"/>
      <c r="F150" s="28"/>
      <c r="G150" s="28"/>
      <c r="H150" s="25"/>
      <c r="I150" s="25"/>
      <c r="J150" s="28"/>
      <c r="K150" s="29" t="str">
        <f t="shared" si="21"/>
        <v/>
      </c>
      <c r="L150" s="25"/>
      <c r="M150" s="29" t="str">
        <f t="shared" si="22"/>
        <v/>
      </c>
      <c r="N150" s="28"/>
      <c r="O150" s="29" t="str">
        <f t="shared" si="23"/>
        <v/>
      </c>
      <c r="P150" s="29" t="str">
        <f t="shared" si="24"/>
        <v/>
      </c>
      <c r="Q150" s="24" t="str">
        <f t="shared" si="25"/>
        <v/>
      </c>
      <c r="R150" s="25"/>
      <c r="S150" s="27"/>
      <c r="T150" s="24" t="str">
        <f t="shared" si="26"/>
        <v/>
      </c>
      <c r="U150" s="24" t="str">
        <f t="shared" si="27"/>
        <v/>
      </c>
      <c r="V150" s="24">
        <f>IF(OR(U150="",D150=""),0,IF(SUMPRODUCT(--(U$4:U150=U150))&gt;1,1,0))</f>
        <v>0</v>
      </c>
      <c r="W150" s="24">
        <f t="shared" si="28"/>
        <v>0</v>
      </c>
      <c r="X150" s="24">
        <f t="shared" si="29"/>
        <v>0</v>
      </c>
    </row>
    <row r="151" spans="1:24" x14ac:dyDescent="0.25">
      <c r="A151" s="24">
        <v>148</v>
      </c>
      <c r="B151" s="25"/>
      <c r="C151" s="26" t="str">
        <f t="shared" si="20"/>
        <v/>
      </c>
      <c r="D151" s="25"/>
      <c r="E151" s="27"/>
      <c r="F151" s="28"/>
      <c r="G151" s="28"/>
      <c r="H151" s="25"/>
      <c r="I151" s="25"/>
      <c r="J151" s="28"/>
      <c r="K151" s="29" t="str">
        <f t="shared" si="21"/>
        <v/>
      </c>
      <c r="L151" s="25"/>
      <c r="M151" s="29" t="str">
        <f t="shared" si="22"/>
        <v/>
      </c>
      <c r="N151" s="28"/>
      <c r="O151" s="29" t="str">
        <f t="shared" si="23"/>
        <v/>
      </c>
      <c r="P151" s="29" t="str">
        <f t="shared" si="24"/>
        <v/>
      </c>
      <c r="Q151" s="24" t="str">
        <f t="shared" si="25"/>
        <v/>
      </c>
      <c r="R151" s="25"/>
      <c r="S151" s="27"/>
      <c r="T151" s="24" t="str">
        <f t="shared" si="26"/>
        <v/>
      </c>
      <c r="U151" s="24" t="str">
        <f t="shared" si="27"/>
        <v/>
      </c>
      <c r="V151" s="24">
        <f>IF(OR(U151="",D151=""),0,IF(SUMPRODUCT(--(U$4:U151=U151))&gt;1,1,0))</f>
        <v>0</v>
      </c>
      <c r="W151" s="24">
        <f t="shared" si="28"/>
        <v>0</v>
      </c>
      <c r="X151" s="24">
        <f t="shared" si="29"/>
        <v>0</v>
      </c>
    </row>
    <row r="152" spans="1:24" x14ac:dyDescent="0.25">
      <c r="A152" s="24">
        <v>149</v>
      </c>
      <c r="B152" s="25"/>
      <c r="C152" s="26" t="str">
        <f t="shared" si="20"/>
        <v/>
      </c>
      <c r="D152" s="25"/>
      <c r="E152" s="27"/>
      <c r="F152" s="28"/>
      <c r="G152" s="28"/>
      <c r="H152" s="25"/>
      <c r="I152" s="25"/>
      <c r="J152" s="28"/>
      <c r="K152" s="29" t="str">
        <f t="shared" si="21"/>
        <v/>
      </c>
      <c r="L152" s="25"/>
      <c r="M152" s="29" t="str">
        <f t="shared" si="22"/>
        <v/>
      </c>
      <c r="N152" s="28"/>
      <c r="O152" s="29" t="str">
        <f t="shared" si="23"/>
        <v/>
      </c>
      <c r="P152" s="29" t="str">
        <f t="shared" si="24"/>
        <v/>
      </c>
      <c r="Q152" s="24" t="str">
        <f t="shared" si="25"/>
        <v/>
      </c>
      <c r="R152" s="25"/>
      <c r="S152" s="27"/>
      <c r="T152" s="24" t="str">
        <f t="shared" si="26"/>
        <v/>
      </c>
      <c r="U152" s="24" t="str">
        <f t="shared" si="27"/>
        <v/>
      </c>
      <c r="V152" s="24">
        <f>IF(OR(U152="",D152=""),0,IF(SUMPRODUCT(--(U$4:U152=U152))&gt;1,1,0))</f>
        <v>0</v>
      </c>
      <c r="W152" s="24">
        <f t="shared" si="28"/>
        <v>0</v>
      </c>
      <c r="X152" s="24">
        <f t="shared" si="29"/>
        <v>0</v>
      </c>
    </row>
    <row r="153" spans="1:24" x14ac:dyDescent="0.25">
      <c r="A153" s="24">
        <v>150</v>
      </c>
      <c r="B153" s="25"/>
      <c r="C153" s="26" t="str">
        <f t="shared" si="20"/>
        <v/>
      </c>
      <c r="D153" s="25"/>
      <c r="E153" s="27"/>
      <c r="F153" s="28"/>
      <c r="G153" s="28"/>
      <c r="H153" s="25"/>
      <c r="I153" s="25"/>
      <c r="J153" s="28"/>
      <c r="K153" s="29" t="str">
        <f t="shared" si="21"/>
        <v/>
      </c>
      <c r="L153" s="25"/>
      <c r="M153" s="29" t="str">
        <f t="shared" si="22"/>
        <v/>
      </c>
      <c r="N153" s="28"/>
      <c r="O153" s="29" t="str">
        <f t="shared" si="23"/>
        <v/>
      </c>
      <c r="P153" s="29" t="str">
        <f t="shared" si="24"/>
        <v/>
      </c>
      <c r="Q153" s="24" t="str">
        <f t="shared" si="25"/>
        <v/>
      </c>
      <c r="R153" s="25"/>
      <c r="S153" s="27"/>
      <c r="T153" s="24" t="str">
        <f t="shared" si="26"/>
        <v/>
      </c>
      <c r="U153" s="24" t="str">
        <f t="shared" si="27"/>
        <v/>
      </c>
      <c r="V153" s="24">
        <f>IF(OR(U153="",D153=""),0,IF(SUMPRODUCT(--(U$4:U153=U153))&gt;1,1,0))</f>
        <v>0</v>
      </c>
      <c r="W153" s="24">
        <f t="shared" si="28"/>
        <v>0</v>
      </c>
      <c r="X153" s="24">
        <f t="shared" si="29"/>
        <v>0</v>
      </c>
    </row>
    <row r="154" spans="1:24" x14ac:dyDescent="0.25">
      <c r="A154" s="24">
        <v>151</v>
      </c>
      <c r="B154" s="25"/>
      <c r="C154" s="26" t="str">
        <f t="shared" si="20"/>
        <v/>
      </c>
      <c r="D154" s="25"/>
      <c r="E154" s="27"/>
      <c r="F154" s="28"/>
      <c r="G154" s="28"/>
      <c r="H154" s="25"/>
      <c r="I154" s="25"/>
      <c r="J154" s="28"/>
      <c r="K154" s="29" t="str">
        <f t="shared" si="21"/>
        <v/>
      </c>
      <c r="L154" s="25"/>
      <c r="M154" s="29" t="str">
        <f t="shared" si="22"/>
        <v/>
      </c>
      <c r="N154" s="28"/>
      <c r="O154" s="29" t="str">
        <f t="shared" si="23"/>
        <v/>
      </c>
      <c r="P154" s="29" t="str">
        <f t="shared" si="24"/>
        <v/>
      </c>
      <c r="Q154" s="24" t="str">
        <f t="shared" si="25"/>
        <v/>
      </c>
      <c r="R154" s="25"/>
      <c r="S154" s="27"/>
      <c r="T154" s="24" t="str">
        <f t="shared" si="26"/>
        <v/>
      </c>
      <c r="U154" s="24" t="str">
        <f t="shared" si="27"/>
        <v/>
      </c>
      <c r="V154" s="24">
        <f>IF(OR(U154="",D154=""),0,IF(SUMPRODUCT(--(U$4:U154=U154))&gt;1,1,0))</f>
        <v>0</v>
      </c>
      <c r="W154" s="24">
        <f t="shared" si="28"/>
        <v>0</v>
      </c>
      <c r="X154" s="24">
        <f t="shared" si="29"/>
        <v>0</v>
      </c>
    </row>
    <row r="155" spans="1:24" x14ac:dyDescent="0.25">
      <c r="A155" s="24">
        <v>152</v>
      </c>
      <c r="B155" s="25"/>
      <c r="C155" s="26" t="str">
        <f t="shared" si="20"/>
        <v/>
      </c>
      <c r="D155" s="25"/>
      <c r="E155" s="27"/>
      <c r="F155" s="28"/>
      <c r="G155" s="28"/>
      <c r="H155" s="25"/>
      <c r="I155" s="25"/>
      <c r="J155" s="28"/>
      <c r="K155" s="29" t="str">
        <f t="shared" si="21"/>
        <v/>
      </c>
      <c r="L155" s="25"/>
      <c r="M155" s="29" t="str">
        <f t="shared" si="22"/>
        <v/>
      </c>
      <c r="N155" s="28"/>
      <c r="O155" s="29" t="str">
        <f t="shared" si="23"/>
        <v/>
      </c>
      <c r="P155" s="29" t="str">
        <f t="shared" si="24"/>
        <v/>
      </c>
      <c r="Q155" s="24" t="str">
        <f t="shared" si="25"/>
        <v/>
      </c>
      <c r="R155" s="25"/>
      <c r="S155" s="27"/>
      <c r="T155" s="24" t="str">
        <f t="shared" si="26"/>
        <v/>
      </c>
      <c r="U155" s="24" t="str">
        <f t="shared" si="27"/>
        <v/>
      </c>
      <c r="V155" s="24">
        <f>IF(OR(U155="",D155=""),0,IF(SUMPRODUCT(--(U$4:U155=U155))&gt;1,1,0))</f>
        <v>0</v>
      </c>
      <c r="W155" s="24">
        <f t="shared" si="28"/>
        <v>0</v>
      </c>
      <c r="X155" s="24">
        <f t="shared" si="29"/>
        <v>0</v>
      </c>
    </row>
    <row r="156" spans="1:24" x14ac:dyDescent="0.25">
      <c r="A156" s="24">
        <v>153</v>
      </c>
      <c r="B156" s="25"/>
      <c r="C156" s="26" t="str">
        <f t="shared" si="20"/>
        <v/>
      </c>
      <c r="D156" s="25"/>
      <c r="E156" s="27"/>
      <c r="F156" s="28"/>
      <c r="G156" s="28"/>
      <c r="H156" s="25"/>
      <c r="I156" s="25"/>
      <c r="J156" s="28"/>
      <c r="K156" s="29" t="str">
        <f t="shared" si="21"/>
        <v/>
      </c>
      <c r="L156" s="25"/>
      <c r="M156" s="29" t="str">
        <f t="shared" si="22"/>
        <v/>
      </c>
      <c r="N156" s="28"/>
      <c r="O156" s="29" t="str">
        <f t="shared" si="23"/>
        <v/>
      </c>
      <c r="P156" s="29" t="str">
        <f t="shared" si="24"/>
        <v/>
      </c>
      <c r="Q156" s="24" t="str">
        <f t="shared" si="25"/>
        <v/>
      </c>
      <c r="R156" s="25"/>
      <c r="S156" s="27"/>
      <c r="T156" s="24" t="str">
        <f t="shared" si="26"/>
        <v/>
      </c>
      <c r="U156" s="24" t="str">
        <f t="shared" si="27"/>
        <v/>
      </c>
      <c r="V156" s="24">
        <f>IF(OR(U156="",D156=""),0,IF(SUMPRODUCT(--(U$4:U156=U156))&gt;1,1,0))</f>
        <v>0</v>
      </c>
      <c r="W156" s="24">
        <f t="shared" si="28"/>
        <v>0</v>
      </c>
      <c r="X156" s="24">
        <f t="shared" si="29"/>
        <v>0</v>
      </c>
    </row>
    <row r="157" spans="1:24" x14ac:dyDescent="0.25">
      <c r="A157" s="24">
        <v>154</v>
      </c>
      <c r="B157" s="25"/>
      <c r="C157" s="26" t="str">
        <f t="shared" si="20"/>
        <v/>
      </c>
      <c r="D157" s="25"/>
      <c r="E157" s="27"/>
      <c r="F157" s="28"/>
      <c r="G157" s="28"/>
      <c r="H157" s="25"/>
      <c r="I157" s="25"/>
      <c r="J157" s="28"/>
      <c r="K157" s="29" t="str">
        <f t="shared" si="21"/>
        <v/>
      </c>
      <c r="L157" s="25"/>
      <c r="M157" s="29" t="str">
        <f t="shared" si="22"/>
        <v/>
      </c>
      <c r="N157" s="28"/>
      <c r="O157" s="29" t="str">
        <f t="shared" si="23"/>
        <v/>
      </c>
      <c r="P157" s="29" t="str">
        <f t="shared" si="24"/>
        <v/>
      </c>
      <c r="Q157" s="24" t="str">
        <f t="shared" si="25"/>
        <v/>
      </c>
      <c r="R157" s="25"/>
      <c r="S157" s="27"/>
      <c r="T157" s="24" t="str">
        <f t="shared" si="26"/>
        <v/>
      </c>
      <c r="U157" s="24" t="str">
        <f t="shared" si="27"/>
        <v/>
      </c>
      <c r="V157" s="24">
        <f>IF(OR(U157="",D157=""),0,IF(SUMPRODUCT(--(U$4:U157=U157))&gt;1,1,0))</f>
        <v>0</v>
      </c>
      <c r="W157" s="24">
        <f t="shared" si="28"/>
        <v>0</v>
      </c>
      <c r="X157" s="24">
        <f t="shared" si="29"/>
        <v>0</v>
      </c>
    </row>
    <row r="158" spans="1:24" x14ac:dyDescent="0.25">
      <c r="A158" s="24">
        <v>155</v>
      </c>
      <c r="B158" s="25"/>
      <c r="C158" s="26" t="str">
        <f t="shared" si="20"/>
        <v/>
      </c>
      <c r="D158" s="25"/>
      <c r="E158" s="27"/>
      <c r="F158" s="28"/>
      <c r="G158" s="28"/>
      <c r="H158" s="25"/>
      <c r="I158" s="25"/>
      <c r="J158" s="28"/>
      <c r="K158" s="29" t="str">
        <f t="shared" si="21"/>
        <v/>
      </c>
      <c r="L158" s="25"/>
      <c r="M158" s="29" t="str">
        <f t="shared" si="22"/>
        <v/>
      </c>
      <c r="N158" s="28"/>
      <c r="O158" s="29" t="str">
        <f t="shared" si="23"/>
        <v/>
      </c>
      <c r="P158" s="29" t="str">
        <f t="shared" si="24"/>
        <v/>
      </c>
      <c r="Q158" s="24" t="str">
        <f t="shared" si="25"/>
        <v/>
      </c>
      <c r="R158" s="25"/>
      <c r="S158" s="27"/>
      <c r="T158" s="24" t="str">
        <f t="shared" si="26"/>
        <v/>
      </c>
      <c r="U158" s="24" t="str">
        <f t="shared" si="27"/>
        <v/>
      </c>
      <c r="V158" s="24">
        <f>IF(OR(U158="",D158=""),0,IF(SUMPRODUCT(--(U$4:U158=U158))&gt;1,1,0))</f>
        <v>0</v>
      </c>
      <c r="W158" s="24">
        <f t="shared" si="28"/>
        <v>0</v>
      </c>
      <c r="X158" s="24">
        <f t="shared" si="29"/>
        <v>0</v>
      </c>
    </row>
    <row r="159" spans="1:24" x14ac:dyDescent="0.25">
      <c r="A159" s="24">
        <v>156</v>
      </c>
      <c r="B159" s="25"/>
      <c r="C159" s="26" t="str">
        <f t="shared" si="20"/>
        <v/>
      </c>
      <c r="D159" s="25"/>
      <c r="E159" s="27"/>
      <c r="F159" s="28"/>
      <c r="G159" s="28"/>
      <c r="H159" s="25"/>
      <c r="I159" s="25"/>
      <c r="J159" s="28"/>
      <c r="K159" s="29" t="str">
        <f t="shared" si="21"/>
        <v/>
      </c>
      <c r="L159" s="25"/>
      <c r="M159" s="29" t="str">
        <f t="shared" si="22"/>
        <v/>
      </c>
      <c r="N159" s="28"/>
      <c r="O159" s="29" t="str">
        <f t="shared" si="23"/>
        <v/>
      </c>
      <c r="P159" s="29" t="str">
        <f t="shared" si="24"/>
        <v/>
      </c>
      <c r="Q159" s="24" t="str">
        <f t="shared" si="25"/>
        <v/>
      </c>
      <c r="R159" s="25"/>
      <c r="S159" s="27"/>
      <c r="T159" s="24" t="str">
        <f t="shared" si="26"/>
        <v/>
      </c>
      <c r="U159" s="24" t="str">
        <f t="shared" si="27"/>
        <v/>
      </c>
      <c r="V159" s="24">
        <f>IF(OR(U159="",D159=""),0,IF(SUMPRODUCT(--(U$4:U159=U159))&gt;1,1,0))</f>
        <v>0</v>
      </c>
      <c r="W159" s="24">
        <f t="shared" si="28"/>
        <v>0</v>
      </c>
      <c r="X159" s="24">
        <f t="shared" si="29"/>
        <v>0</v>
      </c>
    </row>
    <row r="160" spans="1:24" x14ac:dyDescent="0.25">
      <c r="A160" s="24">
        <v>157</v>
      </c>
      <c r="B160" s="25"/>
      <c r="C160" s="26" t="str">
        <f t="shared" si="20"/>
        <v/>
      </c>
      <c r="D160" s="25"/>
      <c r="E160" s="27"/>
      <c r="F160" s="28"/>
      <c r="G160" s="28"/>
      <c r="H160" s="25"/>
      <c r="I160" s="25"/>
      <c r="J160" s="28"/>
      <c r="K160" s="29" t="str">
        <f t="shared" si="21"/>
        <v/>
      </c>
      <c r="L160" s="25"/>
      <c r="M160" s="29" t="str">
        <f t="shared" si="22"/>
        <v/>
      </c>
      <c r="N160" s="28"/>
      <c r="O160" s="29" t="str">
        <f t="shared" si="23"/>
        <v/>
      </c>
      <c r="P160" s="29" t="str">
        <f t="shared" si="24"/>
        <v/>
      </c>
      <c r="Q160" s="24" t="str">
        <f t="shared" si="25"/>
        <v/>
      </c>
      <c r="R160" s="25"/>
      <c r="S160" s="27"/>
      <c r="T160" s="24" t="str">
        <f t="shared" si="26"/>
        <v/>
      </c>
      <c r="U160" s="24" t="str">
        <f t="shared" si="27"/>
        <v/>
      </c>
      <c r="V160" s="24">
        <f>IF(OR(U160="",D160=""),0,IF(SUMPRODUCT(--(U$4:U160=U160))&gt;1,1,0))</f>
        <v>0</v>
      </c>
      <c r="W160" s="24">
        <f t="shared" si="28"/>
        <v>0</v>
      </c>
      <c r="X160" s="24">
        <f t="shared" si="29"/>
        <v>0</v>
      </c>
    </row>
    <row r="161" spans="1:24" x14ac:dyDescent="0.25">
      <c r="A161" s="24">
        <v>158</v>
      </c>
      <c r="B161" s="25"/>
      <c r="C161" s="26" t="str">
        <f t="shared" si="20"/>
        <v/>
      </c>
      <c r="D161" s="25"/>
      <c r="E161" s="27"/>
      <c r="F161" s="28"/>
      <c r="G161" s="28"/>
      <c r="H161" s="25"/>
      <c r="I161" s="25"/>
      <c r="J161" s="28"/>
      <c r="K161" s="29" t="str">
        <f t="shared" si="21"/>
        <v/>
      </c>
      <c r="L161" s="25"/>
      <c r="M161" s="29" t="str">
        <f t="shared" si="22"/>
        <v/>
      </c>
      <c r="N161" s="28"/>
      <c r="O161" s="29" t="str">
        <f t="shared" si="23"/>
        <v/>
      </c>
      <c r="P161" s="29" t="str">
        <f t="shared" si="24"/>
        <v/>
      </c>
      <c r="Q161" s="24" t="str">
        <f t="shared" si="25"/>
        <v/>
      </c>
      <c r="R161" s="25"/>
      <c r="S161" s="27"/>
      <c r="T161" s="24" t="str">
        <f t="shared" si="26"/>
        <v/>
      </c>
      <c r="U161" s="24" t="str">
        <f t="shared" si="27"/>
        <v/>
      </c>
      <c r="V161" s="24">
        <f>IF(OR(U161="",D161=""),0,IF(SUMPRODUCT(--(U$4:U161=U161))&gt;1,1,0))</f>
        <v>0</v>
      </c>
      <c r="W161" s="24">
        <f t="shared" si="28"/>
        <v>0</v>
      </c>
      <c r="X161" s="24">
        <f t="shared" si="29"/>
        <v>0</v>
      </c>
    </row>
    <row r="162" spans="1:24" x14ac:dyDescent="0.25">
      <c r="A162" s="24">
        <v>159</v>
      </c>
      <c r="B162" s="25"/>
      <c r="C162" s="26" t="str">
        <f t="shared" si="20"/>
        <v/>
      </c>
      <c r="D162" s="25"/>
      <c r="E162" s="27"/>
      <c r="F162" s="28"/>
      <c r="G162" s="28"/>
      <c r="H162" s="25"/>
      <c r="I162" s="25"/>
      <c r="J162" s="28"/>
      <c r="K162" s="29" t="str">
        <f t="shared" si="21"/>
        <v/>
      </c>
      <c r="L162" s="25"/>
      <c r="M162" s="29" t="str">
        <f t="shared" si="22"/>
        <v/>
      </c>
      <c r="N162" s="28"/>
      <c r="O162" s="29" t="str">
        <f t="shared" si="23"/>
        <v/>
      </c>
      <c r="P162" s="29" t="str">
        <f t="shared" si="24"/>
        <v/>
      </c>
      <c r="Q162" s="24" t="str">
        <f t="shared" si="25"/>
        <v/>
      </c>
      <c r="R162" s="25"/>
      <c r="S162" s="27"/>
      <c r="T162" s="24" t="str">
        <f t="shared" si="26"/>
        <v/>
      </c>
      <c r="U162" s="24" t="str">
        <f t="shared" si="27"/>
        <v/>
      </c>
      <c r="V162" s="24">
        <f>IF(OR(U162="",D162=""),0,IF(SUMPRODUCT(--(U$4:U162=U162))&gt;1,1,0))</f>
        <v>0</v>
      </c>
      <c r="W162" s="24">
        <f t="shared" si="28"/>
        <v>0</v>
      </c>
      <c r="X162" s="24">
        <f t="shared" si="29"/>
        <v>0</v>
      </c>
    </row>
    <row r="163" spans="1:24" x14ac:dyDescent="0.25">
      <c r="A163" s="24">
        <v>160</v>
      </c>
      <c r="B163" s="25"/>
      <c r="C163" s="26" t="str">
        <f t="shared" si="20"/>
        <v/>
      </c>
      <c r="D163" s="25"/>
      <c r="E163" s="27"/>
      <c r="F163" s="28"/>
      <c r="G163" s="28"/>
      <c r="H163" s="25"/>
      <c r="I163" s="25"/>
      <c r="J163" s="28"/>
      <c r="K163" s="29" t="str">
        <f t="shared" si="21"/>
        <v/>
      </c>
      <c r="L163" s="25"/>
      <c r="M163" s="29" t="str">
        <f t="shared" si="22"/>
        <v/>
      </c>
      <c r="N163" s="28"/>
      <c r="O163" s="29" t="str">
        <f t="shared" si="23"/>
        <v/>
      </c>
      <c r="P163" s="29" t="str">
        <f t="shared" si="24"/>
        <v/>
      </c>
      <c r="Q163" s="24" t="str">
        <f t="shared" si="25"/>
        <v/>
      </c>
      <c r="R163" s="25"/>
      <c r="S163" s="27"/>
      <c r="T163" s="24" t="str">
        <f t="shared" si="26"/>
        <v/>
      </c>
      <c r="U163" s="24" t="str">
        <f t="shared" si="27"/>
        <v/>
      </c>
      <c r="V163" s="24">
        <f>IF(OR(U163="",D163=""),0,IF(SUMPRODUCT(--(U$4:U163=U163))&gt;1,1,0))</f>
        <v>0</v>
      </c>
      <c r="W163" s="24">
        <f t="shared" si="28"/>
        <v>0</v>
      </c>
      <c r="X163" s="24">
        <f t="shared" si="29"/>
        <v>0</v>
      </c>
    </row>
    <row r="164" spans="1:24" x14ac:dyDescent="0.25">
      <c r="A164" s="24">
        <v>161</v>
      </c>
      <c r="B164" s="25"/>
      <c r="C164" s="26" t="str">
        <f t="shared" si="20"/>
        <v/>
      </c>
      <c r="D164" s="25"/>
      <c r="E164" s="27"/>
      <c r="F164" s="28"/>
      <c r="G164" s="28"/>
      <c r="H164" s="25"/>
      <c r="I164" s="25"/>
      <c r="J164" s="28"/>
      <c r="K164" s="29" t="str">
        <f t="shared" si="21"/>
        <v/>
      </c>
      <c r="L164" s="25"/>
      <c r="M164" s="29" t="str">
        <f t="shared" si="22"/>
        <v/>
      </c>
      <c r="N164" s="28"/>
      <c r="O164" s="29" t="str">
        <f t="shared" si="23"/>
        <v/>
      </c>
      <c r="P164" s="29" t="str">
        <f t="shared" si="24"/>
        <v/>
      </c>
      <c r="Q164" s="24" t="str">
        <f t="shared" si="25"/>
        <v/>
      </c>
      <c r="R164" s="25"/>
      <c r="S164" s="27"/>
      <c r="T164" s="24" t="str">
        <f t="shared" si="26"/>
        <v/>
      </c>
      <c r="U164" s="24" t="str">
        <f t="shared" si="27"/>
        <v/>
      </c>
      <c r="V164" s="24">
        <f>IF(OR(U164="",D164=""),0,IF(SUMPRODUCT(--(U$4:U164=U164))&gt;1,1,0))</f>
        <v>0</v>
      </c>
      <c r="W164" s="24">
        <f t="shared" si="28"/>
        <v>0</v>
      </c>
      <c r="X164" s="24">
        <f t="shared" si="29"/>
        <v>0</v>
      </c>
    </row>
    <row r="165" spans="1:24" x14ac:dyDescent="0.25">
      <c r="A165" s="24">
        <v>162</v>
      </c>
      <c r="B165" s="25"/>
      <c r="C165" s="26" t="str">
        <f t="shared" si="20"/>
        <v/>
      </c>
      <c r="D165" s="25"/>
      <c r="E165" s="27"/>
      <c r="F165" s="28"/>
      <c r="G165" s="28"/>
      <c r="H165" s="25"/>
      <c r="I165" s="25"/>
      <c r="J165" s="28"/>
      <c r="K165" s="29" t="str">
        <f t="shared" si="21"/>
        <v/>
      </c>
      <c r="L165" s="25"/>
      <c r="M165" s="29" t="str">
        <f t="shared" si="22"/>
        <v/>
      </c>
      <c r="N165" s="28"/>
      <c r="O165" s="29" t="str">
        <f t="shared" si="23"/>
        <v/>
      </c>
      <c r="P165" s="29" t="str">
        <f t="shared" si="24"/>
        <v/>
      </c>
      <c r="Q165" s="24" t="str">
        <f t="shared" si="25"/>
        <v/>
      </c>
      <c r="R165" s="25"/>
      <c r="S165" s="27"/>
      <c r="T165" s="24" t="str">
        <f t="shared" si="26"/>
        <v/>
      </c>
      <c r="U165" s="24" t="str">
        <f t="shared" si="27"/>
        <v/>
      </c>
      <c r="V165" s="24">
        <f>IF(OR(U165="",D165=""),0,IF(SUMPRODUCT(--(U$4:U165=U165))&gt;1,1,0))</f>
        <v>0</v>
      </c>
      <c r="W165" s="24">
        <f t="shared" si="28"/>
        <v>0</v>
      </c>
      <c r="X165" s="24">
        <f t="shared" si="29"/>
        <v>0</v>
      </c>
    </row>
    <row r="166" spans="1:24" x14ac:dyDescent="0.25">
      <c r="A166" s="24">
        <v>163</v>
      </c>
      <c r="B166" s="25"/>
      <c r="C166" s="26" t="str">
        <f t="shared" si="20"/>
        <v/>
      </c>
      <c r="D166" s="25"/>
      <c r="E166" s="27"/>
      <c r="F166" s="28"/>
      <c r="G166" s="28"/>
      <c r="H166" s="25"/>
      <c r="I166" s="25"/>
      <c r="J166" s="28"/>
      <c r="K166" s="29" t="str">
        <f t="shared" si="21"/>
        <v/>
      </c>
      <c r="L166" s="25"/>
      <c r="M166" s="29" t="str">
        <f t="shared" si="22"/>
        <v/>
      </c>
      <c r="N166" s="28"/>
      <c r="O166" s="29" t="str">
        <f t="shared" si="23"/>
        <v/>
      </c>
      <c r="P166" s="29" t="str">
        <f t="shared" si="24"/>
        <v/>
      </c>
      <c r="Q166" s="24" t="str">
        <f t="shared" si="25"/>
        <v/>
      </c>
      <c r="R166" s="25"/>
      <c r="S166" s="27"/>
      <c r="T166" s="24" t="str">
        <f t="shared" si="26"/>
        <v/>
      </c>
      <c r="U166" s="24" t="str">
        <f t="shared" si="27"/>
        <v/>
      </c>
      <c r="V166" s="24">
        <f>IF(OR(U166="",D166=""),0,IF(SUMPRODUCT(--(U$4:U166=U166))&gt;1,1,0))</f>
        <v>0</v>
      </c>
      <c r="W166" s="24">
        <f t="shared" si="28"/>
        <v>0</v>
      </c>
      <c r="X166" s="24">
        <f t="shared" si="29"/>
        <v>0</v>
      </c>
    </row>
    <row r="167" spans="1:24" x14ac:dyDescent="0.25">
      <c r="A167" s="24">
        <v>164</v>
      </c>
      <c r="B167" s="25"/>
      <c r="C167" s="26" t="str">
        <f t="shared" si="20"/>
        <v/>
      </c>
      <c r="D167" s="25"/>
      <c r="E167" s="27"/>
      <c r="F167" s="28"/>
      <c r="G167" s="28"/>
      <c r="H167" s="25"/>
      <c r="I167" s="25"/>
      <c r="J167" s="28"/>
      <c r="K167" s="29" t="str">
        <f t="shared" si="21"/>
        <v/>
      </c>
      <c r="L167" s="25"/>
      <c r="M167" s="29" t="str">
        <f t="shared" si="22"/>
        <v/>
      </c>
      <c r="N167" s="28"/>
      <c r="O167" s="29" t="str">
        <f t="shared" si="23"/>
        <v/>
      </c>
      <c r="P167" s="29" t="str">
        <f t="shared" si="24"/>
        <v/>
      </c>
      <c r="Q167" s="24" t="str">
        <f t="shared" si="25"/>
        <v/>
      </c>
      <c r="R167" s="25"/>
      <c r="S167" s="27"/>
      <c r="T167" s="24" t="str">
        <f t="shared" si="26"/>
        <v/>
      </c>
      <c r="U167" s="24" t="str">
        <f t="shared" si="27"/>
        <v/>
      </c>
      <c r="V167" s="24">
        <f>IF(OR(U167="",D167=""),0,IF(SUMPRODUCT(--(U$4:U167=U167))&gt;1,1,0))</f>
        <v>0</v>
      </c>
      <c r="W167" s="24">
        <f t="shared" si="28"/>
        <v>0</v>
      </c>
      <c r="X167" s="24">
        <f t="shared" si="29"/>
        <v>0</v>
      </c>
    </row>
    <row r="168" spans="1:24" x14ac:dyDescent="0.25">
      <c r="A168" s="24">
        <v>165</v>
      </c>
      <c r="B168" s="25"/>
      <c r="C168" s="26" t="str">
        <f t="shared" si="20"/>
        <v/>
      </c>
      <c r="D168" s="25"/>
      <c r="E168" s="27"/>
      <c r="F168" s="28"/>
      <c r="G168" s="28"/>
      <c r="H168" s="25"/>
      <c r="I168" s="25"/>
      <c r="J168" s="28"/>
      <c r="K168" s="29" t="str">
        <f t="shared" si="21"/>
        <v/>
      </c>
      <c r="L168" s="25"/>
      <c r="M168" s="29" t="str">
        <f t="shared" si="22"/>
        <v/>
      </c>
      <c r="N168" s="28"/>
      <c r="O168" s="29" t="str">
        <f t="shared" si="23"/>
        <v/>
      </c>
      <c r="P168" s="29" t="str">
        <f t="shared" si="24"/>
        <v/>
      </c>
      <c r="Q168" s="24" t="str">
        <f t="shared" si="25"/>
        <v/>
      </c>
      <c r="R168" s="25"/>
      <c r="S168" s="27"/>
      <c r="T168" s="24" t="str">
        <f t="shared" si="26"/>
        <v/>
      </c>
      <c r="U168" s="24" t="str">
        <f t="shared" si="27"/>
        <v/>
      </c>
      <c r="V168" s="24">
        <f>IF(OR(U168="",D168=""),0,IF(SUMPRODUCT(--(U$4:U168=U168))&gt;1,1,0))</f>
        <v>0</v>
      </c>
      <c r="W168" s="24">
        <f t="shared" si="28"/>
        <v>0</v>
      </c>
      <c r="X168" s="24">
        <f t="shared" si="29"/>
        <v>0</v>
      </c>
    </row>
    <row r="169" spans="1:24" x14ac:dyDescent="0.25">
      <c r="A169" s="24">
        <v>166</v>
      </c>
      <c r="B169" s="25"/>
      <c r="C169" s="26" t="str">
        <f t="shared" si="20"/>
        <v/>
      </c>
      <c r="D169" s="25"/>
      <c r="E169" s="27"/>
      <c r="F169" s="28"/>
      <c r="G169" s="28"/>
      <c r="H169" s="25"/>
      <c r="I169" s="25"/>
      <c r="J169" s="28"/>
      <c r="K169" s="29" t="str">
        <f t="shared" si="21"/>
        <v/>
      </c>
      <c r="L169" s="25"/>
      <c r="M169" s="29" t="str">
        <f t="shared" si="22"/>
        <v/>
      </c>
      <c r="N169" s="28"/>
      <c r="O169" s="29" t="str">
        <f t="shared" si="23"/>
        <v/>
      </c>
      <c r="P169" s="29" t="str">
        <f t="shared" si="24"/>
        <v/>
      </c>
      <c r="Q169" s="24" t="str">
        <f t="shared" si="25"/>
        <v/>
      </c>
      <c r="R169" s="25"/>
      <c r="S169" s="27"/>
      <c r="T169" s="24" t="str">
        <f t="shared" si="26"/>
        <v/>
      </c>
      <c r="U169" s="24" t="str">
        <f t="shared" si="27"/>
        <v/>
      </c>
      <c r="V169" s="24">
        <f>IF(OR(U169="",D169=""),0,IF(SUMPRODUCT(--(U$4:U169=U169))&gt;1,1,0))</f>
        <v>0</v>
      </c>
      <c r="W169" s="24">
        <f t="shared" si="28"/>
        <v>0</v>
      </c>
      <c r="X169" s="24">
        <f t="shared" si="29"/>
        <v>0</v>
      </c>
    </row>
    <row r="170" spans="1:24" x14ac:dyDescent="0.25">
      <c r="A170" s="24">
        <v>167</v>
      </c>
      <c r="B170" s="25"/>
      <c r="C170" s="26" t="str">
        <f t="shared" si="20"/>
        <v/>
      </c>
      <c r="D170" s="25"/>
      <c r="E170" s="27"/>
      <c r="F170" s="28"/>
      <c r="G170" s="28"/>
      <c r="H170" s="25"/>
      <c r="I170" s="25"/>
      <c r="J170" s="28"/>
      <c r="K170" s="29" t="str">
        <f t="shared" si="21"/>
        <v/>
      </c>
      <c r="L170" s="25"/>
      <c r="M170" s="29" t="str">
        <f t="shared" si="22"/>
        <v/>
      </c>
      <c r="N170" s="28"/>
      <c r="O170" s="29" t="str">
        <f t="shared" si="23"/>
        <v/>
      </c>
      <c r="P170" s="29" t="str">
        <f t="shared" si="24"/>
        <v/>
      </c>
      <c r="Q170" s="24" t="str">
        <f t="shared" si="25"/>
        <v/>
      </c>
      <c r="R170" s="25"/>
      <c r="S170" s="27"/>
      <c r="T170" s="24" t="str">
        <f t="shared" si="26"/>
        <v/>
      </c>
      <c r="U170" s="24" t="str">
        <f t="shared" si="27"/>
        <v/>
      </c>
      <c r="V170" s="24">
        <f>IF(OR(U170="",D170=""),0,IF(SUMPRODUCT(--(U$4:U170=U170))&gt;1,1,0))</f>
        <v>0</v>
      </c>
      <c r="W170" s="24">
        <f t="shared" si="28"/>
        <v>0</v>
      </c>
      <c r="X170" s="24">
        <f t="shared" si="29"/>
        <v>0</v>
      </c>
    </row>
    <row r="171" spans="1:24" x14ac:dyDescent="0.25">
      <c r="A171" s="24">
        <v>168</v>
      </c>
      <c r="B171" s="25"/>
      <c r="C171" s="26" t="str">
        <f t="shared" si="20"/>
        <v/>
      </c>
      <c r="D171" s="25"/>
      <c r="E171" s="27"/>
      <c r="F171" s="28"/>
      <c r="G171" s="28"/>
      <c r="H171" s="25"/>
      <c r="I171" s="25"/>
      <c r="J171" s="28"/>
      <c r="K171" s="29" t="str">
        <f t="shared" si="21"/>
        <v/>
      </c>
      <c r="L171" s="25"/>
      <c r="M171" s="29" t="str">
        <f t="shared" si="22"/>
        <v/>
      </c>
      <c r="N171" s="28"/>
      <c r="O171" s="29" t="str">
        <f t="shared" si="23"/>
        <v/>
      </c>
      <c r="P171" s="29" t="str">
        <f t="shared" si="24"/>
        <v/>
      </c>
      <c r="Q171" s="24" t="str">
        <f t="shared" si="25"/>
        <v/>
      </c>
      <c r="R171" s="25"/>
      <c r="S171" s="27"/>
      <c r="T171" s="24" t="str">
        <f t="shared" si="26"/>
        <v/>
      </c>
      <c r="U171" s="24" t="str">
        <f t="shared" si="27"/>
        <v/>
      </c>
      <c r="V171" s="24">
        <f>IF(OR(U171="",D171=""),0,IF(SUMPRODUCT(--(U$4:U171=U171))&gt;1,1,0))</f>
        <v>0</v>
      </c>
      <c r="W171" s="24">
        <f t="shared" si="28"/>
        <v>0</v>
      </c>
      <c r="X171" s="24">
        <f t="shared" si="29"/>
        <v>0</v>
      </c>
    </row>
    <row r="172" spans="1:24" x14ac:dyDescent="0.25">
      <c r="A172" s="24">
        <v>169</v>
      </c>
      <c r="B172" s="25"/>
      <c r="C172" s="26" t="str">
        <f t="shared" si="20"/>
        <v/>
      </c>
      <c r="D172" s="25"/>
      <c r="E172" s="27"/>
      <c r="F172" s="28"/>
      <c r="G172" s="28"/>
      <c r="H172" s="25"/>
      <c r="I172" s="25"/>
      <c r="J172" s="28"/>
      <c r="K172" s="29" t="str">
        <f t="shared" si="21"/>
        <v/>
      </c>
      <c r="L172" s="25"/>
      <c r="M172" s="29" t="str">
        <f t="shared" si="22"/>
        <v/>
      </c>
      <c r="N172" s="28"/>
      <c r="O172" s="29" t="str">
        <f t="shared" si="23"/>
        <v/>
      </c>
      <c r="P172" s="29" t="str">
        <f t="shared" si="24"/>
        <v/>
      </c>
      <c r="Q172" s="24" t="str">
        <f t="shared" si="25"/>
        <v/>
      </c>
      <c r="R172" s="25"/>
      <c r="S172" s="27"/>
      <c r="T172" s="24" t="str">
        <f t="shared" si="26"/>
        <v/>
      </c>
      <c r="U172" s="24" t="str">
        <f t="shared" si="27"/>
        <v/>
      </c>
      <c r="V172" s="24">
        <f>IF(OR(U172="",D172=""),0,IF(SUMPRODUCT(--(U$4:U172=U172))&gt;1,1,0))</f>
        <v>0</v>
      </c>
      <c r="W172" s="24">
        <f t="shared" si="28"/>
        <v>0</v>
      </c>
      <c r="X172" s="24">
        <f t="shared" si="29"/>
        <v>0</v>
      </c>
    </row>
    <row r="173" spans="1:24" x14ac:dyDescent="0.25">
      <c r="A173" s="24">
        <v>170</v>
      </c>
      <c r="B173" s="25"/>
      <c r="C173" s="26" t="str">
        <f t="shared" si="20"/>
        <v/>
      </c>
      <c r="D173" s="25"/>
      <c r="E173" s="27"/>
      <c r="F173" s="28"/>
      <c r="G173" s="28"/>
      <c r="H173" s="25"/>
      <c r="I173" s="25"/>
      <c r="J173" s="28"/>
      <c r="K173" s="29" t="str">
        <f t="shared" si="21"/>
        <v/>
      </c>
      <c r="L173" s="25"/>
      <c r="M173" s="29" t="str">
        <f t="shared" si="22"/>
        <v/>
      </c>
      <c r="N173" s="28"/>
      <c r="O173" s="29" t="str">
        <f t="shared" si="23"/>
        <v/>
      </c>
      <c r="P173" s="29" t="str">
        <f t="shared" si="24"/>
        <v/>
      </c>
      <c r="Q173" s="24" t="str">
        <f t="shared" si="25"/>
        <v/>
      </c>
      <c r="R173" s="25"/>
      <c r="S173" s="27"/>
      <c r="T173" s="24" t="str">
        <f t="shared" si="26"/>
        <v/>
      </c>
      <c r="U173" s="24" t="str">
        <f t="shared" si="27"/>
        <v/>
      </c>
      <c r="V173" s="24">
        <f>IF(OR(U173="",D173=""),0,IF(SUMPRODUCT(--(U$4:U173=U173))&gt;1,1,0))</f>
        <v>0</v>
      </c>
      <c r="W173" s="24">
        <f t="shared" si="28"/>
        <v>0</v>
      </c>
      <c r="X173" s="24">
        <f t="shared" si="29"/>
        <v>0</v>
      </c>
    </row>
    <row r="174" spans="1:24" x14ac:dyDescent="0.25">
      <c r="A174" s="24">
        <v>171</v>
      </c>
      <c r="B174" s="25"/>
      <c r="C174" s="26" t="str">
        <f t="shared" si="20"/>
        <v/>
      </c>
      <c r="D174" s="25"/>
      <c r="E174" s="27"/>
      <c r="F174" s="28"/>
      <c r="G174" s="28"/>
      <c r="H174" s="25"/>
      <c r="I174" s="25"/>
      <c r="J174" s="28"/>
      <c r="K174" s="29" t="str">
        <f t="shared" si="21"/>
        <v/>
      </c>
      <c r="L174" s="25"/>
      <c r="M174" s="29" t="str">
        <f t="shared" si="22"/>
        <v/>
      </c>
      <c r="N174" s="28"/>
      <c r="O174" s="29" t="str">
        <f t="shared" si="23"/>
        <v/>
      </c>
      <c r="P174" s="29" t="str">
        <f t="shared" si="24"/>
        <v/>
      </c>
      <c r="Q174" s="24" t="str">
        <f t="shared" si="25"/>
        <v/>
      </c>
      <c r="R174" s="25"/>
      <c r="S174" s="27"/>
      <c r="T174" s="24" t="str">
        <f t="shared" si="26"/>
        <v/>
      </c>
      <c r="U174" s="24" t="str">
        <f t="shared" si="27"/>
        <v/>
      </c>
      <c r="V174" s="24">
        <f>IF(OR(U174="",D174=""),0,IF(SUMPRODUCT(--(U$4:U174=U174))&gt;1,1,0))</f>
        <v>0</v>
      </c>
      <c r="W174" s="24">
        <f t="shared" si="28"/>
        <v>0</v>
      </c>
      <c r="X174" s="24">
        <f t="shared" si="29"/>
        <v>0</v>
      </c>
    </row>
    <row r="175" spans="1:24" x14ac:dyDescent="0.25">
      <c r="A175" s="24">
        <v>172</v>
      </c>
      <c r="B175" s="25"/>
      <c r="C175" s="26" t="str">
        <f t="shared" si="20"/>
        <v/>
      </c>
      <c r="D175" s="25"/>
      <c r="E175" s="27"/>
      <c r="F175" s="28"/>
      <c r="G175" s="28"/>
      <c r="H175" s="25"/>
      <c r="I175" s="25"/>
      <c r="J175" s="28"/>
      <c r="K175" s="29" t="str">
        <f t="shared" si="21"/>
        <v/>
      </c>
      <c r="L175" s="25"/>
      <c r="M175" s="29" t="str">
        <f t="shared" si="22"/>
        <v/>
      </c>
      <c r="N175" s="28"/>
      <c r="O175" s="29" t="str">
        <f t="shared" si="23"/>
        <v/>
      </c>
      <c r="P175" s="29" t="str">
        <f t="shared" si="24"/>
        <v/>
      </c>
      <c r="Q175" s="24" t="str">
        <f t="shared" si="25"/>
        <v/>
      </c>
      <c r="R175" s="25"/>
      <c r="S175" s="27"/>
      <c r="T175" s="24" t="str">
        <f t="shared" si="26"/>
        <v/>
      </c>
      <c r="U175" s="24" t="str">
        <f t="shared" si="27"/>
        <v/>
      </c>
      <c r="V175" s="24">
        <f>IF(OR(U175="",D175=""),0,IF(SUMPRODUCT(--(U$4:U175=U175))&gt;1,1,0))</f>
        <v>0</v>
      </c>
      <c r="W175" s="24">
        <f t="shared" si="28"/>
        <v>0</v>
      </c>
      <c r="X175" s="24">
        <f t="shared" si="29"/>
        <v>0</v>
      </c>
    </row>
    <row r="176" spans="1:24" x14ac:dyDescent="0.25">
      <c r="A176" s="24">
        <v>173</v>
      </c>
      <c r="B176" s="25"/>
      <c r="C176" s="26" t="str">
        <f t="shared" si="20"/>
        <v/>
      </c>
      <c r="D176" s="25"/>
      <c r="E176" s="27"/>
      <c r="F176" s="28"/>
      <c r="G176" s="28"/>
      <c r="H176" s="25"/>
      <c r="I176" s="25"/>
      <c r="J176" s="28"/>
      <c r="K176" s="29" t="str">
        <f t="shared" si="21"/>
        <v/>
      </c>
      <c r="L176" s="25"/>
      <c r="M176" s="29" t="str">
        <f t="shared" si="22"/>
        <v/>
      </c>
      <c r="N176" s="28"/>
      <c r="O176" s="29" t="str">
        <f t="shared" si="23"/>
        <v/>
      </c>
      <c r="P176" s="29" t="str">
        <f t="shared" si="24"/>
        <v/>
      </c>
      <c r="Q176" s="24" t="str">
        <f t="shared" si="25"/>
        <v/>
      </c>
      <c r="R176" s="25"/>
      <c r="S176" s="27"/>
      <c r="T176" s="24" t="str">
        <f t="shared" si="26"/>
        <v/>
      </c>
      <c r="U176" s="24" t="str">
        <f t="shared" si="27"/>
        <v/>
      </c>
      <c r="V176" s="24">
        <f>IF(OR(U176="",D176=""),0,IF(SUMPRODUCT(--(U$4:U176=U176))&gt;1,1,0))</f>
        <v>0</v>
      </c>
      <c r="W176" s="24">
        <f t="shared" si="28"/>
        <v>0</v>
      </c>
      <c r="X176" s="24">
        <f t="shared" si="29"/>
        <v>0</v>
      </c>
    </row>
    <row r="177" spans="1:24" x14ac:dyDescent="0.25">
      <c r="A177" s="24">
        <v>174</v>
      </c>
      <c r="B177" s="25"/>
      <c r="C177" s="26" t="str">
        <f t="shared" si="20"/>
        <v/>
      </c>
      <c r="D177" s="25"/>
      <c r="E177" s="27"/>
      <c r="F177" s="28"/>
      <c r="G177" s="28"/>
      <c r="H177" s="25"/>
      <c r="I177" s="25"/>
      <c r="J177" s="28"/>
      <c r="K177" s="29" t="str">
        <f t="shared" si="21"/>
        <v/>
      </c>
      <c r="L177" s="25"/>
      <c r="M177" s="29" t="str">
        <f t="shared" si="22"/>
        <v/>
      </c>
      <c r="N177" s="28"/>
      <c r="O177" s="29" t="str">
        <f t="shared" si="23"/>
        <v/>
      </c>
      <c r="P177" s="29" t="str">
        <f t="shared" si="24"/>
        <v/>
      </c>
      <c r="Q177" s="24" t="str">
        <f t="shared" si="25"/>
        <v/>
      </c>
      <c r="R177" s="25"/>
      <c r="S177" s="27"/>
      <c r="T177" s="24" t="str">
        <f t="shared" si="26"/>
        <v/>
      </c>
      <c r="U177" s="24" t="str">
        <f t="shared" si="27"/>
        <v/>
      </c>
      <c r="V177" s="24">
        <f>IF(OR(U177="",D177=""),0,IF(SUMPRODUCT(--(U$4:U177=U177))&gt;1,1,0))</f>
        <v>0</v>
      </c>
      <c r="W177" s="24">
        <f t="shared" si="28"/>
        <v>0</v>
      </c>
      <c r="X177" s="24">
        <f t="shared" si="29"/>
        <v>0</v>
      </c>
    </row>
    <row r="178" spans="1:24" x14ac:dyDescent="0.25">
      <c r="A178" s="24">
        <v>175</v>
      </c>
      <c r="B178" s="25"/>
      <c r="C178" s="26" t="str">
        <f t="shared" si="20"/>
        <v/>
      </c>
      <c r="D178" s="25"/>
      <c r="E178" s="27"/>
      <c r="F178" s="28"/>
      <c r="G178" s="28"/>
      <c r="H178" s="25"/>
      <c r="I178" s="25"/>
      <c r="J178" s="28"/>
      <c r="K178" s="29" t="str">
        <f t="shared" si="21"/>
        <v/>
      </c>
      <c r="L178" s="25"/>
      <c r="M178" s="29" t="str">
        <f t="shared" si="22"/>
        <v/>
      </c>
      <c r="N178" s="28"/>
      <c r="O178" s="29" t="str">
        <f t="shared" si="23"/>
        <v/>
      </c>
      <c r="P178" s="29" t="str">
        <f t="shared" si="24"/>
        <v/>
      </c>
      <c r="Q178" s="24" t="str">
        <f t="shared" si="25"/>
        <v/>
      </c>
      <c r="R178" s="25"/>
      <c r="S178" s="27"/>
      <c r="T178" s="24" t="str">
        <f t="shared" si="26"/>
        <v/>
      </c>
      <c r="U178" s="24" t="str">
        <f t="shared" si="27"/>
        <v/>
      </c>
      <c r="V178" s="24">
        <f>IF(OR(U178="",D178=""),0,IF(SUMPRODUCT(--(U$4:U178=U178))&gt;1,1,0))</f>
        <v>0</v>
      </c>
      <c r="W178" s="24">
        <f t="shared" si="28"/>
        <v>0</v>
      </c>
      <c r="X178" s="24">
        <f t="shared" si="29"/>
        <v>0</v>
      </c>
    </row>
    <row r="179" spans="1:24" x14ac:dyDescent="0.25">
      <c r="A179" s="24">
        <v>176</v>
      </c>
      <c r="B179" s="25"/>
      <c r="C179" s="26" t="str">
        <f t="shared" si="20"/>
        <v/>
      </c>
      <c r="D179" s="25"/>
      <c r="E179" s="27"/>
      <c r="F179" s="28"/>
      <c r="G179" s="28"/>
      <c r="H179" s="25"/>
      <c r="I179" s="25"/>
      <c r="J179" s="28"/>
      <c r="K179" s="29" t="str">
        <f t="shared" si="21"/>
        <v/>
      </c>
      <c r="L179" s="25"/>
      <c r="M179" s="29" t="str">
        <f t="shared" si="22"/>
        <v/>
      </c>
      <c r="N179" s="28"/>
      <c r="O179" s="29" t="str">
        <f t="shared" si="23"/>
        <v/>
      </c>
      <c r="P179" s="29" t="str">
        <f t="shared" si="24"/>
        <v/>
      </c>
      <c r="Q179" s="24" t="str">
        <f t="shared" si="25"/>
        <v/>
      </c>
      <c r="R179" s="25"/>
      <c r="S179" s="27"/>
      <c r="T179" s="24" t="str">
        <f t="shared" si="26"/>
        <v/>
      </c>
      <c r="U179" s="24" t="str">
        <f t="shared" si="27"/>
        <v/>
      </c>
      <c r="V179" s="24">
        <f>IF(OR(U179="",D179=""),0,IF(SUMPRODUCT(--(U$4:U179=U179))&gt;1,1,0))</f>
        <v>0</v>
      </c>
      <c r="W179" s="24">
        <f t="shared" si="28"/>
        <v>0</v>
      </c>
      <c r="X179" s="24">
        <f t="shared" si="29"/>
        <v>0</v>
      </c>
    </row>
    <row r="180" spans="1:24" x14ac:dyDescent="0.25">
      <c r="A180" s="24">
        <v>177</v>
      </c>
      <c r="B180" s="25"/>
      <c r="C180" s="26" t="str">
        <f t="shared" si="20"/>
        <v/>
      </c>
      <c r="D180" s="25"/>
      <c r="E180" s="27"/>
      <c r="F180" s="28"/>
      <c r="G180" s="28"/>
      <c r="H180" s="25"/>
      <c r="I180" s="25"/>
      <c r="J180" s="28"/>
      <c r="K180" s="29" t="str">
        <f t="shared" si="21"/>
        <v/>
      </c>
      <c r="L180" s="25"/>
      <c r="M180" s="29" t="str">
        <f t="shared" si="22"/>
        <v/>
      </c>
      <c r="N180" s="28"/>
      <c r="O180" s="29" t="str">
        <f t="shared" si="23"/>
        <v/>
      </c>
      <c r="P180" s="29" t="str">
        <f t="shared" si="24"/>
        <v/>
      </c>
      <c r="Q180" s="24" t="str">
        <f t="shared" si="25"/>
        <v/>
      </c>
      <c r="R180" s="25"/>
      <c r="S180" s="27"/>
      <c r="T180" s="24" t="str">
        <f t="shared" si="26"/>
        <v/>
      </c>
      <c r="U180" s="24" t="str">
        <f t="shared" si="27"/>
        <v/>
      </c>
      <c r="V180" s="24">
        <f>IF(OR(U180="",D180=""),0,IF(SUMPRODUCT(--(U$4:U180=U180))&gt;1,1,0))</f>
        <v>0</v>
      </c>
      <c r="W180" s="24">
        <f t="shared" si="28"/>
        <v>0</v>
      </c>
      <c r="X180" s="24">
        <f t="shared" si="29"/>
        <v>0</v>
      </c>
    </row>
    <row r="181" spans="1:24" x14ac:dyDescent="0.25">
      <c r="A181" s="24">
        <v>178</v>
      </c>
      <c r="B181" s="25"/>
      <c r="C181" s="26" t="str">
        <f t="shared" si="20"/>
        <v/>
      </c>
      <c r="D181" s="25"/>
      <c r="E181" s="27"/>
      <c r="F181" s="28"/>
      <c r="G181" s="28"/>
      <c r="H181" s="25"/>
      <c r="I181" s="25"/>
      <c r="J181" s="28"/>
      <c r="K181" s="29" t="str">
        <f t="shared" si="21"/>
        <v/>
      </c>
      <c r="L181" s="25"/>
      <c r="M181" s="29" t="str">
        <f t="shared" si="22"/>
        <v/>
      </c>
      <c r="N181" s="28"/>
      <c r="O181" s="29" t="str">
        <f t="shared" si="23"/>
        <v/>
      </c>
      <c r="P181" s="29" t="str">
        <f t="shared" si="24"/>
        <v/>
      </c>
      <c r="Q181" s="24" t="str">
        <f t="shared" si="25"/>
        <v/>
      </c>
      <c r="R181" s="25"/>
      <c r="S181" s="27"/>
      <c r="T181" s="24" t="str">
        <f t="shared" si="26"/>
        <v/>
      </c>
      <c r="U181" s="24" t="str">
        <f t="shared" si="27"/>
        <v/>
      </c>
      <c r="V181" s="24">
        <f>IF(OR(U181="",D181=""),0,IF(SUMPRODUCT(--(U$4:U181=U181))&gt;1,1,0))</f>
        <v>0</v>
      </c>
      <c r="W181" s="24">
        <f t="shared" si="28"/>
        <v>0</v>
      </c>
      <c r="X181" s="24">
        <f t="shared" si="29"/>
        <v>0</v>
      </c>
    </row>
    <row r="182" spans="1:24" x14ac:dyDescent="0.25">
      <c r="A182" s="24">
        <v>179</v>
      </c>
      <c r="B182" s="25"/>
      <c r="C182" s="26" t="str">
        <f t="shared" si="20"/>
        <v/>
      </c>
      <c r="D182" s="25"/>
      <c r="E182" s="27"/>
      <c r="F182" s="28"/>
      <c r="G182" s="28"/>
      <c r="H182" s="25"/>
      <c r="I182" s="25"/>
      <c r="J182" s="28"/>
      <c r="K182" s="29" t="str">
        <f t="shared" si="21"/>
        <v/>
      </c>
      <c r="L182" s="25"/>
      <c r="M182" s="29" t="str">
        <f t="shared" si="22"/>
        <v/>
      </c>
      <c r="N182" s="28"/>
      <c r="O182" s="29" t="str">
        <f t="shared" si="23"/>
        <v/>
      </c>
      <c r="P182" s="29" t="str">
        <f t="shared" si="24"/>
        <v/>
      </c>
      <c r="Q182" s="24" t="str">
        <f t="shared" si="25"/>
        <v/>
      </c>
      <c r="R182" s="25"/>
      <c r="S182" s="27"/>
      <c r="T182" s="24" t="str">
        <f t="shared" si="26"/>
        <v/>
      </c>
      <c r="U182" s="24" t="str">
        <f t="shared" si="27"/>
        <v/>
      </c>
      <c r="V182" s="24">
        <f>IF(OR(U182="",D182=""),0,IF(SUMPRODUCT(--(U$4:U182=U182))&gt;1,1,0))</f>
        <v>0</v>
      </c>
      <c r="W182" s="24">
        <f t="shared" si="28"/>
        <v>0</v>
      </c>
      <c r="X182" s="24">
        <f t="shared" si="29"/>
        <v>0</v>
      </c>
    </row>
    <row r="183" spans="1:24" x14ac:dyDescent="0.25">
      <c r="A183" s="24">
        <v>180</v>
      </c>
      <c r="B183" s="25"/>
      <c r="C183" s="26" t="str">
        <f t="shared" si="20"/>
        <v/>
      </c>
      <c r="D183" s="25"/>
      <c r="E183" s="27"/>
      <c r="F183" s="28"/>
      <c r="G183" s="28"/>
      <c r="H183" s="25"/>
      <c r="I183" s="25"/>
      <c r="J183" s="28"/>
      <c r="K183" s="29" t="str">
        <f t="shared" si="21"/>
        <v/>
      </c>
      <c r="L183" s="25"/>
      <c r="M183" s="29" t="str">
        <f t="shared" si="22"/>
        <v/>
      </c>
      <c r="N183" s="28"/>
      <c r="O183" s="29" t="str">
        <f t="shared" si="23"/>
        <v/>
      </c>
      <c r="P183" s="29" t="str">
        <f t="shared" si="24"/>
        <v/>
      </c>
      <c r="Q183" s="24" t="str">
        <f t="shared" si="25"/>
        <v/>
      </c>
      <c r="R183" s="25"/>
      <c r="S183" s="27"/>
      <c r="T183" s="24" t="str">
        <f t="shared" si="26"/>
        <v/>
      </c>
      <c r="U183" s="24" t="str">
        <f t="shared" si="27"/>
        <v/>
      </c>
      <c r="V183" s="24">
        <f>IF(OR(U183="",D183=""),0,IF(SUMPRODUCT(--(U$4:U183=U183))&gt;1,1,0))</f>
        <v>0</v>
      </c>
      <c r="W183" s="24">
        <f t="shared" si="28"/>
        <v>0</v>
      </c>
      <c r="X183" s="24">
        <f t="shared" si="29"/>
        <v>0</v>
      </c>
    </row>
    <row r="184" spans="1:24" x14ac:dyDescent="0.25">
      <c r="A184" s="24">
        <v>181</v>
      </c>
      <c r="B184" s="25"/>
      <c r="C184" s="26" t="str">
        <f t="shared" si="20"/>
        <v/>
      </c>
      <c r="D184" s="25"/>
      <c r="E184" s="27"/>
      <c r="F184" s="28"/>
      <c r="G184" s="28"/>
      <c r="H184" s="25"/>
      <c r="I184" s="25"/>
      <c r="J184" s="28"/>
      <c r="K184" s="29" t="str">
        <f t="shared" si="21"/>
        <v/>
      </c>
      <c r="L184" s="25"/>
      <c r="M184" s="29" t="str">
        <f t="shared" si="22"/>
        <v/>
      </c>
      <c r="N184" s="28"/>
      <c r="O184" s="29" t="str">
        <f t="shared" si="23"/>
        <v/>
      </c>
      <c r="P184" s="29" t="str">
        <f t="shared" si="24"/>
        <v/>
      </c>
      <c r="Q184" s="24" t="str">
        <f t="shared" si="25"/>
        <v/>
      </c>
      <c r="R184" s="25"/>
      <c r="S184" s="27"/>
      <c r="T184" s="24" t="str">
        <f t="shared" si="26"/>
        <v/>
      </c>
      <c r="U184" s="24" t="str">
        <f t="shared" si="27"/>
        <v/>
      </c>
      <c r="V184" s="24">
        <f>IF(OR(U184="",D184=""),0,IF(SUMPRODUCT(--(U$4:U184=U184))&gt;1,1,0))</f>
        <v>0</v>
      </c>
      <c r="W184" s="24">
        <f t="shared" si="28"/>
        <v>0</v>
      </c>
      <c r="X184" s="24">
        <f t="shared" si="29"/>
        <v>0</v>
      </c>
    </row>
    <row r="185" spans="1:24" x14ac:dyDescent="0.25">
      <c r="A185" s="24">
        <v>182</v>
      </c>
      <c r="B185" s="25"/>
      <c r="C185" s="26" t="str">
        <f t="shared" si="20"/>
        <v/>
      </c>
      <c r="D185" s="25"/>
      <c r="E185" s="27"/>
      <c r="F185" s="28"/>
      <c r="G185" s="28"/>
      <c r="H185" s="25"/>
      <c r="I185" s="25"/>
      <c r="J185" s="28"/>
      <c r="K185" s="29" t="str">
        <f t="shared" si="21"/>
        <v/>
      </c>
      <c r="L185" s="25"/>
      <c r="M185" s="29" t="str">
        <f t="shared" si="22"/>
        <v/>
      </c>
      <c r="N185" s="28"/>
      <c r="O185" s="29" t="str">
        <f t="shared" si="23"/>
        <v/>
      </c>
      <c r="P185" s="29" t="str">
        <f t="shared" si="24"/>
        <v/>
      </c>
      <c r="Q185" s="24" t="str">
        <f t="shared" si="25"/>
        <v/>
      </c>
      <c r="R185" s="25"/>
      <c r="S185" s="27"/>
      <c r="T185" s="24" t="str">
        <f t="shared" si="26"/>
        <v/>
      </c>
      <c r="U185" s="24" t="str">
        <f t="shared" si="27"/>
        <v/>
      </c>
      <c r="V185" s="24">
        <f>IF(OR(U185="",D185=""),0,IF(SUMPRODUCT(--(U$4:U185=U185))&gt;1,1,0))</f>
        <v>0</v>
      </c>
      <c r="W185" s="24">
        <f t="shared" si="28"/>
        <v>0</v>
      </c>
      <c r="X185" s="24">
        <f t="shared" si="29"/>
        <v>0</v>
      </c>
    </row>
    <row r="186" spans="1:24" x14ac:dyDescent="0.25">
      <c r="A186" s="24">
        <v>183</v>
      </c>
      <c r="B186" s="25"/>
      <c r="C186" s="26" t="str">
        <f t="shared" si="20"/>
        <v/>
      </c>
      <c r="D186" s="25"/>
      <c r="E186" s="27"/>
      <c r="F186" s="28"/>
      <c r="G186" s="28"/>
      <c r="H186" s="25"/>
      <c r="I186" s="25"/>
      <c r="J186" s="28"/>
      <c r="K186" s="29" t="str">
        <f t="shared" si="21"/>
        <v/>
      </c>
      <c r="L186" s="25"/>
      <c r="M186" s="29" t="str">
        <f t="shared" si="22"/>
        <v/>
      </c>
      <c r="N186" s="28"/>
      <c r="O186" s="29" t="str">
        <f t="shared" si="23"/>
        <v/>
      </c>
      <c r="P186" s="29" t="str">
        <f t="shared" si="24"/>
        <v/>
      </c>
      <c r="Q186" s="24" t="str">
        <f t="shared" si="25"/>
        <v/>
      </c>
      <c r="R186" s="25"/>
      <c r="S186" s="27"/>
      <c r="T186" s="24" t="str">
        <f t="shared" si="26"/>
        <v/>
      </c>
      <c r="U186" s="24" t="str">
        <f t="shared" si="27"/>
        <v/>
      </c>
      <c r="V186" s="24">
        <f>IF(OR(U186="",D186=""),0,IF(SUMPRODUCT(--(U$4:U186=U186))&gt;1,1,0))</f>
        <v>0</v>
      </c>
      <c r="W186" s="24">
        <f t="shared" si="28"/>
        <v>0</v>
      </c>
      <c r="X186" s="24">
        <f t="shared" si="29"/>
        <v>0</v>
      </c>
    </row>
    <row r="187" spans="1:24" x14ac:dyDescent="0.25">
      <c r="A187" s="24">
        <v>184</v>
      </c>
      <c r="B187" s="25"/>
      <c r="C187" s="26" t="str">
        <f t="shared" si="20"/>
        <v/>
      </c>
      <c r="D187" s="25"/>
      <c r="E187" s="27"/>
      <c r="F187" s="28"/>
      <c r="G187" s="28"/>
      <c r="H187" s="25"/>
      <c r="I187" s="25"/>
      <c r="J187" s="28"/>
      <c r="K187" s="29" t="str">
        <f t="shared" si="21"/>
        <v/>
      </c>
      <c r="L187" s="25"/>
      <c r="M187" s="29" t="str">
        <f t="shared" si="22"/>
        <v/>
      </c>
      <c r="N187" s="28"/>
      <c r="O187" s="29" t="str">
        <f t="shared" si="23"/>
        <v/>
      </c>
      <c r="P187" s="29" t="str">
        <f t="shared" si="24"/>
        <v/>
      </c>
      <c r="Q187" s="24" t="str">
        <f t="shared" si="25"/>
        <v/>
      </c>
      <c r="R187" s="25"/>
      <c r="S187" s="27"/>
      <c r="T187" s="24" t="str">
        <f t="shared" si="26"/>
        <v/>
      </c>
      <c r="U187" s="24" t="str">
        <f t="shared" si="27"/>
        <v/>
      </c>
      <c r="V187" s="24">
        <f>IF(OR(U187="",D187=""),0,IF(SUMPRODUCT(--(U$4:U187=U187))&gt;1,1,0))</f>
        <v>0</v>
      </c>
      <c r="W187" s="24">
        <f t="shared" si="28"/>
        <v>0</v>
      </c>
      <c r="X187" s="24">
        <f t="shared" si="29"/>
        <v>0</v>
      </c>
    </row>
    <row r="188" spans="1:24" x14ac:dyDescent="0.25">
      <c r="A188" s="24">
        <v>185</v>
      </c>
      <c r="B188" s="25"/>
      <c r="C188" s="26" t="str">
        <f t="shared" si="20"/>
        <v/>
      </c>
      <c r="D188" s="25"/>
      <c r="E188" s="27"/>
      <c r="F188" s="28"/>
      <c r="G188" s="28"/>
      <c r="H188" s="25"/>
      <c r="I188" s="25"/>
      <c r="J188" s="28"/>
      <c r="K188" s="29" t="str">
        <f t="shared" si="21"/>
        <v/>
      </c>
      <c r="L188" s="25"/>
      <c r="M188" s="29" t="str">
        <f t="shared" si="22"/>
        <v/>
      </c>
      <c r="N188" s="28"/>
      <c r="O188" s="29" t="str">
        <f t="shared" si="23"/>
        <v/>
      </c>
      <c r="P188" s="29" t="str">
        <f t="shared" si="24"/>
        <v/>
      </c>
      <c r="Q188" s="24" t="str">
        <f t="shared" si="25"/>
        <v/>
      </c>
      <c r="R188" s="25"/>
      <c r="S188" s="27"/>
      <c r="T188" s="24" t="str">
        <f t="shared" si="26"/>
        <v/>
      </c>
      <c r="U188" s="24" t="str">
        <f t="shared" si="27"/>
        <v/>
      </c>
      <c r="V188" s="24">
        <f>IF(OR(U188="",D188=""),0,IF(SUMPRODUCT(--(U$4:U188=U188))&gt;1,1,0))</f>
        <v>0</v>
      </c>
      <c r="W188" s="24">
        <f t="shared" si="28"/>
        <v>0</v>
      </c>
      <c r="X188" s="24">
        <f t="shared" si="29"/>
        <v>0</v>
      </c>
    </row>
    <row r="189" spans="1:24" x14ac:dyDescent="0.25">
      <c r="A189" s="24">
        <v>186</v>
      </c>
      <c r="B189" s="25"/>
      <c r="C189" s="26" t="str">
        <f t="shared" si="20"/>
        <v/>
      </c>
      <c r="D189" s="25"/>
      <c r="E189" s="27"/>
      <c r="F189" s="28"/>
      <c r="G189" s="28"/>
      <c r="H189" s="25"/>
      <c r="I189" s="25"/>
      <c r="J189" s="28"/>
      <c r="K189" s="29" t="str">
        <f t="shared" si="21"/>
        <v/>
      </c>
      <c r="L189" s="25"/>
      <c r="M189" s="29" t="str">
        <f t="shared" si="22"/>
        <v/>
      </c>
      <c r="N189" s="28"/>
      <c r="O189" s="29" t="str">
        <f t="shared" si="23"/>
        <v/>
      </c>
      <c r="P189" s="29" t="str">
        <f t="shared" si="24"/>
        <v/>
      </c>
      <c r="Q189" s="24" t="str">
        <f t="shared" si="25"/>
        <v/>
      </c>
      <c r="R189" s="25"/>
      <c r="S189" s="27"/>
      <c r="T189" s="24" t="str">
        <f t="shared" si="26"/>
        <v/>
      </c>
      <c r="U189" s="24" t="str">
        <f t="shared" si="27"/>
        <v/>
      </c>
      <c r="V189" s="24">
        <f>IF(OR(U189="",D189=""),0,IF(SUMPRODUCT(--(U$4:U189=U189))&gt;1,1,0))</f>
        <v>0</v>
      </c>
      <c r="W189" s="24">
        <f t="shared" si="28"/>
        <v>0</v>
      </c>
      <c r="X189" s="24">
        <f t="shared" si="29"/>
        <v>0</v>
      </c>
    </row>
    <row r="190" spans="1:24" x14ac:dyDescent="0.25">
      <c r="A190" s="24">
        <v>187</v>
      </c>
      <c r="B190" s="25"/>
      <c r="C190" s="26" t="str">
        <f t="shared" si="20"/>
        <v/>
      </c>
      <c r="D190" s="25"/>
      <c r="E190" s="27"/>
      <c r="F190" s="28"/>
      <c r="G190" s="28"/>
      <c r="H190" s="25"/>
      <c r="I190" s="25"/>
      <c r="J190" s="28"/>
      <c r="K190" s="29" t="str">
        <f t="shared" si="21"/>
        <v/>
      </c>
      <c r="L190" s="25"/>
      <c r="M190" s="29" t="str">
        <f t="shared" si="22"/>
        <v/>
      </c>
      <c r="N190" s="28"/>
      <c r="O190" s="29" t="str">
        <f t="shared" si="23"/>
        <v/>
      </c>
      <c r="P190" s="29" t="str">
        <f t="shared" si="24"/>
        <v/>
      </c>
      <c r="Q190" s="24" t="str">
        <f t="shared" si="25"/>
        <v/>
      </c>
      <c r="R190" s="25"/>
      <c r="S190" s="27"/>
      <c r="T190" s="24" t="str">
        <f t="shared" si="26"/>
        <v/>
      </c>
      <c r="U190" s="24" t="str">
        <f t="shared" si="27"/>
        <v/>
      </c>
      <c r="V190" s="24">
        <f>IF(OR(U190="",D190=""),0,IF(SUMPRODUCT(--(U$4:U190=U190))&gt;1,1,0))</f>
        <v>0</v>
      </c>
      <c r="W190" s="24">
        <f t="shared" si="28"/>
        <v>0</v>
      </c>
      <c r="X190" s="24">
        <f t="shared" si="29"/>
        <v>0</v>
      </c>
    </row>
    <row r="191" spans="1:24" x14ac:dyDescent="0.25">
      <c r="A191" s="24">
        <v>188</v>
      </c>
      <c r="B191" s="25"/>
      <c r="C191" s="26" t="str">
        <f t="shared" si="20"/>
        <v/>
      </c>
      <c r="D191" s="25"/>
      <c r="E191" s="27"/>
      <c r="F191" s="28"/>
      <c r="G191" s="28"/>
      <c r="H191" s="25"/>
      <c r="I191" s="25"/>
      <c r="J191" s="28"/>
      <c r="K191" s="29" t="str">
        <f t="shared" si="21"/>
        <v/>
      </c>
      <c r="L191" s="25"/>
      <c r="M191" s="29" t="str">
        <f t="shared" si="22"/>
        <v/>
      </c>
      <c r="N191" s="28"/>
      <c r="O191" s="29" t="str">
        <f t="shared" si="23"/>
        <v/>
      </c>
      <c r="P191" s="29" t="str">
        <f t="shared" si="24"/>
        <v/>
      </c>
      <c r="Q191" s="24" t="str">
        <f t="shared" si="25"/>
        <v/>
      </c>
      <c r="R191" s="25"/>
      <c r="S191" s="27"/>
      <c r="T191" s="24" t="str">
        <f t="shared" si="26"/>
        <v/>
      </c>
      <c r="U191" s="24" t="str">
        <f t="shared" si="27"/>
        <v/>
      </c>
      <c r="V191" s="24">
        <f>IF(OR(U191="",D191=""),0,IF(SUMPRODUCT(--(U$4:U191=U191))&gt;1,1,0))</f>
        <v>0</v>
      </c>
      <c r="W191" s="24">
        <f t="shared" si="28"/>
        <v>0</v>
      </c>
      <c r="X191" s="24">
        <f t="shared" si="29"/>
        <v>0</v>
      </c>
    </row>
    <row r="192" spans="1:24" x14ac:dyDescent="0.25">
      <c r="A192" s="24">
        <v>189</v>
      </c>
      <c r="B192" s="25"/>
      <c r="C192" s="26" t="str">
        <f t="shared" si="20"/>
        <v/>
      </c>
      <c r="D192" s="25"/>
      <c r="E192" s="27"/>
      <c r="F192" s="28"/>
      <c r="G192" s="28"/>
      <c r="H192" s="25"/>
      <c r="I192" s="25"/>
      <c r="J192" s="28"/>
      <c r="K192" s="29" t="str">
        <f t="shared" si="21"/>
        <v/>
      </c>
      <c r="L192" s="25"/>
      <c r="M192" s="29" t="str">
        <f t="shared" si="22"/>
        <v/>
      </c>
      <c r="N192" s="28"/>
      <c r="O192" s="29" t="str">
        <f t="shared" si="23"/>
        <v/>
      </c>
      <c r="P192" s="29" t="str">
        <f t="shared" si="24"/>
        <v/>
      </c>
      <c r="Q192" s="24" t="str">
        <f t="shared" si="25"/>
        <v/>
      </c>
      <c r="R192" s="25"/>
      <c r="S192" s="27"/>
      <c r="T192" s="24" t="str">
        <f t="shared" si="26"/>
        <v/>
      </c>
      <c r="U192" s="24" t="str">
        <f t="shared" si="27"/>
        <v/>
      </c>
      <c r="V192" s="24">
        <f>IF(OR(U192="",D192=""),0,IF(SUMPRODUCT(--(U$4:U192=U192))&gt;1,1,0))</f>
        <v>0</v>
      </c>
      <c r="W192" s="24">
        <f t="shared" si="28"/>
        <v>0</v>
      </c>
      <c r="X192" s="24">
        <f t="shared" si="29"/>
        <v>0</v>
      </c>
    </row>
    <row r="193" spans="1:24" x14ac:dyDescent="0.25">
      <c r="A193" s="24">
        <v>190</v>
      </c>
      <c r="B193" s="25"/>
      <c r="C193" s="26" t="str">
        <f t="shared" si="20"/>
        <v/>
      </c>
      <c r="D193" s="25"/>
      <c r="E193" s="27"/>
      <c r="F193" s="28"/>
      <c r="G193" s="28"/>
      <c r="H193" s="25"/>
      <c r="I193" s="25"/>
      <c r="J193" s="28"/>
      <c r="K193" s="29" t="str">
        <f t="shared" si="21"/>
        <v/>
      </c>
      <c r="L193" s="25"/>
      <c r="M193" s="29" t="str">
        <f t="shared" si="22"/>
        <v/>
      </c>
      <c r="N193" s="28"/>
      <c r="O193" s="29" t="str">
        <f t="shared" si="23"/>
        <v/>
      </c>
      <c r="P193" s="29" t="str">
        <f t="shared" si="24"/>
        <v/>
      </c>
      <c r="Q193" s="24" t="str">
        <f t="shared" si="25"/>
        <v/>
      </c>
      <c r="R193" s="25"/>
      <c r="S193" s="27"/>
      <c r="T193" s="24" t="str">
        <f t="shared" si="26"/>
        <v/>
      </c>
      <c r="U193" s="24" t="str">
        <f t="shared" si="27"/>
        <v/>
      </c>
      <c r="V193" s="24">
        <f>IF(OR(U193="",D193=""),0,IF(SUMPRODUCT(--(U$4:U193=U193))&gt;1,1,0))</f>
        <v>0</v>
      </c>
      <c r="W193" s="24">
        <f t="shared" si="28"/>
        <v>0</v>
      </c>
      <c r="X193" s="24">
        <f t="shared" si="29"/>
        <v>0</v>
      </c>
    </row>
    <row r="194" spans="1:24" x14ac:dyDescent="0.25">
      <c r="A194" s="24">
        <v>191</v>
      </c>
      <c r="B194" s="25"/>
      <c r="C194" s="26" t="str">
        <f t="shared" si="20"/>
        <v/>
      </c>
      <c r="D194" s="25"/>
      <c r="E194" s="27"/>
      <c r="F194" s="28"/>
      <c r="G194" s="28"/>
      <c r="H194" s="25"/>
      <c r="I194" s="25"/>
      <c r="J194" s="28"/>
      <c r="K194" s="29" t="str">
        <f t="shared" si="21"/>
        <v/>
      </c>
      <c r="L194" s="25"/>
      <c r="M194" s="29" t="str">
        <f t="shared" si="22"/>
        <v/>
      </c>
      <c r="N194" s="28"/>
      <c r="O194" s="29" t="str">
        <f t="shared" si="23"/>
        <v/>
      </c>
      <c r="P194" s="29" t="str">
        <f t="shared" si="24"/>
        <v/>
      </c>
      <c r="Q194" s="24" t="str">
        <f t="shared" si="25"/>
        <v/>
      </c>
      <c r="R194" s="25"/>
      <c r="S194" s="27"/>
      <c r="T194" s="24" t="str">
        <f t="shared" si="26"/>
        <v/>
      </c>
      <c r="U194" s="24" t="str">
        <f t="shared" si="27"/>
        <v/>
      </c>
      <c r="V194" s="24">
        <f>IF(OR(U194="",D194=""),0,IF(SUMPRODUCT(--(U$4:U194=U194))&gt;1,1,0))</f>
        <v>0</v>
      </c>
      <c r="W194" s="24">
        <f t="shared" si="28"/>
        <v>0</v>
      </c>
      <c r="X194" s="24">
        <f t="shared" si="29"/>
        <v>0</v>
      </c>
    </row>
    <row r="195" spans="1:24" x14ac:dyDescent="0.25">
      <c r="A195" s="24">
        <v>192</v>
      </c>
      <c r="B195" s="25"/>
      <c r="C195" s="26" t="str">
        <f t="shared" si="20"/>
        <v/>
      </c>
      <c r="D195" s="25"/>
      <c r="E195" s="27"/>
      <c r="F195" s="28"/>
      <c r="G195" s="28"/>
      <c r="H195" s="25"/>
      <c r="I195" s="25"/>
      <c r="J195" s="28"/>
      <c r="K195" s="29" t="str">
        <f t="shared" si="21"/>
        <v/>
      </c>
      <c r="L195" s="25"/>
      <c r="M195" s="29" t="str">
        <f t="shared" si="22"/>
        <v/>
      </c>
      <c r="N195" s="28"/>
      <c r="O195" s="29" t="str">
        <f t="shared" si="23"/>
        <v/>
      </c>
      <c r="P195" s="29" t="str">
        <f t="shared" si="24"/>
        <v/>
      </c>
      <c r="Q195" s="24" t="str">
        <f t="shared" si="25"/>
        <v/>
      </c>
      <c r="R195" s="25"/>
      <c r="S195" s="27"/>
      <c r="T195" s="24" t="str">
        <f t="shared" si="26"/>
        <v/>
      </c>
      <c r="U195" s="24" t="str">
        <f t="shared" si="27"/>
        <v/>
      </c>
      <c r="V195" s="24">
        <f>IF(OR(U195="",D195=""),0,IF(SUMPRODUCT(--(U$4:U195=U195))&gt;1,1,0))</f>
        <v>0</v>
      </c>
      <c r="W195" s="24">
        <f t="shared" si="28"/>
        <v>0</v>
      </c>
      <c r="X195" s="24">
        <f t="shared" si="29"/>
        <v>0</v>
      </c>
    </row>
    <row r="196" spans="1:24" x14ac:dyDescent="0.25">
      <c r="A196" s="24">
        <v>193</v>
      </c>
      <c r="B196" s="25"/>
      <c r="C196" s="26" t="str">
        <f t="shared" ref="C196:C259" si="30">IF(B196="","",IFERROR(INDEX(SpaceNames,MATCH(B196,SpaceCodes,0))&amp;"",""))</f>
        <v/>
      </c>
      <c r="D196" s="25"/>
      <c r="E196" s="27"/>
      <c r="F196" s="28"/>
      <c r="G196" s="28"/>
      <c r="H196" s="25"/>
      <c r="I196" s="25"/>
      <c r="J196" s="28"/>
      <c r="K196" s="29" t="str">
        <f t="shared" ref="K196:K259" si="31">IF(U196="","",IF(V196=1,0,IF(I196="يدوي",IF(J196&lt;&gt;"",J196*IF(H196="",1,H196),""),IF(AND(F196&lt;&gt;"",G196&lt;&gt;""),F196*G196*IF(H196="",1,H196),""))))</f>
        <v/>
      </c>
      <c r="L196" s="25"/>
      <c r="M196" s="29" t="str">
        <f t="shared" ref="M196:M259" si="32">IF(U196="","",IF(OR(X196=0,B196="",D196=""),0,IF(E196="",0,SUMIFS(OP_Area,OP_Space,B196,OP_Wall,D196,OP_DedFin,"نعم",OP_Target,E196))+IF(W196=1,SUMIFS(OP_Area,OP_Space,B196,OP_Wall,D196,OP_DedFin,"نعم",OP_Target,""),0)))</f>
        <v/>
      </c>
      <c r="N196" s="28"/>
      <c r="O196" s="29" t="str">
        <f t="shared" ref="O196:O259" si="33">IF(OR(U196="",K196=""),"",N(M196)+N(N196))</f>
        <v/>
      </c>
      <c r="P196" s="29" t="str">
        <f t="shared" ref="P196:P259" si="34">IF(OR(U196="",K196=""),"",K196-O196)</f>
        <v/>
      </c>
      <c r="Q196" s="24" t="str">
        <f t="shared" ref="Q196:Q259" si="35">IF(E196="","",IFERROR(IF(INDEX(WallUnit,MATCH(E196,WallMat,0))="","م²",INDEX(WallUnit,MATCH(E196,WallMat,0))),"م²"))</f>
        <v/>
      </c>
      <c r="R196" s="25"/>
      <c r="S196" s="27"/>
      <c r="T196" s="24" t="str">
        <f t="shared" ref="T196:T259" si="36">IF(U196="","",IF(V196=1,"تكرار — غير محتسب",IF(B196="","ناقص بيانات: كود الفراغ",IF(COUNTIF(SpaceCodes,B196)=0,"ناقص بيانات: الفراغ غير مسجل",IF(D196="","ناقص بيانات: كود الحائط",IF(E196="","ناقص بيانات: الخامة",IF(AND(K196="",I196="يدوي"),"ناقص قياس: أدخل المساحة المباشرة",IF(AND(K196="",J196&lt;&gt;""),"ناقص قياس: اختر «يدوي» أو أدخل الطول والارتفاع",IF(K196="","ناقص قياس",IF(O196&gt;K196+0.000001,"خطأ خصم: الخصم أكبر من الإجمالي",IF(R196="نعم","يحتاج مراجعة","مكتمل")))))))))))</f>
        <v/>
      </c>
      <c r="U196" s="24" t="str">
        <f t="shared" ref="U196:U259" si="37">IF(COUNTA(B196,D196:J196,N196)=0,"",B196&amp;"|"&amp;D196&amp;"|"&amp;E196)</f>
        <v/>
      </c>
      <c r="V196" s="24">
        <f>IF(OR(U196="",D196=""),0,IF(SUMPRODUCT(--(U$4:U196=U196))&gt;1,1,0))</f>
        <v>0</v>
      </c>
      <c r="W196" s="24">
        <f t="shared" ref="W196:W259" si="38">IF(OR(U196="",B196="",D196=""),0,COUNTIFS(WL_Space,B196,WL_Wall,D196,WL_Dup,0))</f>
        <v>0</v>
      </c>
      <c r="X196" s="24">
        <f t="shared" ref="X196:X259" si="39">IF(OR(U196="",V196=1,L196="لا"),0,1)</f>
        <v>0</v>
      </c>
    </row>
    <row r="197" spans="1:24" x14ac:dyDescent="0.25">
      <c r="A197" s="24">
        <v>194</v>
      </c>
      <c r="B197" s="25"/>
      <c r="C197" s="26" t="str">
        <f t="shared" si="30"/>
        <v/>
      </c>
      <c r="D197" s="25"/>
      <c r="E197" s="27"/>
      <c r="F197" s="28"/>
      <c r="G197" s="28"/>
      <c r="H197" s="25"/>
      <c r="I197" s="25"/>
      <c r="J197" s="28"/>
      <c r="K197" s="29" t="str">
        <f t="shared" si="31"/>
        <v/>
      </c>
      <c r="L197" s="25"/>
      <c r="M197" s="29" t="str">
        <f t="shared" si="32"/>
        <v/>
      </c>
      <c r="N197" s="28"/>
      <c r="O197" s="29" t="str">
        <f t="shared" si="33"/>
        <v/>
      </c>
      <c r="P197" s="29" t="str">
        <f t="shared" si="34"/>
        <v/>
      </c>
      <c r="Q197" s="24" t="str">
        <f t="shared" si="35"/>
        <v/>
      </c>
      <c r="R197" s="25"/>
      <c r="S197" s="27"/>
      <c r="T197" s="24" t="str">
        <f t="shared" si="36"/>
        <v/>
      </c>
      <c r="U197" s="24" t="str">
        <f t="shared" si="37"/>
        <v/>
      </c>
      <c r="V197" s="24">
        <f>IF(OR(U197="",D197=""),0,IF(SUMPRODUCT(--(U$4:U197=U197))&gt;1,1,0))</f>
        <v>0</v>
      </c>
      <c r="W197" s="24">
        <f t="shared" si="38"/>
        <v>0</v>
      </c>
      <c r="X197" s="24">
        <f t="shared" si="39"/>
        <v>0</v>
      </c>
    </row>
    <row r="198" spans="1:24" x14ac:dyDescent="0.25">
      <c r="A198" s="24">
        <v>195</v>
      </c>
      <c r="B198" s="25"/>
      <c r="C198" s="26" t="str">
        <f t="shared" si="30"/>
        <v/>
      </c>
      <c r="D198" s="25"/>
      <c r="E198" s="27"/>
      <c r="F198" s="28"/>
      <c r="G198" s="28"/>
      <c r="H198" s="25"/>
      <c r="I198" s="25"/>
      <c r="J198" s="28"/>
      <c r="K198" s="29" t="str">
        <f t="shared" si="31"/>
        <v/>
      </c>
      <c r="L198" s="25"/>
      <c r="M198" s="29" t="str">
        <f t="shared" si="32"/>
        <v/>
      </c>
      <c r="N198" s="28"/>
      <c r="O198" s="29" t="str">
        <f t="shared" si="33"/>
        <v/>
      </c>
      <c r="P198" s="29" t="str">
        <f t="shared" si="34"/>
        <v/>
      </c>
      <c r="Q198" s="24" t="str">
        <f t="shared" si="35"/>
        <v/>
      </c>
      <c r="R198" s="25"/>
      <c r="S198" s="27"/>
      <c r="T198" s="24" t="str">
        <f t="shared" si="36"/>
        <v/>
      </c>
      <c r="U198" s="24" t="str">
        <f t="shared" si="37"/>
        <v/>
      </c>
      <c r="V198" s="24">
        <f>IF(OR(U198="",D198=""),0,IF(SUMPRODUCT(--(U$4:U198=U198))&gt;1,1,0))</f>
        <v>0</v>
      </c>
      <c r="W198" s="24">
        <f t="shared" si="38"/>
        <v>0</v>
      </c>
      <c r="X198" s="24">
        <f t="shared" si="39"/>
        <v>0</v>
      </c>
    </row>
    <row r="199" spans="1:24" x14ac:dyDescent="0.25">
      <c r="A199" s="24">
        <v>196</v>
      </c>
      <c r="B199" s="25"/>
      <c r="C199" s="26" t="str">
        <f t="shared" si="30"/>
        <v/>
      </c>
      <c r="D199" s="25"/>
      <c r="E199" s="27"/>
      <c r="F199" s="28"/>
      <c r="G199" s="28"/>
      <c r="H199" s="25"/>
      <c r="I199" s="25"/>
      <c r="J199" s="28"/>
      <c r="K199" s="29" t="str">
        <f t="shared" si="31"/>
        <v/>
      </c>
      <c r="L199" s="25"/>
      <c r="M199" s="29" t="str">
        <f t="shared" si="32"/>
        <v/>
      </c>
      <c r="N199" s="28"/>
      <c r="O199" s="29" t="str">
        <f t="shared" si="33"/>
        <v/>
      </c>
      <c r="P199" s="29" t="str">
        <f t="shared" si="34"/>
        <v/>
      </c>
      <c r="Q199" s="24" t="str">
        <f t="shared" si="35"/>
        <v/>
      </c>
      <c r="R199" s="25"/>
      <c r="S199" s="27"/>
      <c r="T199" s="24" t="str">
        <f t="shared" si="36"/>
        <v/>
      </c>
      <c r="U199" s="24" t="str">
        <f t="shared" si="37"/>
        <v/>
      </c>
      <c r="V199" s="24">
        <f>IF(OR(U199="",D199=""),0,IF(SUMPRODUCT(--(U$4:U199=U199))&gt;1,1,0))</f>
        <v>0</v>
      </c>
      <c r="W199" s="24">
        <f t="shared" si="38"/>
        <v>0</v>
      </c>
      <c r="X199" s="24">
        <f t="shared" si="39"/>
        <v>0</v>
      </c>
    </row>
    <row r="200" spans="1:24" x14ac:dyDescent="0.25">
      <c r="A200" s="24">
        <v>197</v>
      </c>
      <c r="B200" s="25"/>
      <c r="C200" s="26" t="str">
        <f t="shared" si="30"/>
        <v/>
      </c>
      <c r="D200" s="25"/>
      <c r="E200" s="27"/>
      <c r="F200" s="28"/>
      <c r="G200" s="28"/>
      <c r="H200" s="25"/>
      <c r="I200" s="25"/>
      <c r="J200" s="28"/>
      <c r="K200" s="29" t="str">
        <f t="shared" si="31"/>
        <v/>
      </c>
      <c r="L200" s="25"/>
      <c r="M200" s="29" t="str">
        <f t="shared" si="32"/>
        <v/>
      </c>
      <c r="N200" s="28"/>
      <c r="O200" s="29" t="str">
        <f t="shared" si="33"/>
        <v/>
      </c>
      <c r="P200" s="29" t="str">
        <f t="shared" si="34"/>
        <v/>
      </c>
      <c r="Q200" s="24" t="str">
        <f t="shared" si="35"/>
        <v/>
      </c>
      <c r="R200" s="25"/>
      <c r="S200" s="27"/>
      <c r="T200" s="24" t="str">
        <f t="shared" si="36"/>
        <v/>
      </c>
      <c r="U200" s="24" t="str">
        <f t="shared" si="37"/>
        <v/>
      </c>
      <c r="V200" s="24">
        <f>IF(OR(U200="",D200=""),0,IF(SUMPRODUCT(--(U$4:U200=U200))&gt;1,1,0))</f>
        <v>0</v>
      </c>
      <c r="W200" s="24">
        <f t="shared" si="38"/>
        <v>0</v>
      </c>
      <c r="X200" s="24">
        <f t="shared" si="39"/>
        <v>0</v>
      </c>
    </row>
    <row r="201" spans="1:24" x14ac:dyDescent="0.25">
      <c r="A201" s="24">
        <v>198</v>
      </c>
      <c r="B201" s="25"/>
      <c r="C201" s="26" t="str">
        <f t="shared" si="30"/>
        <v/>
      </c>
      <c r="D201" s="25"/>
      <c r="E201" s="27"/>
      <c r="F201" s="28"/>
      <c r="G201" s="28"/>
      <c r="H201" s="25"/>
      <c r="I201" s="25"/>
      <c r="J201" s="28"/>
      <c r="K201" s="29" t="str">
        <f t="shared" si="31"/>
        <v/>
      </c>
      <c r="L201" s="25"/>
      <c r="M201" s="29" t="str">
        <f t="shared" si="32"/>
        <v/>
      </c>
      <c r="N201" s="28"/>
      <c r="O201" s="29" t="str">
        <f t="shared" si="33"/>
        <v/>
      </c>
      <c r="P201" s="29" t="str">
        <f t="shared" si="34"/>
        <v/>
      </c>
      <c r="Q201" s="24" t="str">
        <f t="shared" si="35"/>
        <v/>
      </c>
      <c r="R201" s="25"/>
      <c r="S201" s="27"/>
      <c r="T201" s="24" t="str">
        <f t="shared" si="36"/>
        <v/>
      </c>
      <c r="U201" s="24" t="str">
        <f t="shared" si="37"/>
        <v/>
      </c>
      <c r="V201" s="24">
        <f>IF(OR(U201="",D201=""),0,IF(SUMPRODUCT(--(U$4:U201=U201))&gt;1,1,0))</f>
        <v>0</v>
      </c>
      <c r="W201" s="24">
        <f t="shared" si="38"/>
        <v>0</v>
      </c>
      <c r="X201" s="24">
        <f t="shared" si="39"/>
        <v>0</v>
      </c>
    </row>
    <row r="202" spans="1:24" x14ac:dyDescent="0.25">
      <c r="A202" s="24">
        <v>199</v>
      </c>
      <c r="B202" s="25"/>
      <c r="C202" s="26" t="str">
        <f t="shared" si="30"/>
        <v/>
      </c>
      <c r="D202" s="25"/>
      <c r="E202" s="27"/>
      <c r="F202" s="28"/>
      <c r="G202" s="28"/>
      <c r="H202" s="25"/>
      <c r="I202" s="25"/>
      <c r="J202" s="28"/>
      <c r="K202" s="29" t="str">
        <f t="shared" si="31"/>
        <v/>
      </c>
      <c r="L202" s="25"/>
      <c r="M202" s="29" t="str">
        <f t="shared" si="32"/>
        <v/>
      </c>
      <c r="N202" s="28"/>
      <c r="O202" s="29" t="str">
        <f t="shared" si="33"/>
        <v/>
      </c>
      <c r="P202" s="29" t="str">
        <f t="shared" si="34"/>
        <v/>
      </c>
      <c r="Q202" s="24" t="str">
        <f t="shared" si="35"/>
        <v/>
      </c>
      <c r="R202" s="25"/>
      <c r="S202" s="27"/>
      <c r="T202" s="24" t="str">
        <f t="shared" si="36"/>
        <v/>
      </c>
      <c r="U202" s="24" t="str">
        <f t="shared" si="37"/>
        <v/>
      </c>
      <c r="V202" s="24">
        <f>IF(OR(U202="",D202=""),0,IF(SUMPRODUCT(--(U$4:U202=U202))&gt;1,1,0))</f>
        <v>0</v>
      </c>
      <c r="W202" s="24">
        <f t="shared" si="38"/>
        <v>0</v>
      </c>
      <c r="X202" s="24">
        <f t="shared" si="39"/>
        <v>0</v>
      </c>
    </row>
    <row r="203" spans="1:24" x14ac:dyDescent="0.25">
      <c r="A203" s="24">
        <v>200</v>
      </c>
      <c r="B203" s="25"/>
      <c r="C203" s="26" t="str">
        <f t="shared" si="30"/>
        <v/>
      </c>
      <c r="D203" s="25"/>
      <c r="E203" s="27"/>
      <c r="F203" s="28"/>
      <c r="G203" s="28"/>
      <c r="H203" s="25"/>
      <c r="I203" s="25"/>
      <c r="J203" s="28"/>
      <c r="K203" s="29" t="str">
        <f t="shared" si="31"/>
        <v/>
      </c>
      <c r="L203" s="25"/>
      <c r="M203" s="29" t="str">
        <f t="shared" si="32"/>
        <v/>
      </c>
      <c r="N203" s="28"/>
      <c r="O203" s="29" t="str">
        <f t="shared" si="33"/>
        <v/>
      </c>
      <c r="P203" s="29" t="str">
        <f t="shared" si="34"/>
        <v/>
      </c>
      <c r="Q203" s="24" t="str">
        <f t="shared" si="35"/>
        <v/>
      </c>
      <c r="R203" s="25"/>
      <c r="S203" s="27"/>
      <c r="T203" s="24" t="str">
        <f t="shared" si="36"/>
        <v/>
      </c>
      <c r="U203" s="24" t="str">
        <f t="shared" si="37"/>
        <v/>
      </c>
      <c r="V203" s="24">
        <f>IF(OR(U203="",D203=""),0,IF(SUMPRODUCT(--(U$4:U203=U203))&gt;1,1,0))</f>
        <v>0</v>
      </c>
      <c r="W203" s="24">
        <f t="shared" si="38"/>
        <v>0</v>
      </c>
      <c r="X203" s="24">
        <f t="shared" si="39"/>
        <v>0</v>
      </c>
    </row>
    <row r="204" spans="1:24" x14ac:dyDescent="0.25">
      <c r="A204" s="24">
        <v>201</v>
      </c>
      <c r="B204" s="25"/>
      <c r="C204" s="26" t="str">
        <f t="shared" si="30"/>
        <v/>
      </c>
      <c r="D204" s="25"/>
      <c r="E204" s="27"/>
      <c r="F204" s="28"/>
      <c r="G204" s="28"/>
      <c r="H204" s="25"/>
      <c r="I204" s="25"/>
      <c r="J204" s="28"/>
      <c r="K204" s="29" t="str">
        <f t="shared" si="31"/>
        <v/>
      </c>
      <c r="L204" s="25"/>
      <c r="M204" s="29" t="str">
        <f t="shared" si="32"/>
        <v/>
      </c>
      <c r="N204" s="28"/>
      <c r="O204" s="29" t="str">
        <f t="shared" si="33"/>
        <v/>
      </c>
      <c r="P204" s="29" t="str">
        <f t="shared" si="34"/>
        <v/>
      </c>
      <c r="Q204" s="24" t="str">
        <f t="shared" si="35"/>
        <v/>
      </c>
      <c r="R204" s="25"/>
      <c r="S204" s="27"/>
      <c r="T204" s="24" t="str">
        <f t="shared" si="36"/>
        <v/>
      </c>
      <c r="U204" s="24" t="str">
        <f t="shared" si="37"/>
        <v/>
      </c>
      <c r="V204" s="24">
        <f>IF(OR(U204="",D204=""),0,IF(SUMPRODUCT(--(U$4:U204=U204))&gt;1,1,0))</f>
        <v>0</v>
      </c>
      <c r="W204" s="24">
        <f t="shared" si="38"/>
        <v>0</v>
      </c>
      <c r="X204" s="24">
        <f t="shared" si="39"/>
        <v>0</v>
      </c>
    </row>
    <row r="205" spans="1:24" x14ac:dyDescent="0.25">
      <c r="A205" s="24">
        <v>202</v>
      </c>
      <c r="B205" s="25"/>
      <c r="C205" s="26" t="str">
        <f t="shared" si="30"/>
        <v/>
      </c>
      <c r="D205" s="25"/>
      <c r="E205" s="27"/>
      <c r="F205" s="28"/>
      <c r="G205" s="28"/>
      <c r="H205" s="25"/>
      <c r="I205" s="25"/>
      <c r="J205" s="28"/>
      <c r="K205" s="29" t="str">
        <f t="shared" si="31"/>
        <v/>
      </c>
      <c r="L205" s="25"/>
      <c r="M205" s="29" t="str">
        <f t="shared" si="32"/>
        <v/>
      </c>
      <c r="N205" s="28"/>
      <c r="O205" s="29" t="str">
        <f t="shared" si="33"/>
        <v/>
      </c>
      <c r="P205" s="29" t="str">
        <f t="shared" si="34"/>
        <v/>
      </c>
      <c r="Q205" s="24" t="str">
        <f t="shared" si="35"/>
        <v/>
      </c>
      <c r="R205" s="25"/>
      <c r="S205" s="27"/>
      <c r="T205" s="24" t="str">
        <f t="shared" si="36"/>
        <v/>
      </c>
      <c r="U205" s="24" t="str">
        <f t="shared" si="37"/>
        <v/>
      </c>
      <c r="V205" s="24">
        <f>IF(OR(U205="",D205=""),0,IF(SUMPRODUCT(--(U$4:U205=U205))&gt;1,1,0))</f>
        <v>0</v>
      </c>
      <c r="W205" s="24">
        <f t="shared" si="38"/>
        <v>0</v>
      </c>
      <c r="X205" s="24">
        <f t="shared" si="39"/>
        <v>0</v>
      </c>
    </row>
    <row r="206" spans="1:24" x14ac:dyDescent="0.25">
      <c r="A206" s="24">
        <v>203</v>
      </c>
      <c r="B206" s="25"/>
      <c r="C206" s="26" t="str">
        <f t="shared" si="30"/>
        <v/>
      </c>
      <c r="D206" s="25"/>
      <c r="E206" s="27"/>
      <c r="F206" s="28"/>
      <c r="G206" s="28"/>
      <c r="H206" s="25"/>
      <c r="I206" s="25"/>
      <c r="J206" s="28"/>
      <c r="K206" s="29" t="str">
        <f t="shared" si="31"/>
        <v/>
      </c>
      <c r="L206" s="25"/>
      <c r="M206" s="29" t="str">
        <f t="shared" si="32"/>
        <v/>
      </c>
      <c r="N206" s="28"/>
      <c r="O206" s="29" t="str">
        <f t="shared" si="33"/>
        <v/>
      </c>
      <c r="P206" s="29" t="str">
        <f t="shared" si="34"/>
        <v/>
      </c>
      <c r="Q206" s="24" t="str">
        <f t="shared" si="35"/>
        <v/>
      </c>
      <c r="R206" s="25"/>
      <c r="S206" s="27"/>
      <c r="T206" s="24" t="str">
        <f t="shared" si="36"/>
        <v/>
      </c>
      <c r="U206" s="24" t="str">
        <f t="shared" si="37"/>
        <v/>
      </c>
      <c r="V206" s="24">
        <f>IF(OR(U206="",D206=""),0,IF(SUMPRODUCT(--(U$4:U206=U206))&gt;1,1,0))</f>
        <v>0</v>
      </c>
      <c r="W206" s="24">
        <f t="shared" si="38"/>
        <v>0</v>
      </c>
      <c r="X206" s="24">
        <f t="shared" si="39"/>
        <v>0</v>
      </c>
    </row>
    <row r="207" spans="1:24" x14ac:dyDescent="0.25">
      <c r="A207" s="24">
        <v>204</v>
      </c>
      <c r="B207" s="25"/>
      <c r="C207" s="26" t="str">
        <f t="shared" si="30"/>
        <v/>
      </c>
      <c r="D207" s="25"/>
      <c r="E207" s="27"/>
      <c r="F207" s="28"/>
      <c r="G207" s="28"/>
      <c r="H207" s="25"/>
      <c r="I207" s="25"/>
      <c r="J207" s="28"/>
      <c r="K207" s="29" t="str">
        <f t="shared" si="31"/>
        <v/>
      </c>
      <c r="L207" s="25"/>
      <c r="M207" s="29" t="str">
        <f t="shared" si="32"/>
        <v/>
      </c>
      <c r="N207" s="28"/>
      <c r="O207" s="29" t="str">
        <f t="shared" si="33"/>
        <v/>
      </c>
      <c r="P207" s="29" t="str">
        <f t="shared" si="34"/>
        <v/>
      </c>
      <c r="Q207" s="24" t="str">
        <f t="shared" si="35"/>
        <v/>
      </c>
      <c r="R207" s="25"/>
      <c r="S207" s="27"/>
      <c r="T207" s="24" t="str">
        <f t="shared" si="36"/>
        <v/>
      </c>
      <c r="U207" s="24" t="str">
        <f t="shared" si="37"/>
        <v/>
      </c>
      <c r="V207" s="24">
        <f>IF(OR(U207="",D207=""),0,IF(SUMPRODUCT(--(U$4:U207=U207))&gt;1,1,0))</f>
        <v>0</v>
      </c>
      <c r="W207" s="24">
        <f t="shared" si="38"/>
        <v>0</v>
      </c>
      <c r="X207" s="24">
        <f t="shared" si="39"/>
        <v>0</v>
      </c>
    </row>
    <row r="208" spans="1:24" x14ac:dyDescent="0.25">
      <c r="A208" s="24">
        <v>205</v>
      </c>
      <c r="B208" s="25"/>
      <c r="C208" s="26" t="str">
        <f t="shared" si="30"/>
        <v/>
      </c>
      <c r="D208" s="25"/>
      <c r="E208" s="27"/>
      <c r="F208" s="28"/>
      <c r="G208" s="28"/>
      <c r="H208" s="25"/>
      <c r="I208" s="25"/>
      <c r="J208" s="28"/>
      <c r="K208" s="29" t="str">
        <f t="shared" si="31"/>
        <v/>
      </c>
      <c r="L208" s="25"/>
      <c r="M208" s="29" t="str">
        <f t="shared" si="32"/>
        <v/>
      </c>
      <c r="N208" s="28"/>
      <c r="O208" s="29" t="str">
        <f t="shared" si="33"/>
        <v/>
      </c>
      <c r="P208" s="29" t="str">
        <f t="shared" si="34"/>
        <v/>
      </c>
      <c r="Q208" s="24" t="str">
        <f t="shared" si="35"/>
        <v/>
      </c>
      <c r="R208" s="25"/>
      <c r="S208" s="27"/>
      <c r="T208" s="24" t="str">
        <f t="shared" si="36"/>
        <v/>
      </c>
      <c r="U208" s="24" t="str">
        <f t="shared" si="37"/>
        <v/>
      </c>
      <c r="V208" s="24">
        <f>IF(OR(U208="",D208=""),0,IF(SUMPRODUCT(--(U$4:U208=U208))&gt;1,1,0))</f>
        <v>0</v>
      </c>
      <c r="W208" s="24">
        <f t="shared" si="38"/>
        <v>0</v>
      </c>
      <c r="X208" s="24">
        <f t="shared" si="39"/>
        <v>0</v>
      </c>
    </row>
    <row r="209" spans="1:24" x14ac:dyDescent="0.25">
      <c r="A209" s="24">
        <v>206</v>
      </c>
      <c r="B209" s="25"/>
      <c r="C209" s="26" t="str">
        <f t="shared" si="30"/>
        <v/>
      </c>
      <c r="D209" s="25"/>
      <c r="E209" s="27"/>
      <c r="F209" s="28"/>
      <c r="G209" s="28"/>
      <c r="H209" s="25"/>
      <c r="I209" s="25"/>
      <c r="J209" s="28"/>
      <c r="K209" s="29" t="str">
        <f t="shared" si="31"/>
        <v/>
      </c>
      <c r="L209" s="25"/>
      <c r="M209" s="29" t="str">
        <f t="shared" si="32"/>
        <v/>
      </c>
      <c r="N209" s="28"/>
      <c r="O209" s="29" t="str">
        <f t="shared" si="33"/>
        <v/>
      </c>
      <c r="P209" s="29" t="str">
        <f t="shared" si="34"/>
        <v/>
      </c>
      <c r="Q209" s="24" t="str">
        <f t="shared" si="35"/>
        <v/>
      </c>
      <c r="R209" s="25"/>
      <c r="S209" s="27"/>
      <c r="T209" s="24" t="str">
        <f t="shared" si="36"/>
        <v/>
      </c>
      <c r="U209" s="24" t="str">
        <f t="shared" si="37"/>
        <v/>
      </c>
      <c r="V209" s="24">
        <f>IF(OR(U209="",D209=""),0,IF(SUMPRODUCT(--(U$4:U209=U209))&gt;1,1,0))</f>
        <v>0</v>
      </c>
      <c r="W209" s="24">
        <f t="shared" si="38"/>
        <v>0</v>
      </c>
      <c r="X209" s="24">
        <f t="shared" si="39"/>
        <v>0</v>
      </c>
    </row>
    <row r="210" spans="1:24" x14ac:dyDescent="0.25">
      <c r="A210" s="24">
        <v>207</v>
      </c>
      <c r="B210" s="25"/>
      <c r="C210" s="26" t="str">
        <f t="shared" si="30"/>
        <v/>
      </c>
      <c r="D210" s="25"/>
      <c r="E210" s="27"/>
      <c r="F210" s="28"/>
      <c r="G210" s="28"/>
      <c r="H210" s="25"/>
      <c r="I210" s="25"/>
      <c r="J210" s="28"/>
      <c r="K210" s="29" t="str">
        <f t="shared" si="31"/>
        <v/>
      </c>
      <c r="L210" s="25"/>
      <c r="M210" s="29" t="str">
        <f t="shared" si="32"/>
        <v/>
      </c>
      <c r="N210" s="28"/>
      <c r="O210" s="29" t="str">
        <f t="shared" si="33"/>
        <v/>
      </c>
      <c r="P210" s="29" t="str">
        <f t="shared" si="34"/>
        <v/>
      </c>
      <c r="Q210" s="24" t="str">
        <f t="shared" si="35"/>
        <v/>
      </c>
      <c r="R210" s="25"/>
      <c r="S210" s="27"/>
      <c r="T210" s="24" t="str">
        <f t="shared" si="36"/>
        <v/>
      </c>
      <c r="U210" s="24" t="str">
        <f t="shared" si="37"/>
        <v/>
      </c>
      <c r="V210" s="24">
        <f>IF(OR(U210="",D210=""),0,IF(SUMPRODUCT(--(U$4:U210=U210))&gt;1,1,0))</f>
        <v>0</v>
      </c>
      <c r="W210" s="24">
        <f t="shared" si="38"/>
        <v>0</v>
      </c>
      <c r="X210" s="24">
        <f t="shared" si="39"/>
        <v>0</v>
      </c>
    </row>
    <row r="211" spans="1:24" x14ac:dyDescent="0.25">
      <c r="A211" s="24">
        <v>208</v>
      </c>
      <c r="B211" s="25"/>
      <c r="C211" s="26" t="str">
        <f t="shared" si="30"/>
        <v/>
      </c>
      <c r="D211" s="25"/>
      <c r="E211" s="27"/>
      <c r="F211" s="28"/>
      <c r="G211" s="28"/>
      <c r="H211" s="25"/>
      <c r="I211" s="25"/>
      <c r="J211" s="28"/>
      <c r="K211" s="29" t="str">
        <f t="shared" si="31"/>
        <v/>
      </c>
      <c r="L211" s="25"/>
      <c r="M211" s="29" t="str">
        <f t="shared" si="32"/>
        <v/>
      </c>
      <c r="N211" s="28"/>
      <c r="O211" s="29" t="str">
        <f t="shared" si="33"/>
        <v/>
      </c>
      <c r="P211" s="29" t="str">
        <f t="shared" si="34"/>
        <v/>
      </c>
      <c r="Q211" s="24" t="str">
        <f t="shared" si="35"/>
        <v/>
      </c>
      <c r="R211" s="25"/>
      <c r="S211" s="27"/>
      <c r="T211" s="24" t="str">
        <f t="shared" si="36"/>
        <v/>
      </c>
      <c r="U211" s="24" t="str">
        <f t="shared" si="37"/>
        <v/>
      </c>
      <c r="V211" s="24">
        <f>IF(OR(U211="",D211=""),0,IF(SUMPRODUCT(--(U$4:U211=U211))&gt;1,1,0))</f>
        <v>0</v>
      </c>
      <c r="W211" s="24">
        <f t="shared" si="38"/>
        <v>0</v>
      </c>
      <c r="X211" s="24">
        <f t="shared" si="39"/>
        <v>0</v>
      </c>
    </row>
    <row r="212" spans="1:24" x14ac:dyDescent="0.25">
      <c r="A212" s="24">
        <v>209</v>
      </c>
      <c r="B212" s="25"/>
      <c r="C212" s="26" t="str">
        <f t="shared" si="30"/>
        <v/>
      </c>
      <c r="D212" s="25"/>
      <c r="E212" s="27"/>
      <c r="F212" s="28"/>
      <c r="G212" s="28"/>
      <c r="H212" s="25"/>
      <c r="I212" s="25"/>
      <c r="J212" s="28"/>
      <c r="K212" s="29" t="str">
        <f t="shared" si="31"/>
        <v/>
      </c>
      <c r="L212" s="25"/>
      <c r="M212" s="29" t="str">
        <f t="shared" si="32"/>
        <v/>
      </c>
      <c r="N212" s="28"/>
      <c r="O212" s="29" t="str">
        <f t="shared" si="33"/>
        <v/>
      </c>
      <c r="P212" s="29" t="str">
        <f t="shared" si="34"/>
        <v/>
      </c>
      <c r="Q212" s="24" t="str">
        <f t="shared" si="35"/>
        <v/>
      </c>
      <c r="R212" s="25"/>
      <c r="S212" s="27"/>
      <c r="T212" s="24" t="str">
        <f t="shared" si="36"/>
        <v/>
      </c>
      <c r="U212" s="24" t="str">
        <f t="shared" si="37"/>
        <v/>
      </c>
      <c r="V212" s="24">
        <f>IF(OR(U212="",D212=""),0,IF(SUMPRODUCT(--(U$4:U212=U212))&gt;1,1,0))</f>
        <v>0</v>
      </c>
      <c r="W212" s="24">
        <f t="shared" si="38"/>
        <v>0</v>
      </c>
      <c r="X212" s="24">
        <f t="shared" si="39"/>
        <v>0</v>
      </c>
    </row>
    <row r="213" spans="1:24" x14ac:dyDescent="0.25">
      <c r="A213" s="24">
        <v>210</v>
      </c>
      <c r="B213" s="25"/>
      <c r="C213" s="26" t="str">
        <f t="shared" si="30"/>
        <v/>
      </c>
      <c r="D213" s="25"/>
      <c r="E213" s="27"/>
      <c r="F213" s="28"/>
      <c r="G213" s="28"/>
      <c r="H213" s="25"/>
      <c r="I213" s="25"/>
      <c r="J213" s="28"/>
      <c r="K213" s="29" t="str">
        <f t="shared" si="31"/>
        <v/>
      </c>
      <c r="L213" s="25"/>
      <c r="M213" s="29" t="str">
        <f t="shared" si="32"/>
        <v/>
      </c>
      <c r="N213" s="28"/>
      <c r="O213" s="29" t="str">
        <f t="shared" si="33"/>
        <v/>
      </c>
      <c r="P213" s="29" t="str">
        <f t="shared" si="34"/>
        <v/>
      </c>
      <c r="Q213" s="24" t="str">
        <f t="shared" si="35"/>
        <v/>
      </c>
      <c r="R213" s="25"/>
      <c r="S213" s="27"/>
      <c r="T213" s="24" t="str">
        <f t="shared" si="36"/>
        <v/>
      </c>
      <c r="U213" s="24" t="str">
        <f t="shared" si="37"/>
        <v/>
      </c>
      <c r="V213" s="24">
        <f>IF(OR(U213="",D213=""),0,IF(SUMPRODUCT(--(U$4:U213=U213))&gt;1,1,0))</f>
        <v>0</v>
      </c>
      <c r="W213" s="24">
        <f t="shared" si="38"/>
        <v>0</v>
      </c>
      <c r="X213" s="24">
        <f t="shared" si="39"/>
        <v>0</v>
      </c>
    </row>
    <row r="214" spans="1:24" x14ac:dyDescent="0.25">
      <c r="A214" s="24">
        <v>211</v>
      </c>
      <c r="B214" s="25"/>
      <c r="C214" s="26" t="str">
        <f t="shared" si="30"/>
        <v/>
      </c>
      <c r="D214" s="25"/>
      <c r="E214" s="27"/>
      <c r="F214" s="28"/>
      <c r="G214" s="28"/>
      <c r="H214" s="25"/>
      <c r="I214" s="25"/>
      <c r="J214" s="28"/>
      <c r="K214" s="29" t="str">
        <f t="shared" si="31"/>
        <v/>
      </c>
      <c r="L214" s="25"/>
      <c r="M214" s="29" t="str">
        <f t="shared" si="32"/>
        <v/>
      </c>
      <c r="N214" s="28"/>
      <c r="O214" s="29" t="str">
        <f t="shared" si="33"/>
        <v/>
      </c>
      <c r="P214" s="29" t="str">
        <f t="shared" si="34"/>
        <v/>
      </c>
      <c r="Q214" s="24" t="str">
        <f t="shared" si="35"/>
        <v/>
      </c>
      <c r="R214" s="25"/>
      <c r="S214" s="27"/>
      <c r="T214" s="24" t="str">
        <f t="shared" si="36"/>
        <v/>
      </c>
      <c r="U214" s="24" t="str">
        <f t="shared" si="37"/>
        <v/>
      </c>
      <c r="V214" s="24">
        <f>IF(OR(U214="",D214=""),0,IF(SUMPRODUCT(--(U$4:U214=U214))&gt;1,1,0))</f>
        <v>0</v>
      </c>
      <c r="W214" s="24">
        <f t="shared" si="38"/>
        <v>0</v>
      </c>
      <c r="X214" s="24">
        <f t="shared" si="39"/>
        <v>0</v>
      </c>
    </row>
    <row r="215" spans="1:24" x14ac:dyDescent="0.25">
      <c r="A215" s="24">
        <v>212</v>
      </c>
      <c r="B215" s="25"/>
      <c r="C215" s="26" t="str">
        <f t="shared" si="30"/>
        <v/>
      </c>
      <c r="D215" s="25"/>
      <c r="E215" s="27"/>
      <c r="F215" s="28"/>
      <c r="G215" s="28"/>
      <c r="H215" s="25"/>
      <c r="I215" s="25"/>
      <c r="J215" s="28"/>
      <c r="K215" s="29" t="str">
        <f t="shared" si="31"/>
        <v/>
      </c>
      <c r="L215" s="25"/>
      <c r="M215" s="29" t="str">
        <f t="shared" si="32"/>
        <v/>
      </c>
      <c r="N215" s="28"/>
      <c r="O215" s="29" t="str">
        <f t="shared" si="33"/>
        <v/>
      </c>
      <c r="P215" s="29" t="str">
        <f t="shared" si="34"/>
        <v/>
      </c>
      <c r="Q215" s="24" t="str">
        <f t="shared" si="35"/>
        <v/>
      </c>
      <c r="R215" s="25"/>
      <c r="S215" s="27"/>
      <c r="T215" s="24" t="str">
        <f t="shared" si="36"/>
        <v/>
      </c>
      <c r="U215" s="24" t="str">
        <f t="shared" si="37"/>
        <v/>
      </c>
      <c r="V215" s="24">
        <f>IF(OR(U215="",D215=""),0,IF(SUMPRODUCT(--(U$4:U215=U215))&gt;1,1,0))</f>
        <v>0</v>
      </c>
      <c r="W215" s="24">
        <f t="shared" si="38"/>
        <v>0</v>
      </c>
      <c r="X215" s="24">
        <f t="shared" si="39"/>
        <v>0</v>
      </c>
    </row>
    <row r="216" spans="1:24" x14ac:dyDescent="0.25">
      <c r="A216" s="24">
        <v>213</v>
      </c>
      <c r="B216" s="25"/>
      <c r="C216" s="26" t="str">
        <f t="shared" si="30"/>
        <v/>
      </c>
      <c r="D216" s="25"/>
      <c r="E216" s="27"/>
      <c r="F216" s="28"/>
      <c r="G216" s="28"/>
      <c r="H216" s="25"/>
      <c r="I216" s="25"/>
      <c r="J216" s="28"/>
      <c r="K216" s="29" t="str">
        <f t="shared" si="31"/>
        <v/>
      </c>
      <c r="L216" s="25"/>
      <c r="M216" s="29" t="str">
        <f t="shared" si="32"/>
        <v/>
      </c>
      <c r="N216" s="28"/>
      <c r="O216" s="29" t="str">
        <f t="shared" si="33"/>
        <v/>
      </c>
      <c r="P216" s="29" t="str">
        <f t="shared" si="34"/>
        <v/>
      </c>
      <c r="Q216" s="24" t="str">
        <f t="shared" si="35"/>
        <v/>
      </c>
      <c r="R216" s="25"/>
      <c r="S216" s="27"/>
      <c r="T216" s="24" t="str">
        <f t="shared" si="36"/>
        <v/>
      </c>
      <c r="U216" s="24" t="str">
        <f t="shared" si="37"/>
        <v/>
      </c>
      <c r="V216" s="24">
        <f>IF(OR(U216="",D216=""),0,IF(SUMPRODUCT(--(U$4:U216=U216))&gt;1,1,0))</f>
        <v>0</v>
      </c>
      <c r="W216" s="24">
        <f t="shared" si="38"/>
        <v>0</v>
      </c>
      <c r="X216" s="24">
        <f t="shared" si="39"/>
        <v>0</v>
      </c>
    </row>
    <row r="217" spans="1:24" x14ac:dyDescent="0.25">
      <c r="A217" s="24">
        <v>214</v>
      </c>
      <c r="B217" s="25"/>
      <c r="C217" s="26" t="str">
        <f t="shared" si="30"/>
        <v/>
      </c>
      <c r="D217" s="25"/>
      <c r="E217" s="27"/>
      <c r="F217" s="28"/>
      <c r="G217" s="28"/>
      <c r="H217" s="25"/>
      <c r="I217" s="25"/>
      <c r="J217" s="28"/>
      <c r="K217" s="29" t="str">
        <f t="shared" si="31"/>
        <v/>
      </c>
      <c r="L217" s="25"/>
      <c r="M217" s="29" t="str">
        <f t="shared" si="32"/>
        <v/>
      </c>
      <c r="N217" s="28"/>
      <c r="O217" s="29" t="str">
        <f t="shared" si="33"/>
        <v/>
      </c>
      <c r="P217" s="29" t="str">
        <f t="shared" si="34"/>
        <v/>
      </c>
      <c r="Q217" s="24" t="str">
        <f t="shared" si="35"/>
        <v/>
      </c>
      <c r="R217" s="25"/>
      <c r="S217" s="27"/>
      <c r="T217" s="24" t="str">
        <f t="shared" si="36"/>
        <v/>
      </c>
      <c r="U217" s="24" t="str">
        <f t="shared" si="37"/>
        <v/>
      </c>
      <c r="V217" s="24">
        <f>IF(OR(U217="",D217=""),0,IF(SUMPRODUCT(--(U$4:U217=U217))&gt;1,1,0))</f>
        <v>0</v>
      </c>
      <c r="W217" s="24">
        <f t="shared" si="38"/>
        <v>0</v>
      </c>
      <c r="X217" s="24">
        <f t="shared" si="39"/>
        <v>0</v>
      </c>
    </row>
    <row r="218" spans="1:24" x14ac:dyDescent="0.25">
      <c r="A218" s="24">
        <v>215</v>
      </c>
      <c r="B218" s="25"/>
      <c r="C218" s="26" t="str">
        <f t="shared" si="30"/>
        <v/>
      </c>
      <c r="D218" s="25"/>
      <c r="E218" s="27"/>
      <c r="F218" s="28"/>
      <c r="G218" s="28"/>
      <c r="H218" s="25"/>
      <c r="I218" s="25"/>
      <c r="J218" s="28"/>
      <c r="K218" s="29" t="str">
        <f t="shared" si="31"/>
        <v/>
      </c>
      <c r="L218" s="25"/>
      <c r="M218" s="29" t="str">
        <f t="shared" si="32"/>
        <v/>
      </c>
      <c r="N218" s="28"/>
      <c r="O218" s="29" t="str">
        <f t="shared" si="33"/>
        <v/>
      </c>
      <c r="P218" s="29" t="str">
        <f t="shared" si="34"/>
        <v/>
      </c>
      <c r="Q218" s="24" t="str">
        <f t="shared" si="35"/>
        <v/>
      </c>
      <c r="R218" s="25"/>
      <c r="S218" s="27"/>
      <c r="T218" s="24" t="str">
        <f t="shared" si="36"/>
        <v/>
      </c>
      <c r="U218" s="24" t="str">
        <f t="shared" si="37"/>
        <v/>
      </c>
      <c r="V218" s="24">
        <f>IF(OR(U218="",D218=""),0,IF(SUMPRODUCT(--(U$4:U218=U218))&gt;1,1,0))</f>
        <v>0</v>
      </c>
      <c r="W218" s="24">
        <f t="shared" si="38"/>
        <v>0</v>
      </c>
      <c r="X218" s="24">
        <f t="shared" si="39"/>
        <v>0</v>
      </c>
    </row>
    <row r="219" spans="1:24" x14ac:dyDescent="0.25">
      <c r="A219" s="24">
        <v>216</v>
      </c>
      <c r="B219" s="25"/>
      <c r="C219" s="26" t="str">
        <f t="shared" si="30"/>
        <v/>
      </c>
      <c r="D219" s="25"/>
      <c r="E219" s="27"/>
      <c r="F219" s="28"/>
      <c r="G219" s="28"/>
      <c r="H219" s="25"/>
      <c r="I219" s="25"/>
      <c r="J219" s="28"/>
      <c r="K219" s="29" t="str">
        <f t="shared" si="31"/>
        <v/>
      </c>
      <c r="L219" s="25"/>
      <c r="M219" s="29" t="str">
        <f t="shared" si="32"/>
        <v/>
      </c>
      <c r="N219" s="28"/>
      <c r="O219" s="29" t="str">
        <f t="shared" si="33"/>
        <v/>
      </c>
      <c r="P219" s="29" t="str">
        <f t="shared" si="34"/>
        <v/>
      </c>
      <c r="Q219" s="24" t="str">
        <f t="shared" si="35"/>
        <v/>
      </c>
      <c r="R219" s="25"/>
      <c r="S219" s="27"/>
      <c r="T219" s="24" t="str">
        <f t="shared" si="36"/>
        <v/>
      </c>
      <c r="U219" s="24" t="str">
        <f t="shared" si="37"/>
        <v/>
      </c>
      <c r="V219" s="24">
        <f>IF(OR(U219="",D219=""),0,IF(SUMPRODUCT(--(U$4:U219=U219))&gt;1,1,0))</f>
        <v>0</v>
      </c>
      <c r="W219" s="24">
        <f t="shared" si="38"/>
        <v>0</v>
      </c>
      <c r="X219" s="24">
        <f t="shared" si="39"/>
        <v>0</v>
      </c>
    </row>
    <row r="220" spans="1:24" x14ac:dyDescent="0.25">
      <c r="A220" s="24">
        <v>217</v>
      </c>
      <c r="B220" s="25"/>
      <c r="C220" s="26" t="str">
        <f t="shared" si="30"/>
        <v/>
      </c>
      <c r="D220" s="25"/>
      <c r="E220" s="27"/>
      <c r="F220" s="28"/>
      <c r="G220" s="28"/>
      <c r="H220" s="25"/>
      <c r="I220" s="25"/>
      <c r="J220" s="28"/>
      <c r="K220" s="29" t="str">
        <f t="shared" si="31"/>
        <v/>
      </c>
      <c r="L220" s="25"/>
      <c r="M220" s="29" t="str">
        <f t="shared" si="32"/>
        <v/>
      </c>
      <c r="N220" s="28"/>
      <c r="O220" s="29" t="str">
        <f t="shared" si="33"/>
        <v/>
      </c>
      <c r="P220" s="29" t="str">
        <f t="shared" si="34"/>
        <v/>
      </c>
      <c r="Q220" s="24" t="str">
        <f t="shared" si="35"/>
        <v/>
      </c>
      <c r="R220" s="25"/>
      <c r="S220" s="27"/>
      <c r="T220" s="24" t="str">
        <f t="shared" si="36"/>
        <v/>
      </c>
      <c r="U220" s="24" t="str">
        <f t="shared" si="37"/>
        <v/>
      </c>
      <c r="V220" s="24">
        <f>IF(OR(U220="",D220=""),0,IF(SUMPRODUCT(--(U$4:U220=U220))&gt;1,1,0))</f>
        <v>0</v>
      </c>
      <c r="W220" s="24">
        <f t="shared" si="38"/>
        <v>0</v>
      </c>
      <c r="X220" s="24">
        <f t="shared" si="39"/>
        <v>0</v>
      </c>
    </row>
    <row r="221" spans="1:24" x14ac:dyDescent="0.25">
      <c r="A221" s="24">
        <v>218</v>
      </c>
      <c r="B221" s="25"/>
      <c r="C221" s="26" t="str">
        <f t="shared" si="30"/>
        <v/>
      </c>
      <c r="D221" s="25"/>
      <c r="E221" s="27"/>
      <c r="F221" s="28"/>
      <c r="G221" s="28"/>
      <c r="H221" s="25"/>
      <c r="I221" s="25"/>
      <c r="J221" s="28"/>
      <c r="K221" s="29" t="str">
        <f t="shared" si="31"/>
        <v/>
      </c>
      <c r="L221" s="25"/>
      <c r="M221" s="29" t="str">
        <f t="shared" si="32"/>
        <v/>
      </c>
      <c r="N221" s="28"/>
      <c r="O221" s="29" t="str">
        <f t="shared" si="33"/>
        <v/>
      </c>
      <c r="P221" s="29" t="str">
        <f t="shared" si="34"/>
        <v/>
      </c>
      <c r="Q221" s="24" t="str">
        <f t="shared" si="35"/>
        <v/>
      </c>
      <c r="R221" s="25"/>
      <c r="S221" s="27"/>
      <c r="T221" s="24" t="str">
        <f t="shared" si="36"/>
        <v/>
      </c>
      <c r="U221" s="24" t="str">
        <f t="shared" si="37"/>
        <v/>
      </c>
      <c r="V221" s="24">
        <f>IF(OR(U221="",D221=""),0,IF(SUMPRODUCT(--(U$4:U221=U221))&gt;1,1,0))</f>
        <v>0</v>
      </c>
      <c r="W221" s="24">
        <f t="shared" si="38"/>
        <v>0</v>
      </c>
      <c r="X221" s="24">
        <f t="shared" si="39"/>
        <v>0</v>
      </c>
    </row>
    <row r="222" spans="1:24" x14ac:dyDescent="0.25">
      <c r="A222" s="24">
        <v>219</v>
      </c>
      <c r="B222" s="25"/>
      <c r="C222" s="26" t="str">
        <f t="shared" si="30"/>
        <v/>
      </c>
      <c r="D222" s="25"/>
      <c r="E222" s="27"/>
      <c r="F222" s="28"/>
      <c r="G222" s="28"/>
      <c r="H222" s="25"/>
      <c r="I222" s="25"/>
      <c r="J222" s="28"/>
      <c r="K222" s="29" t="str">
        <f t="shared" si="31"/>
        <v/>
      </c>
      <c r="L222" s="25"/>
      <c r="M222" s="29" t="str">
        <f t="shared" si="32"/>
        <v/>
      </c>
      <c r="N222" s="28"/>
      <c r="O222" s="29" t="str">
        <f t="shared" si="33"/>
        <v/>
      </c>
      <c r="P222" s="29" t="str">
        <f t="shared" si="34"/>
        <v/>
      </c>
      <c r="Q222" s="24" t="str">
        <f t="shared" si="35"/>
        <v/>
      </c>
      <c r="R222" s="25"/>
      <c r="S222" s="27"/>
      <c r="T222" s="24" t="str">
        <f t="shared" si="36"/>
        <v/>
      </c>
      <c r="U222" s="24" t="str">
        <f t="shared" si="37"/>
        <v/>
      </c>
      <c r="V222" s="24">
        <f>IF(OR(U222="",D222=""),0,IF(SUMPRODUCT(--(U$4:U222=U222))&gt;1,1,0))</f>
        <v>0</v>
      </c>
      <c r="W222" s="24">
        <f t="shared" si="38"/>
        <v>0</v>
      </c>
      <c r="X222" s="24">
        <f t="shared" si="39"/>
        <v>0</v>
      </c>
    </row>
    <row r="223" spans="1:24" x14ac:dyDescent="0.25">
      <c r="A223" s="24">
        <v>220</v>
      </c>
      <c r="B223" s="25"/>
      <c r="C223" s="26" t="str">
        <f t="shared" si="30"/>
        <v/>
      </c>
      <c r="D223" s="25"/>
      <c r="E223" s="27"/>
      <c r="F223" s="28"/>
      <c r="G223" s="28"/>
      <c r="H223" s="25"/>
      <c r="I223" s="25"/>
      <c r="J223" s="28"/>
      <c r="K223" s="29" t="str">
        <f t="shared" si="31"/>
        <v/>
      </c>
      <c r="L223" s="25"/>
      <c r="M223" s="29" t="str">
        <f t="shared" si="32"/>
        <v/>
      </c>
      <c r="N223" s="28"/>
      <c r="O223" s="29" t="str">
        <f t="shared" si="33"/>
        <v/>
      </c>
      <c r="P223" s="29" t="str">
        <f t="shared" si="34"/>
        <v/>
      </c>
      <c r="Q223" s="24" t="str">
        <f t="shared" si="35"/>
        <v/>
      </c>
      <c r="R223" s="25"/>
      <c r="S223" s="27"/>
      <c r="T223" s="24" t="str">
        <f t="shared" si="36"/>
        <v/>
      </c>
      <c r="U223" s="24" t="str">
        <f t="shared" si="37"/>
        <v/>
      </c>
      <c r="V223" s="24">
        <f>IF(OR(U223="",D223=""),0,IF(SUMPRODUCT(--(U$4:U223=U223))&gt;1,1,0))</f>
        <v>0</v>
      </c>
      <c r="W223" s="24">
        <f t="shared" si="38"/>
        <v>0</v>
      </c>
      <c r="X223" s="24">
        <f t="shared" si="39"/>
        <v>0</v>
      </c>
    </row>
    <row r="224" spans="1:24" x14ac:dyDescent="0.25">
      <c r="A224" s="24">
        <v>221</v>
      </c>
      <c r="B224" s="25"/>
      <c r="C224" s="26" t="str">
        <f t="shared" si="30"/>
        <v/>
      </c>
      <c r="D224" s="25"/>
      <c r="E224" s="27"/>
      <c r="F224" s="28"/>
      <c r="G224" s="28"/>
      <c r="H224" s="25"/>
      <c r="I224" s="25"/>
      <c r="J224" s="28"/>
      <c r="K224" s="29" t="str">
        <f t="shared" si="31"/>
        <v/>
      </c>
      <c r="L224" s="25"/>
      <c r="M224" s="29" t="str">
        <f t="shared" si="32"/>
        <v/>
      </c>
      <c r="N224" s="28"/>
      <c r="O224" s="29" t="str">
        <f t="shared" si="33"/>
        <v/>
      </c>
      <c r="P224" s="29" t="str">
        <f t="shared" si="34"/>
        <v/>
      </c>
      <c r="Q224" s="24" t="str">
        <f t="shared" si="35"/>
        <v/>
      </c>
      <c r="R224" s="25"/>
      <c r="S224" s="27"/>
      <c r="T224" s="24" t="str">
        <f t="shared" si="36"/>
        <v/>
      </c>
      <c r="U224" s="24" t="str">
        <f t="shared" si="37"/>
        <v/>
      </c>
      <c r="V224" s="24">
        <f>IF(OR(U224="",D224=""),0,IF(SUMPRODUCT(--(U$4:U224=U224))&gt;1,1,0))</f>
        <v>0</v>
      </c>
      <c r="W224" s="24">
        <f t="shared" si="38"/>
        <v>0</v>
      </c>
      <c r="X224" s="24">
        <f t="shared" si="39"/>
        <v>0</v>
      </c>
    </row>
    <row r="225" spans="1:24" x14ac:dyDescent="0.25">
      <c r="A225" s="24">
        <v>222</v>
      </c>
      <c r="B225" s="25"/>
      <c r="C225" s="26" t="str">
        <f t="shared" si="30"/>
        <v/>
      </c>
      <c r="D225" s="25"/>
      <c r="E225" s="27"/>
      <c r="F225" s="28"/>
      <c r="G225" s="28"/>
      <c r="H225" s="25"/>
      <c r="I225" s="25"/>
      <c r="J225" s="28"/>
      <c r="K225" s="29" t="str">
        <f t="shared" si="31"/>
        <v/>
      </c>
      <c r="L225" s="25"/>
      <c r="M225" s="29" t="str">
        <f t="shared" si="32"/>
        <v/>
      </c>
      <c r="N225" s="28"/>
      <c r="O225" s="29" t="str">
        <f t="shared" si="33"/>
        <v/>
      </c>
      <c r="P225" s="29" t="str">
        <f t="shared" si="34"/>
        <v/>
      </c>
      <c r="Q225" s="24" t="str">
        <f t="shared" si="35"/>
        <v/>
      </c>
      <c r="R225" s="25"/>
      <c r="S225" s="27"/>
      <c r="T225" s="24" t="str">
        <f t="shared" si="36"/>
        <v/>
      </c>
      <c r="U225" s="24" t="str">
        <f t="shared" si="37"/>
        <v/>
      </c>
      <c r="V225" s="24">
        <f>IF(OR(U225="",D225=""),0,IF(SUMPRODUCT(--(U$4:U225=U225))&gt;1,1,0))</f>
        <v>0</v>
      </c>
      <c r="W225" s="24">
        <f t="shared" si="38"/>
        <v>0</v>
      </c>
      <c r="X225" s="24">
        <f t="shared" si="39"/>
        <v>0</v>
      </c>
    </row>
    <row r="226" spans="1:24" x14ac:dyDescent="0.25">
      <c r="A226" s="24">
        <v>223</v>
      </c>
      <c r="B226" s="25"/>
      <c r="C226" s="26" t="str">
        <f t="shared" si="30"/>
        <v/>
      </c>
      <c r="D226" s="25"/>
      <c r="E226" s="27"/>
      <c r="F226" s="28"/>
      <c r="G226" s="28"/>
      <c r="H226" s="25"/>
      <c r="I226" s="25"/>
      <c r="J226" s="28"/>
      <c r="K226" s="29" t="str">
        <f t="shared" si="31"/>
        <v/>
      </c>
      <c r="L226" s="25"/>
      <c r="M226" s="29" t="str">
        <f t="shared" si="32"/>
        <v/>
      </c>
      <c r="N226" s="28"/>
      <c r="O226" s="29" t="str">
        <f t="shared" si="33"/>
        <v/>
      </c>
      <c r="P226" s="29" t="str">
        <f t="shared" si="34"/>
        <v/>
      </c>
      <c r="Q226" s="24" t="str">
        <f t="shared" si="35"/>
        <v/>
      </c>
      <c r="R226" s="25"/>
      <c r="S226" s="27"/>
      <c r="T226" s="24" t="str">
        <f t="shared" si="36"/>
        <v/>
      </c>
      <c r="U226" s="24" t="str">
        <f t="shared" si="37"/>
        <v/>
      </c>
      <c r="V226" s="24">
        <f>IF(OR(U226="",D226=""),0,IF(SUMPRODUCT(--(U$4:U226=U226))&gt;1,1,0))</f>
        <v>0</v>
      </c>
      <c r="W226" s="24">
        <f t="shared" si="38"/>
        <v>0</v>
      </c>
      <c r="X226" s="24">
        <f t="shared" si="39"/>
        <v>0</v>
      </c>
    </row>
    <row r="227" spans="1:24" x14ac:dyDescent="0.25">
      <c r="A227" s="24">
        <v>224</v>
      </c>
      <c r="B227" s="25"/>
      <c r="C227" s="26" t="str">
        <f t="shared" si="30"/>
        <v/>
      </c>
      <c r="D227" s="25"/>
      <c r="E227" s="27"/>
      <c r="F227" s="28"/>
      <c r="G227" s="28"/>
      <c r="H227" s="25"/>
      <c r="I227" s="25"/>
      <c r="J227" s="28"/>
      <c r="K227" s="29" t="str">
        <f t="shared" si="31"/>
        <v/>
      </c>
      <c r="L227" s="25"/>
      <c r="M227" s="29" t="str">
        <f t="shared" si="32"/>
        <v/>
      </c>
      <c r="N227" s="28"/>
      <c r="O227" s="29" t="str">
        <f t="shared" si="33"/>
        <v/>
      </c>
      <c r="P227" s="29" t="str">
        <f t="shared" si="34"/>
        <v/>
      </c>
      <c r="Q227" s="24" t="str">
        <f t="shared" si="35"/>
        <v/>
      </c>
      <c r="R227" s="25"/>
      <c r="S227" s="27"/>
      <c r="T227" s="24" t="str">
        <f t="shared" si="36"/>
        <v/>
      </c>
      <c r="U227" s="24" t="str">
        <f t="shared" si="37"/>
        <v/>
      </c>
      <c r="V227" s="24">
        <f>IF(OR(U227="",D227=""),0,IF(SUMPRODUCT(--(U$4:U227=U227))&gt;1,1,0))</f>
        <v>0</v>
      </c>
      <c r="W227" s="24">
        <f t="shared" si="38"/>
        <v>0</v>
      </c>
      <c r="X227" s="24">
        <f t="shared" si="39"/>
        <v>0</v>
      </c>
    </row>
    <row r="228" spans="1:24" x14ac:dyDescent="0.25">
      <c r="A228" s="24">
        <v>225</v>
      </c>
      <c r="B228" s="25"/>
      <c r="C228" s="26" t="str">
        <f t="shared" si="30"/>
        <v/>
      </c>
      <c r="D228" s="25"/>
      <c r="E228" s="27"/>
      <c r="F228" s="28"/>
      <c r="G228" s="28"/>
      <c r="H228" s="25"/>
      <c r="I228" s="25"/>
      <c r="J228" s="28"/>
      <c r="K228" s="29" t="str">
        <f t="shared" si="31"/>
        <v/>
      </c>
      <c r="L228" s="25"/>
      <c r="M228" s="29" t="str">
        <f t="shared" si="32"/>
        <v/>
      </c>
      <c r="N228" s="28"/>
      <c r="O228" s="29" t="str">
        <f t="shared" si="33"/>
        <v/>
      </c>
      <c r="P228" s="29" t="str">
        <f t="shared" si="34"/>
        <v/>
      </c>
      <c r="Q228" s="24" t="str">
        <f t="shared" si="35"/>
        <v/>
      </c>
      <c r="R228" s="25"/>
      <c r="S228" s="27"/>
      <c r="T228" s="24" t="str">
        <f t="shared" si="36"/>
        <v/>
      </c>
      <c r="U228" s="24" t="str">
        <f t="shared" si="37"/>
        <v/>
      </c>
      <c r="V228" s="24">
        <f>IF(OR(U228="",D228=""),0,IF(SUMPRODUCT(--(U$4:U228=U228))&gt;1,1,0))</f>
        <v>0</v>
      </c>
      <c r="W228" s="24">
        <f t="shared" si="38"/>
        <v>0</v>
      </c>
      <c r="X228" s="24">
        <f t="shared" si="39"/>
        <v>0</v>
      </c>
    </row>
    <row r="229" spans="1:24" x14ac:dyDescent="0.25">
      <c r="A229" s="24">
        <v>226</v>
      </c>
      <c r="B229" s="25"/>
      <c r="C229" s="26" t="str">
        <f t="shared" si="30"/>
        <v/>
      </c>
      <c r="D229" s="25"/>
      <c r="E229" s="27"/>
      <c r="F229" s="28"/>
      <c r="G229" s="28"/>
      <c r="H229" s="25"/>
      <c r="I229" s="25"/>
      <c r="J229" s="28"/>
      <c r="K229" s="29" t="str">
        <f t="shared" si="31"/>
        <v/>
      </c>
      <c r="L229" s="25"/>
      <c r="M229" s="29" t="str">
        <f t="shared" si="32"/>
        <v/>
      </c>
      <c r="N229" s="28"/>
      <c r="O229" s="29" t="str">
        <f t="shared" si="33"/>
        <v/>
      </c>
      <c r="P229" s="29" t="str">
        <f t="shared" si="34"/>
        <v/>
      </c>
      <c r="Q229" s="24" t="str">
        <f t="shared" si="35"/>
        <v/>
      </c>
      <c r="R229" s="25"/>
      <c r="S229" s="27"/>
      <c r="T229" s="24" t="str">
        <f t="shared" si="36"/>
        <v/>
      </c>
      <c r="U229" s="24" t="str">
        <f t="shared" si="37"/>
        <v/>
      </c>
      <c r="V229" s="24">
        <f>IF(OR(U229="",D229=""),0,IF(SUMPRODUCT(--(U$4:U229=U229))&gt;1,1,0))</f>
        <v>0</v>
      </c>
      <c r="W229" s="24">
        <f t="shared" si="38"/>
        <v>0</v>
      </c>
      <c r="X229" s="24">
        <f t="shared" si="39"/>
        <v>0</v>
      </c>
    </row>
    <row r="230" spans="1:24" x14ac:dyDescent="0.25">
      <c r="A230" s="24">
        <v>227</v>
      </c>
      <c r="B230" s="25"/>
      <c r="C230" s="26" t="str">
        <f t="shared" si="30"/>
        <v/>
      </c>
      <c r="D230" s="25"/>
      <c r="E230" s="27"/>
      <c r="F230" s="28"/>
      <c r="G230" s="28"/>
      <c r="H230" s="25"/>
      <c r="I230" s="25"/>
      <c r="J230" s="28"/>
      <c r="K230" s="29" t="str">
        <f t="shared" si="31"/>
        <v/>
      </c>
      <c r="L230" s="25"/>
      <c r="M230" s="29" t="str">
        <f t="shared" si="32"/>
        <v/>
      </c>
      <c r="N230" s="28"/>
      <c r="O230" s="29" t="str">
        <f t="shared" si="33"/>
        <v/>
      </c>
      <c r="P230" s="29" t="str">
        <f t="shared" si="34"/>
        <v/>
      </c>
      <c r="Q230" s="24" t="str">
        <f t="shared" si="35"/>
        <v/>
      </c>
      <c r="R230" s="25"/>
      <c r="S230" s="27"/>
      <c r="T230" s="24" t="str">
        <f t="shared" si="36"/>
        <v/>
      </c>
      <c r="U230" s="24" t="str">
        <f t="shared" si="37"/>
        <v/>
      </c>
      <c r="V230" s="24">
        <f>IF(OR(U230="",D230=""),0,IF(SUMPRODUCT(--(U$4:U230=U230))&gt;1,1,0))</f>
        <v>0</v>
      </c>
      <c r="W230" s="24">
        <f t="shared" si="38"/>
        <v>0</v>
      </c>
      <c r="X230" s="24">
        <f t="shared" si="39"/>
        <v>0</v>
      </c>
    </row>
    <row r="231" spans="1:24" x14ac:dyDescent="0.25">
      <c r="A231" s="24">
        <v>228</v>
      </c>
      <c r="B231" s="25"/>
      <c r="C231" s="26" t="str">
        <f t="shared" si="30"/>
        <v/>
      </c>
      <c r="D231" s="25"/>
      <c r="E231" s="27"/>
      <c r="F231" s="28"/>
      <c r="G231" s="28"/>
      <c r="H231" s="25"/>
      <c r="I231" s="25"/>
      <c r="J231" s="28"/>
      <c r="K231" s="29" t="str">
        <f t="shared" si="31"/>
        <v/>
      </c>
      <c r="L231" s="25"/>
      <c r="M231" s="29" t="str">
        <f t="shared" si="32"/>
        <v/>
      </c>
      <c r="N231" s="28"/>
      <c r="O231" s="29" t="str">
        <f t="shared" si="33"/>
        <v/>
      </c>
      <c r="P231" s="29" t="str">
        <f t="shared" si="34"/>
        <v/>
      </c>
      <c r="Q231" s="24" t="str">
        <f t="shared" si="35"/>
        <v/>
      </c>
      <c r="R231" s="25"/>
      <c r="S231" s="27"/>
      <c r="T231" s="24" t="str">
        <f t="shared" si="36"/>
        <v/>
      </c>
      <c r="U231" s="24" t="str">
        <f t="shared" si="37"/>
        <v/>
      </c>
      <c r="V231" s="24">
        <f>IF(OR(U231="",D231=""),0,IF(SUMPRODUCT(--(U$4:U231=U231))&gt;1,1,0))</f>
        <v>0</v>
      </c>
      <c r="W231" s="24">
        <f t="shared" si="38"/>
        <v>0</v>
      </c>
      <c r="X231" s="24">
        <f t="shared" si="39"/>
        <v>0</v>
      </c>
    </row>
    <row r="232" spans="1:24" x14ac:dyDescent="0.25">
      <c r="A232" s="24">
        <v>229</v>
      </c>
      <c r="B232" s="25"/>
      <c r="C232" s="26" t="str">
        <f t="shared" si="30"/>
        <v/>
      </c>
      <c r="D232" s="25"/>
      <c r="E232" s="27"/>
      <c r="F232" s="28"/>
      <c r="G232" s="28"/>
      <c r="H232" s="25"/>
      <c r="I232" s="25"/>
      <c r="J232" s="28"/>
      <c r="K232" s="29" t="str">
        <f t="shared" si="31"/>
        <v/>
      </c>
      <c r="L232" s="25"/>
      <c r="M232" s="29" t="str">
        <f t="shared" si="32"/>
        <v/>
      </c>
      <c r="N232" s="28"/>
      <c r="O232" s="29" t="str">
        <f t="shared" si="33"/>
        <v/>
      </c>
      <c r="P232" s="29" t="str">
        <f t="shared" si="34"/>
        <v/>
      </c>
      <c r="Q232" s="24" t="str">
        <f t="shared" si="35"/>
        <v/>
      </c>
      <c r="R232" s="25"/>
      <c r="S232" s="27"/>
      <c r="T232" s="24" t="str">
        <f t="shared" si="36"/>
        <v/>
      </c>
      <c r="U232" s="24" t="str">
        <f t="shared" si="37"/>
        <v/>
      </c>
      <c r="V232" s="24">
        <f>IF(OR(U232="",D232=""),0,IF(SUMPRODUCT(--(U$4:U232=U232))&gt;1,1,0))</f>
        <v>0</v>
      </c>
      <c r="W232" s="24">
        <f t="shared" si="38"/>
        <v>0</v>
      </c>
      <c r="X232" s="24">
        <f t="shared" si="39"/>
        <v>0</v>
      </c>
    </row>
    <row r="233" spans="1:24" x14ac:dyDescent="0.25">
      <c r="A233" s="24">
        <v>230</v>
      </c>
      <c r="B233" s="25"/>
      <c r="C233" s="26" t="str">
        <f t="shared" si="30"/>
        <v/>
      </c>
      <c r="D233" s="25"/>
      <c r="E233" s="27"/>
      <c r="F233" s="28"/>
      <c r="G233" s="28"/>
      <c r="H233" s="25"/>
      <c r="I233" s="25"/>
      <c r="J233" s="28"/>
      <c r="K233" s="29" t="str">
        <f t="shared" si="31"/>
        <v/>
      </c>
      <c r="L233" s="25"/>
      <c r="M233" s="29" t="str">
        <f t="shared" si="32"/>
        <v/>
      </c>
      <c r="N233" s="28"/>
      <c r="O233" s="29" t="str">
        <f t="shared" si="33"/>
        <v/>
      </c>
      <c r="P233" s="29" t="str">
        <f t="shared" si="34"/>
        <v/>
      </c>
      <c r="Q233" s="24" t="str">
        <f t="shared" si="35"/>
        <v/>
      </c>
      <c r="R233" s="25"/>
      <c r="S233" s="27"/>
      <c r="T233" s="24" t="str">
        <f t="shared" si="36"/>
        <v/>
      </c>
      <c r="U233" s="24" t="str">
        <f t="shared" si="37"/>
        <v/>
      </c>
      <c r="V233" s="24">
        <f>IF(OR(U233="",D233=""),0,IF(SUMPRODUCT(--(U$4:U233=U233))&gt;1,1,0))</f>
        <v>0</v>
      </c>
      <c r="W233" s="24">
        <f t="shared" si="38"/>
        <v>0</v>
      </c>
      <c r="X233" s="24">
        <f t="shared" si="39"/>
        <v>0</v>
      </c>
    </row>
    <row r="234" spans="1:24" x14ac:dyDescent="0.25">
      <c r="A234" s="24">
        <v>231</v>
      </c>
      <c r="B234" s="25"/>
      <c r="C234" s="26" t="str">
        <f t="shared" si="30"/>
        <v/>
      </c>
      <c r="D234" s="25"/>
      <c r="E234" s="27"/>
      <c r="F234" s="28"/>
      <c r="G234" s="28"/>
      <c r="H234" s="25"/>
      <c r="I234" s="25"/>
      <c r="J234" s="28"/>
      <c r="K234" s="29" t="str">
        <f t="shared" si="31"/>
        <v/>
      </c>
      <c r="L234" s="25"/>
      <c r="M234" s="29" t="str">
        <f t="shared" si="32"/>
        <v/>
      </c>
      <c r="N234" s="28"/>
      <c r="O234" s="29" t="str">
        <f t="shared" si="33"/>
        <v/>
      </c>
      <c r="P234" s="29" t="str">
        <f t="shared" si="34"/>
        <v/>
      </c>
      <c r="Q234" s="24" t="str">
        <f t="shared" si="35"/>
        <v/>
      </c>
      <c r="R234" s="25"/>
      <c r="S234" s="27"/>
      <c r="T234" s="24" t="str">
        <f t="shared" si="36"/>
        <v/>
      </c>
      <c r="U234" s="24" t="str">
        <f t="shared" si="37"/>
        <v/>
      </c>
      <c r="V234" s="24">
        <f>IF(OR(U234="",D234=""),0,IF(SUMPRODUCT(--(U$4:U234=U234))&gt;1,1,0))</f>
        <v>0</v>
      </c>
      <c r="W234" s="24">
        <f t="shared" si="38"/>
        <v>0</v>
      </c>
      <c r="X234" s="24">
        <f t="shared" si="39"/>
        <v>0</v>
      </c>
    </row>
    <row r="235" spans="1:24" x14ac:dyDescent="0.25">
      <c r="A235" s="24">
        <v>232</v>
      </c>
      <c r="B235" s="25"/>
      <c r="C235" s="26" t="str">
        <f t="shared" si="30"/>
        <v/>
      </c>
      <c r="D235" s="25"/>
      <c r="E235" s="27"/>
      <c r="F235" s="28"/>
      <c r="G235" s="28"/>
      <c r="H235" s="25"/>
      <c r="I235" s="25"/>
      <c r="J235" s="28"/>
      <c r="K235" s="29" t="str">
        <f t="shared" si="31"/>
        <v/>
      </c>
      <c r="L235" s="25"/>
      <c r="M235" s="29" t="str">
        <f t="shared" si="32"/>
        <v/>
      </c>
      <c r="N235" s="28"/>
      <c r="O235" s="29" t="str">
        <f t="shared" si="33"/>
        <v/>
      </c>
      <c r="P235" s="29" t="str">
        <f t="shared" si="34"/>
        <v/>
      </c>
      <c r="Q235" s="24" t="str">
        <f t="shared" si="35"/>
        <v/>
      </c>
      <c r="R235" s="25"/>
      <c r="S235" s="27"/>
      <c r="T235" s="24" t="str">
        <f t="shared" si="36"/>
        <v/>
      </c>
      <c r="U235" s="24" t="str">
        <f t="shared" si="37"/>
        <v/>
      </c>
      <c r="V235" s="24">
        <f>IF(OR(U235="",D235=""),0,IF(SUMPRODUCT(--(U$4:U235=U235))&gt;1,1,0))</f>
        <v>0</v>
      </c>
      <c r="W235" s="24">
        <f t="shared" si="38"/>
        <v>0</v>
      </c>
      <c r="X235" s="24">
        <f t="shared" si="39"/>
        <v>0</v>
      </c>
    </row>
    <row r="236" spans="1:24" x14ac:dyDescent="0.25">
      <c r="A236" s="24">
        <v>233</v>
      </c>
      <c r="B236" s="25"/>
      <c r="C236" s="26" t="str">
        <f t="shared" si="30"/>
        <v/>
      </c>
      <c r="D236" s="25"/>
      <c r="E236" s="27"/>
      <c r="F236" s="28"/>
      <c r="G236" s="28"/>
      <c r="H236" s="25"/>
      <c r="I236" s="25"/>
      <c r="J236" s="28"/>
      <c r="K236" s="29" t="str">
        <f t="shared" si="31"/>
        <v/>
      </c>
      <c r="L236" s="25"/>
      <c r="M236" s="29" t="str">
        <f t="shared" si="32"/>
        <v/>
      </c>
      <c r="N236" s="28"/>
      <c r="O236" s="29" t="str">
        <f t="shared" si="33"/>
        <v/>
      </c>
      <c r="P236" s="29" t="str">
        <f t="shared" si="34"/>
        <v/>
      </c>
      <c r="Q236" s="24" t="str">
        <f t="shared" si="35"/>
        <v/>
      </c>
      <c r="R236" s="25"/>
      <c r="S236" s="27"/>
      <c r="T236" s="24" t="str">
        <f t="shared" si="36"/>
        <v/>
      </c>
      <c r="U236" s="24" t="str">
        <f t="shared" si="37"/>
        <v/>
      </c>
      <c r="V236" s="24">
        <f>IF(OR(U236="",D236=""),0,IF(SUMPRODUCT(--(U$4:U236=U236))&gt;1,1,0))</f>
        <v>0</v>
      </c>
      <c r="W236" s="24">
        <f t="shared" si="38"/>
        <v>0</v>
      </c>
      <c r="X236" s="24">
        <f t="shared" si="39"/>
        <v>0</v>
      </c>
    </row>
    <row r="237" spans="1:24" x14ac:dyDescent="0.25">
      <c r="A237" s="24">
        <v>234</v>
      </c>
      <c r="B237" s="25"/>
      <c r="C237" s="26" t="str">
        <f t="shared" si="30"/>
        <v/>
      </c>
      <c r="D237" s="25"/>
      <c r="E237" s="27"/>
      <c r="F237" s="28"/>
      <c r="G237" s="28"/>
      <c r="H237" s="25"/>
      <c r="I237" s="25"/>
      <c r="J237" s="28"/>
      <c r="K237" s="29" t="str">
        <f t="shared" si="31"/>
        <v/>
      </c>
      <c r="L237" s="25"/>
      <c r="M237" s="29" t="str">
        <f t="shared" si="32"/>
        <v/>
      </c>
      <c r="N237" s="28"/>
      <c r="O237" s="29" t="str">
        <f t="shared" si="33"/>
        <v/>
      </c>
      <c r="P237" s="29" t="str">
        <f t="shared" si="34"/>
        <v/>
      </c>
      <c r="Q237" s="24" t="str">
        <f t="shared" si="35"/>
        <v/>
      </c>
      <c r="R237" s="25"/>
      <c r="S237" s="27"/>
      <c r="T237" s="24" t="str">
        <f t="shared" si="36"/>
        <v/>
      </c>
      <c r="U237" s="24" t="str">
        <f t="shared" si="37"/>
        <v/>
      </c>
      <c r="V237" s="24">
        <f>IF(OR(U237="",D237=""),0,IF(SUMPRODUCT(--(U$4:U237=U237))&gt;1,1,0))</f>
        <v>0</v>
      </c>
      <c r="W237" s="24">
        <f t="shared" si="38"/>
        <v>0</v>
      </c>
      <c r="X237" s="24">
        <f t="shared" si="39"/>
        <v>0</v>
      </c>
    </row>
    <row r="238" spans="1:24" x14ac:dyDescent="0.25">
      <c r="A238" s="24">
        <v>235</v>
      </c>
      <c r="B238" s="25"/>
      <c r="C238" s="26" t="str">
        <f t="shared" si="30"/>
        <v/>
      </c>
      <c r="D238" s="25"/>
      <c r="E238" s="27"/>
      <c r="F238" s="28"/>
      <c r="G238" s="28"/>
      <c r="H238" s="25"/>
      <c r="I238" s="25"/>
      <c r="J238" s="28"/>
      <c r="K238" s="29" t="str">
        <f t="shared" si="31"/>
        <v/>
      </c>
      <c r="L238" s="25"/>
      <c r="M238" s="29" t="str">
        <f t="shared" si="32"/>
        <v/>
      </c>
      <c r="N238" s="28"/>
      <c r="O238" s="29" t="str">
        <f t="shared" si="33"/>
        <v/>
      </c>
      <c r="P238" s="29" t="str">
        <f t="shared" si="34"/>
        <v/>
      </c>
      <c r="Q238" s="24" t="str">
        <f t="shared" si="35"/>
        <v/>
      </c>
      <c r="R238" s="25"/>
      <c r="S238" s="27"/>
      <c r="T238" s="24" t="str">
        <f t="shared" si="36"/>
        <v/>
      </c>
      <c r="U238" s="24" t="str">
        <f t="shared" si="37"/>
        <v/>
      </c>
      <c r="V238" s="24">
        <f>IF(OR(U238="",D238=""),0,IF(SUMPRODUCT(--(U$4:U238=U238))&gt;1,1,0))</f>
        <v>0</v>
      </c>
      <c r="W238" s="24">
        <f t="shared" si="38"/>
        <v>0</v>
      </c>
      <c r="X238" s="24">
        <f t="shared" si="39"/>
        <v>0</v>
      </c>
    </row>
    <row r="239" spans="1:24" x14ac:dyDescent="0.25">
      <c r="A239" s="24">
        <v>236</v>
      </c>
      <c r="B239" s="25"/>
      <c r="C239" s="26" t="str">
        <f t="shared" si="30"/>
        <v/>
      </c>
      <c r="D239" s="25"/>
      <c r="E239" s="27"/>
      <c r="F239" s="28"/>
      <c r="G239" s="28"/>
      <c r="H239" s="25"/>
      <c r="I239" s="25"/>
      <c r="J239" s="28"/>
      <c r="K239" s="29" t="str">
        <f t="shared" si="31"/>
        <v/>
      </c>
      <c r="L239" s="25"/>
      <c r="M239" s="29" t="str">
        <f t="shared" si="32"/>
        <v/>
      </c>
      <c r="N239" s="28"/>
      <c r="O239" s="29" t="str">
        <f t="shared" si="33"/>
        <v/>
      </c>
      <c r="P239" s="29" t="str">
        <f t="shared" si="34"/>
        <v/>
      </c>
      <c r="Q239" s="24" t="str">
        <f t="shared" si="35"/>
        <v/>
      </c>
      <c r="R239" s="25"/>
      <c r="S239" s="27"/>
      <c r="T239" s="24" t="str">
        <f t="shared" si="36"/>
        <v/>
      </c>
      <c r="U239" s="24" t="str">
        <f t="shared" si="37"/>
        <v/>
      </c>
      <c r="V239" s="24">
        <f>IF(OR(U239="",D239=""),0,IF(SUMPRODUCT(--(U$4:U239=U239))&gt;1,1,0))</f>
        <v>0</v>
      </c>
      <c r="W239" s="24">
        <f t="shared" si="38"/>
        <v>0</v>
      </c>
      <c r="X239" s="24">
        <f t="shared" si="39"/>
        <v>0</v>
      </c>
    </row>
    <row r="240" spans="1:24" x14ac:dyDescent="0.25">
      <c r="A240" s="24">
        <v>237</v>
      </c>
      <c r="B240" s="25"/>
      <c r="C240" s="26" t="str">
        <f t="shared" si="30"/>
        <v/>
      </c>
      <c r="D240" s="25"/>
      <c r="E240" s="27"/>
      <c r="F240" s="28"/>
      <c r="G240" s="28"/>
      <c r="H240" s="25"/>
      <c r="I240" s="25"/>
      <c r="J240" s="28"/>
      <c r="K240" s="29" t="str">
        <f t="shared" si="31"/>
        <v/>
      </c>
      <c r="L240" s="25"/>
      <c r="M240" s="29" t="str">
        <f t="shared" si="32"/>
        <v/>
      </c>
      <c r="N240" s="28"/>
      <c r="O240" s="29" t="str">
        <f t="shared" si="33"/>
        <v/>
      </c>
      <c r="P240" s="29" t="str">
        <f t="shared" si="34"/>
        <v/>
      </c>
      <c r="Q240" s="24" t="str">
        <f t="shared" si="35"/>
        <v/>
      </c>
      <c r="R240" s="25"/>
      <c r="S240" s="27"/>
      <c r="T240" s="24" t="str">
        <f t="shared" si="36"/>
        <v/>
      </c>
      <c r="U240" s="24" t="str">
        <f t="shared" si="37"/>
        <v/>
      </c>
      <c r="V240" s="24">
        <f>IF(OR(U240="",D240=""),0,IF(SUMPRODUCT(--(U$4:U240=U240))&gt;1,1,0))</f>
        <v>0</v>
      </c>
      <c r="W240" s="24">
        <f t="shared" si="38"/>
        <v>0</v>
      </c>
      <c r="X240" s="24">
        <f t="shared" si="39"/>
        <v>0</v>
      </c>
    </row>
    <row r="241" spans="1:24" x14ac:dyDescent="0.25">
      <c r="A241" s="24">
        <v>238</v>
      </c>
      <c r="B241" s="25"/>
      <c r="C241" s="26" t="str">
        <f t="shared" si="30"/>
        <v/>
      </c>
      <c r="D241" s="25"/>
      <c r="E241" s="27"/>
      <c r="F241" s="28"/>
      <c r="G241" s="28"/>
      <c r="H241" s="25"/>
      <c r="I241" s="25"/>
      <c r="J241" s="28"/>
      <c r="K241" s="29" t="str">
        <f t="shared" si="31"/>
        <v/>
      </c>
      <c r="L241" s="25"/>
      <c r="M241" s="29" t="str">
        <f t="shared" si="32"/>
        <v/>
      </c>
      <c r="N241" s="28"/>
      <c r="O241" s="29" t="str">
        <f t="shared" si="33"/>
        <v/>
      </c>
      <c r="P241" s="29" t="str">
        <f t="shared" si="34"/>
        <v/>
      </c>
      <c r="Q241" s="24" t="str">
        <f t="shared" si="35"/>
        <v/>
      </c>
      <c r="R241" s="25"/>
      <c r="S241" s="27"/>
      <c r="T241" s="24" t="str">
        <f t="shared" si="36"/>
        <v/>
      </c>
      <c r="U241" s="24" t="str">
        <f t="shared" si="37"/>
        <v/>
      </c>
      <c r="V241" s="24">
        <f>IF(OR(U241="",D241=""),0,IF(SUMPRODUCT(--(U$4:U241=U241))&gt;1,1,0))</f>
        <v>0</v>
      </c>
      <c r="W241" s="24">
        <f t="shared" si="38"/>
        <v>0</v>
      </c>
      <c r="X241" s="24">
        <f t="shared" si="39"/>
        <v>0</v>
      </c>
    </row>
    <row r="242" spans="1:24" x14ac:dyDescent="0.25">
      <c r="A242" s="24">
        <v>239</v>
      </c>
      <c r="B242" s="25"/>
      <c r="C242" s="26" t="str">
        <f t="shared" si="30"/>
        <v/>
      </c>
      <c r="D242" s="25"/>
      <c r="E242" s="27"/>
      <c r="F242" s="28"/>
      <c r="G242" s="28"/>
      <c r="H242" s="25"/>
      <c r="I242" s="25"/>
      <c r="J242" s="28"/>
      <c r="K242" s="29" t="str">
        <f t="shared" si="31"/>
        <v/>
      </c>
      <c r="L242" s="25"/>
      <c r="M242" s="29" t="str">
        <f t="shared" si="32"/>
        <v/>
      </c>
      <c r="N242" s="28"/>
      <c r="O242" s="29" t="str">
        <f t="shared" si="33"/>
        <v/>
      </c>
      <c r="P242" s="29" t="str">
        <f t="shared" si="34"/>
        <v/>
      </c>
      <c r="Q242" s="24" t="str">
        <f t="shared" si="35"/>
        <v/>
      </c>
      <c r="R242" s="25"/>
      <c r="S242" s="27"/>
      <c r="T242" s="24" t="str">
        <f t="shared" si="36"/>
        <v/>
      </c>
      <c r="U242" s="24" t="str">
        <f t="shared" si="37"/>
        <v/>
      </c>
      <c r="V242" s="24">
        <f>IF(OR(U242="",D242=""),0,IF(SUMPRODUCT(--(U$4:U242=U242))&gt;1,1,0))</f>
        <v>0</v>
      </c>
      <c r="W242" s="24">
        <f t="shared" si="38"/>
        <v>0</v>
      </c>
      <c r="X242" s="24">
        <f t="shared" si="39"/>
        <v>0</v>
      </c>
    </row>
    <row r="243" spans="1:24" x14ac:dyDescent="0.25">
      <c r="A243" s="24">
        <v>240</v>
      </c>
      <c r="B243" s="25"/>
      <c r="C243" s="26" t="str">
        <f t="shared" si="30"/>
        <v/>
      </c>
      <c r="D243" s="25"/>
      <c r="E243" s="27"/>
      <c r="F243" s="28"/>
      <c r="G243" s="28"/>
      <c r="H243" s="25"/>
      <c r="I243" s="25"/>
      <c r="J243" s="28"/>
      <c r="K243" s="29" t="str">
        <f t="shared" si="31"/>
        <v/>
      </c>
      <c r="L243" s="25"/>
      <c r="M243" s="29" t="str">
        <f t="shared" si="32"/>
        <v/>
      </c>
      <c r="N243" s="28"/>
      <c r="O243" s="29" t="str">
        <f t="shared" si="33"/>
        <v/>
      </c>
      <c r="P243" s="29" t="str">
        <f t="shared" si="34"/>
        <v/>
      </c>
      <c r="Q243" s="24" t="str">
        <f t="shared" si="35"/>
        <v/>
      </c>
      <c r="R243" s="25"/>
      <c r="S243" s="27"/>
      <c r="T243" s="24" t="str">
        <f t="shared" si="36"/>
        <v/>
      </c>
      <c r="U243" s="24" t="str">
        <f t="shared" si="37"/>
        <v/>
      </c>
      <c r="V243" s="24">
        <f>IF(OR(U243="",D243=""),0,IF(SUMPRODUCT(--(U$4:U243=U243))&gt;1,1,0))</f>
        <v>0</v>
      </c>
      <c r="W243" s="24">
        <f t="shared" si="38"/>
        <v>0</v>
      </c>
      <c r="X243" s="24">
        <f t="shared" si="39"/>
        <v>0</v>
      </c>
    </row>
    <row r="244" spans="1:24" x14ac:dyDescent="0.25">
      <c r="A244" s="24">
        <v>241</v>
      </c>
      <c r="B244" s="25"/>
      <c r="C244" s="26" t="str">
        <f t="shared" si="30"/>
        <v/>
      </c>
      <c r="D244" s="25"/>
      <c r="E244" s="27"/>
      <c r="F244" s="28"/>
      <c r="G244" s="28"/>
      <c r="H244" s="25"/>
      <c r="I244" s="25"/>
      <c r="J244" s="28"/>
      <c r="K244" s="29" t="str">
        <f t="shared" si="31"/>
        <v/>
      </c>
      <c r="L244" s="25"/>
      <c r="M244" s="29" t="str">
        <f t="shared" si="32"/>
        <v/>
      </c>
      <c r="N244" s="28"/>
      <c r="O244" s="29" t="str">
        <f t="shared" si="33"/>
        <v/>
      </c>
      <c r="P244" s="29" t="str">
        <f t="shared" si="34"/>
        <v/>
      </c>
      <c r="Q244" s="24" t="str">
        <f t="shared" si="35"/>
        <v/>
      </c>
      <c r="R244" s="25"/>
      <c r="S244" s="27"/>
      <c r="T244" s="24" t="str">
        <f t="shared" si="36"/>
        <v/>
      </c>
      <c r="U244" s="24" t="str">
        <f t="shared" si="37"/>
        <v/>
      </c>
      <c r="V244" s="24">
        <f>IF(OR(U244="",D244=""),0,IF(SUMPRODUCT(--(U$4:U244=U244))&gt;1,1,0))</f>
        <v>0</v>
      </c>
      <c r="W244" s="24">
        <f t="shared" si="38"/>
        <v>0</v>
      </c>
      <c r="X244" s="24">
        <f t="shared" si="39"/>
        <v>0</v>
      </c>
    </row>
    <row r="245" spans="1:24" x14ac:dyDescent="0.25">
      <c r="A245" s="24">
        <v>242</v>
      </c>
      <c r="B245" s="25"/>
      <c r="C245" s="26" t="str">
        <f t="shared" si="30"/>
        <v/>
      </c>
      <c r="D245" s="25"/>
      <c r="E245" s="27"/>
      <c r="F245" s="28"/>
      <c r="G245" s="28"/>
      <c r="H245" s="25"/>
      <c r="I245" s="25"/>
      <c r="J245" s="28"/>
      <c r="K245" s="29" t="str">
        <f t="shared" si="31"/>
        <v/>
      </c>
      <c r="L245" s="25"/>
      <c r="M245" s="29" t="str">
        <f t="shared" si="32"/>
        <v/>
      </c>
      <c r="N245" s="28"/>
      <c r="O245" s="29" t="str">
        <f t="shared" si="33"/>
        <v/>
      </c>
      <c r="P245" s="29" t="str">
        <f t="shared" si="34"/>
        <v/>
      </c>
      <c r="Q245" s="24" t="str">
        <f t="shared" si="35"/>
        <v/>
      </c>
      <c r="R245" s="25"/>
      <c r="S245" s="27"/>
      <c r="T245" s="24" t="str">
        <f t="shared" si="36"/>
        <v/>
      </c>
      <c r="U245" s="24" t="str">
        <f t="shared" si="37"/>
        <v/>
      </c>
      <c r="V245" s="24">
        <f>IF(OR(U245="",D245=""),0,IF(SUMPRODUCT(--(U$4:U245=U245))&gt;1,1,0))</f>
        <v>0</v>
      </c>
      <c r="W245" s="24">
        <f t="shared" si="38"/>
        <v>0</v>
      </c>
      <c r="X245" s="24">
        <f t="shared" si="39"/>
        <v>0</v>
      </c>
    </row>
    <row r="246" spans="1:24" x14ac:dyDescent="0.25">
      <c r="A246" s="24">
        <v>243</v>
      </c>
      <c r="B246" s="25"/>
      <c r="C246" s="26" t="str">
        <f t="shared" si="30"/>
        <v/>
      </c>
      <c r="D246" s="25"/>
      <c r="E246" s="27"/>
      <c r="F246" s="28"/>
      <c r="G246" s="28"/>
      <c r="H246" s="25"/>
      <c r="I246" s="25"/>
      <c r="J246" s="28"/>
      <c r="K246" s="29" t="str">
        <f t="shared" si="31"/>
        <v/>
      </c>
      <c r="L246" s="25"/>
      <c r="M246" s="29" t="str">
        <f t="shared" si="32"/>
        <v/>
      </c>
      <c r="N246" s="28"/>
      <c r="O246" s="29" t="str">
        <f t="shared" si="33"/>
        <v/>
      </c>
      <c r="P246" s="29" t="str">
        <f t="shared" si="34"/>
        <v/>
      </c>
      <c r="Q246" s="24" t="str">
        <f t="shared" si="35"/>
        <v/>
      </c>
      <c r="R246" s="25"/>
      <c r="S246" s="27"/>
      <c r="T246" s="24" t="str">
        <f t="shared" si="36"/>
        <v/>
      </c>
      <c r="U246" s="24" t="str">
        <f t="shared" si="37"/>
        <v/>
      </c>
      <c r="V246" s="24">
        <f>IF(OR(U246="",D246=""),0,IF(SUMPRODUCT(--(U$4:U246=U246))&gt;1,1,0))</f>
        <v>0</v>
      </c>
      <c r="W246" s="24">
        <f t="shared" si="38"/>
        <v>0</v>
      </c>
      <c r="X246" s="24">
        <f t="shared" si="39"/>
        <v>0</v>
      </c>
    </row>
    <row r="247" spans="1:24" x14ac:dyDescent="0.25">
      <c r="A247" s="24">
        <v>244</v>
      </c>
      <c r="B247" s="25"/>
      <c r="C247" s="26" t="str">
        <f t="shared" si="30"/>
        <v/>
      </c>
      <c r="D247" s="25"/>
      <c r="E247" s="27"/>
      <c r="F247" s="28"/>
      <c r="G247" s="28"/>
      <c r="H247" s="25"/>
      <c r="I247" s="25"/>
      <c r="J247" s="28"/>
      <c r="K247" s="29" t="str">
        <f t="shared" si="31"/>
        <v/>
      </c>
      <c r="L247" s="25"/>
      <c r="M247" s="29" t="str">
        <f t="shared" si="32"/>
        <v/>
      </c>
      <c r="N247" s="28"/>
      <c r="O247" s="29" t="str">
        <f t="shared" si="33"/>
        <v/>
      </c>
      <c r="P247" s="29" t="str">
        <f t="shared" si="34"/>
        <v/>
      </c>
      <c r="Q247" s="24" t="str">
        <f t="shared" si="35"/>
        <v/>
      </c>
      <c r="R247" s="25"/>
      <c r="S247" s="27"/>
      <c r="T247" s="24" t="str">
        <f t="shared" si="36"/>
        <v/>
      </c>
      <c r="U247" s="24" t="str">
        <f t="shared" si="37"/>
        <v/>
      </c>
      <c r="V247" s="24">
        <f>IF(OR(U247="",D247=""),0,IF(SUMPRODUCT(--(U$4:U247=U247))&gt;1,1,0))</f>
        <v>0</v>
      </c>
      <c r="W247" s="24">
        <f t="shared" si="38"/>
        <v>0</v>
      </c>
      <c r="X247" s="24">
        <f t="shared" si="39"/>
        <v>0</v>
      </c>
    </row>
    <row r="248" spans="1:24" x14ac:dyDescent="0.25">
      <c r="A248" s="24">
        <v>245</v>
      </c>
      <c r="B248" s="25"/>
      <c r="C248" s="26" t="str">
        <f t="shared" si="30"/>
        <v/>
      </c>
      <c r="D248" s="25"/>
      <c r="E248" s="27"/>
      <c r="F248" s="28"/>
      <c r="G248" s="28"/>
      <c r="H248" s="25"/>
      <c r="I248" s="25"/>
      <c r="J248" s="28"/>
      <c r="K248" s="29" t="str">
        <f t="shared" si="31"/>
        <v/>
      </c>
      <c r="L248" s="25"/>
      <c r="M248" s="29" t="str">
        <f t="shared" si="32"/>
        <v/>
      </c>
      <c r="N248" s="28"/>
      <c r="O248" s="29" t="str">
        <f t="shared" si="33"/>
        <v/>
      </c>
      <c r="P248" s="29" t="str">
        <f t="shared" si="34"/>
        <v/>
      </c>
      <c r="Q248" s="24" t="str">
        <f t="shared" si="35"/>
        <v/>
      </c>
      <c r="R248" s="25"/>
      <c r="S248" s="27"/>
      <c r="T248" s="24" t="str">
        <f t="shared" si="36"/>
        <v/>
      </c>
      <c r="U248" s="24" t="str">
        <f t="shared" si="37"/>
        <v/>
      </c>
      <c r="V248" s="24">
        <f>IF(OR(U248="",D248=""),0,IF(SUMPRODUCT(--(U$4:U248=U248))&gt;1,1,0))</f>
        <v>0</v>
      </c>
      <c r="W248" s="24">
        <f t="shared" si="38"/>
        <v>0</v>
      </c>
      <c r="X248" s="24">
        <f t="shared" si="39"/>
        <v>0</v>
      </c>
    </row>
    <row r="249" spans="1:24" x14ac:dyDescent="0.25">
      <c r="A249" s="24">
        <v>246</v>
      </c>
      <c r="B249" s="25"/>
      <c r="C249" s="26" t="str">
        <f t="shared" si="30"/>
        <v/>
      </c>
      <c r="D249" s="25"/>
      <c r="E249" s="27"/>
      <c r="F249" s="28"/>
      <c r="G249" s="28"/>
      <c r="H249" s="25"/>
      <c r="I249" s="25"/>
      <c r="J249" s="28"/>
      <c r="K249" s="29" t="str">
        <f t="shared" si="31"/>
        <v/>
      </c>
      <c r="L249" s="25"/>
      <c r="M249" s="29" t="str">
        <f t="shared" si="32"/>
        <v/>
      </c>
      <c r="N249" s="28"/>
      <c r="O249" s="29" t="str">
        <f t="shared" si="33"/>
        <v/>
      </c>
      <c r="P249" s="29" t="str">
        <f t="shared" si="34"/>
        <v/>
      </c>
      <c r="Q249" s="24" t="str">
        <f t="shared" si="35"/>
        <v/>
      </c>
      <c r="R249" s="25"/>
      <c r="S249" s="27"/>
      <c r="T249" s="24" t="str">
        <f t="shared" si="36"/>
        <v/>
      </c>
      <c r="U249" s="24" t="str">
        <f t="shared" si="37"/>
        <v/>
      </c>
      <c r="V249" s="24">
        <f>IF(OR(U249="",D249=""),0,IF(SUMPRODUCT(--(U$4:U249=U249))&gt;1,1,0))</f>
        <v>0</v>
      </c>
      <c r="W249" s="24">
        <f t="shared" si="38"/>
        <v>0</v>
      </c>
      <c r="X249" s="24">
        <f t="shared" si="39"/>
        <v>0</v>
      </c>
    </row>
    <row r="250" spans="1:24" x14ac:dyDescent="0.25">
      <c r="A250" s="24">
        <v>247</v>
      </c>
      <c r="B250" s="25"/>
      <c r="C250" s="26" t="str">
        <f t="shared" si="30"/>
        <v/>
      </c>
      <c r="D250" s="25"/>
      <c r="E250" s="27"/>
      <c r="F250" s="28"/>
      <c r="G250" s="28"/>
      <c r="H250" s="25"/>
      <c r="I250" s="25"/>
      <c r="J250" s="28"/>
      <c r="K250" s="29" t="str">
        <f t="shared" si="31"/>
        <v/>
      </c>
      <c r="L250" s="25"/>
      <c r="M250" s="29" t="str">
        <f t="shared" si="32"/>
        <v/>
      </c>
      <c r="N250" s="28"/>
      <c r="O250" s="29" t="str">
        <f t="shared" si="33"/>
        <v/>
      </c>
      <c r="P250" s="29" t="str">
        <f t="shared" si="34"/>
        <v/>
      </c>
      <c r="Q250" s="24" t="str">
        <f t="shared" si="35"/>
        <v/>
      </c>
      <c r="R250" s="25"/>
      <c r="S250" s="27"/>
      <c r="T250" s="24" t="str">
        <f t="shared" si="36"/>
        <v/>
      </c>
      <c r="U250" s="24" t="str">
        <f t="shared" si="37"/>
        <v/>
      </c>
      <c r="V250" s="24">
        <f>IF(OR(U250="",D250=""),0,IF(SUMPRODUCT(--(U$4:U250=U250))&gt;1,1,0))</f>
        <v>0</v>
      </c>
      <c r="W250" s="24">
        <f t="shared" si="38"/>
        <v>0</v>
      </c>
      <c r="X250" s="24">
        <f t="shared" si="39"/>
        <v>0</v>
      </c>
    </row>
    <row r="251" spans="1:24" x14ac:dyDescent="0.25">
      <c r="A251" s="24">
        <v>248</v>
      </c>
      <c r="B251" s="25"/>
      <c r="C251" s="26" t="str">
        <f t="shared" si="30"/>
        <v/>
      </c>
      <c r="D251" s="25"/>
      <c r="E251" s="27"/>
      <c r="F251" s="28"/>
      <c r="G251" s="28"/>
      <c r="H251" s="25"/>
      <c r="I251" s="25"/>
      <c r="J251" s="28"/>
      <c r="K251" s="29" t="str">
        <f t="shared" si="31"/>
        <v/>
      </c>
      <c r="L251" s="25"/>
      <c r="M251" s="29" t="str">
        <f t="shared" si="32"/>
        <v/>
      </c>
      <c r="N251" s="28"/>
      <c r="O251" s="29" t="str">
        <f t="shared" si="33"/>
        <v/>
      </c>
      <c r="P251" s="29" t="str">
        <f t="shared" si="34"/>
        <v/>
      </c>
      <c r="Q251" s="24" t="str">
        <f t="shared" si="35"/>
        <v/>
      </c>
      <c r="R251" s="25"/>
      <c r="S251" s="27"/>
      <c r="T251" s="24" t="str">
        <f t="shared" si="36"/>
        <v/>
      </c>
      <c r="U251" s="24" t="str">
        <f t="shared" si="37"/>
        <v/>
      </c>
      <c r="V251" s="24">
        <f>IF(OR(U251="",D251=""),0,IF(SUMPRODUCT(--(U$4:U251=U251))&gt;1,1,0))</f>
        <v>0</v>
      </c>
      <c r="W251" s="24">
        <f t="shared" si="38"/>
        <v>0</v>
      </c>
      <c r="X251" s="24">
        <f t="shared" si="39"/>
        <v>0</v>
      </c>
    </row>
    <row r="252" spans="1:24" x14ac:dyDescent="0.25">
      <c r="A252" s="24">
        <v>249</v>
      </c>
      <c r="B252" s="25"/>
      <c r="C252" s="26" t="str">
        <f t="shared" si="30"/>
        <v/>
      </c>
      <c r="D252" s="25"/>
      <c r="E252" s="27"/>
      <c r="F252" s="28"/>
      <c r="G252" s="28"/>
      <c r="H252" s="25"/>
      <c r="I252" s="25"/>
      <c r="J252" s="28"/>
      <c r="K252" s="29" t="str">
        <f t="shared" si="31"/>
        <v/>
      </c>
      <c r="L252" s="25"/>
      <c r="M252" s="29" t="str">
        <f t="shared" si="32"/>
        <v/>
      </c>
      <c r="N252" s="28"/>
      <c r="O252" s="29" t="str">
        <f t="shared" si="33"/>
        <v/>
      </c>
      <c r="P252" s="29" t="str">
        <f t="shared" si="34"/>
        <v/>
      </c>
      <c r="Q252" s="24" t="str">
        <f t="shared" si="35"/>
        <v/>
      </c>
      <c r="R252" s="25"/>
      <c r="S252" s="27"/>
      <c r="T252" s="24" t="str">
        <f t="shared" si="36"/>
        <v/>
      </c>
      <c r="U252" s="24" t="str">
        <f t="shared" si="37"/>
        <v/>
      </c>
      <c r="V252" s="24">
        <f>IF(OR(U252="",D252=""),0,IF(SUMPRODUCT(--(U$4:U252=U252))&gt;1,1,0))</f>
        <v>0</v>
      </c>
      <c r="W252" s="24">
        <f t="shared" si="38"/>
        <v>0</v>
      </c>
      <c r="X252" s="24">
        <f t="shared" si="39"/>
        <v>0</v>
      </c>
    </row>
    <row r="253" spans="1:24" x14ac:dyDescent="0.25">
      <c r="A253" s="24">
        <v>250</v>
      </c>
      <c r="B253" s="25"/>
      <c r="C253" s="26" t="str">
        <f t="shared" si="30"/>
        <v/>
      </c>
      <c r="D253" s="25"/>
      <c r="E253" s="27"/>
      <c r="F253" s="28"/>
      <c r="G253" s="28"/>
      <c r="H253" s="25"/>
      <c r="I253" s="25"/>
      <c r="J253" s="28"/>
      <c r="K253" s="29" t="str">
        <f t="shared" si="31"/>
        <v/>
      </c>
      <c r="L253" s="25"/>
      <c r="M253" s="29" t="str">
        <f t="shared" si="32"/>
        <v/>
      </c>
      <c r="N253" s="28"/>
      <c r="O253" s="29" t="str">
        <f t="shared" si="33"/>
        <v/>
      </c>
      <c r="P253" s="29" t="str">
        <f t="shared" si="34"/>
        <v/>
      </c>
      <c r="Q253" s="24" t="str">
        <f t="shared" si="35"/>
        <v/>
      </c>
      <c r="R253" s="25"/>
      <c r="S253" s="27"/>
      <c r="T253" s="24" t="str">
        <f t="shared" si="36"/>
        <v/>
      </c>
      <c r="U253" s="24" t="str">
        <f t="shared" si="37"/>
        <v/>
      </c>
      <c r="V253" s="24">
        <f>IF(OR(U253="",D253=""),0,IF(SUMPRODUCT(--(U$4:U253=U253))&gt;1,1,0))</f>
        <v>0</v>
      </c>
      <c r="W253" s="24">
        <f t="shared" si="38"/>
        <v>0</v>
      </c>
      <c r="X253" s="24">
        <f t="shared" si="39"/>
        <v>0</v>
      </c>
    </row>
    <row r="254" spans="1:24" x14ac:dyDescent="0.25">
      <c r="A254" s="24">
        <v>251</v>
      </c>
      <c r="B254" s="25"/>
      <c r="C254" s="26" t="str">
        <f t="shared" si="30"/>
        <v/>
      </c>
      <c r="D254" s="25"/>
      <c r="E254" s="27"/>
      <c r="F254" s="28"/>
      <c r="G254" s="28"/>
      <c r="H254" s="25"/>
      <c r="I254" s="25"/>
      <c r="J254" s="28"/>
      <c r="K254" s="29" t="str">
        <f t="shared" si="31"/>
        <v/>
      </c>
      <c r="L254" s="25"/>
      <c r="M254" s="29" t="str">
        <f t="shared" si="32"/>
        <v/>
      </c>
      <c r="N254" s="28"/>
      <c r="O254" s="29" t="str">
        <f t="shared" si="33"/>
        <v/>
      </c>
      <c r="P254" s="29" t="str">
        <f t="shared" si="34"/>
        <v/>
      </c>
      <c r="Q254" s="24" t="str">
        <f t="shared" si="35"/>
        <v/>
      </c>
      <c r="R254" s="25"/>
      <c r="S254" s="27"/>
      <c r="T254" s="24" t="str">
        <f t="shared" si="36"/>
        <v/>
      </c>
      <c r="U254" s="24" t="str">
        <f t="shared" si="37"/>
        <v/>
      </c>
      <c r="V254" s="24">
        <f>IF(OR(U254="",D254=""),0,IF(SUMPRODUCT(--(U$4:U254=U254))&gt;1,1,0))</f>
        <v>0</v>
      </c>
      <c r="W254" s="24">
        <f t="shared" si="38"/>
        <v>0</v>
      </c>
      <c r="X254" s="24">
        <f t="shared" si="39"/>
        <v>0</v>
      </c>
    </row>
    <row r="255" spans="1:24" x14ac:dyDescent="0.25">
      <c r="A255" s="24">
        <v>252</v>
      </c>
      <c r="B255" s="25"/>
      <c r="C255" s="26" t="str">
        <f t="shared" si="30"/>
        <v/>
      </c>
      <c r="D255" s="25"/>
      <c r="E255" s="27"/>
      <c r="F255" s="28"/>
      <c r="G255" s="28"/>
      <c r="H255" s="25"/>
      <c r="I255" s="25"/>
      <c r="J255" s="28"/>
      <c r="K255" s="29" t="str">
        <f t="shared" si="31"/>
        <v/>
      </c>
      <c r="L255" s="25"/>
      <c r="M255" s="29" t="str">
        <f t="shared" si="32"/>
        <v/>
      </c>
      <c r="N255" s="28"/>
      <c r="O255" s="29" t="str">
        <f t="shared" si="33"/>
        <v/>
      </c>
      <c r="P255" s="29" t="str">
        <f t="shared" si="34"/>
        <v/>
      </c>
      <c r="Q255" s="24" t="str">
        <f t="shared" si="35"/>
        <v/>
      </c>
      <c r="R255" s="25"/>
      <c r="S255" s="27"/>
      <c r="T255" s="24" t="str">
        <f t="shared" si="36"/>
        <v/>
      </c>
      <c r="U255" s="24" t="str">
        <f t="shared" si="37"/>
        <v/>
      </c>
      <c r="V255" s="24">
        <f>IF(OR(U255="",D255=""),0,IF(SUMPRODUCT(--(U$4:U255=U255))&gt;1,1,0))</f>
        <v>0</v>
      </c>
      <c r="W255" s="24">
        <f t="shared" si="38"/>
        <v>0</v>
      </c>
      <c r="X255" s="24">
        <f t="shared" si="39"/>
        <v>0</v>
      </c>
    </row>
    <row r="256" spans="1:24" x14ac:dyDescent="0.25">
      <c r="A256" s="24">
        <v>253</v>
      </c>
      <c r="B256" s="25"/>
      <c r="C256" s="26" t="str">
        <f t="shared" si="30"/>
        <v/>
      </c>
      <c r="D256" s="25"/>
      <c r="E256" s="27"/>
      <c r="F256" s="28"/>
      <c r="G256" s="28"/>
      <c r="H256" s="25"/>
      <c r="I256" s="25"/>
      <c r="J256" s="28"/>
      <c r="K256" s="29" t="str">
        <f t="shared" si="31"/>
        <v/>
      </c>
      <c r="L256" s="25"/>
      <c r="M256" s="29" t="str">
        <f t="shared" si="32"/>
        <v/>
      </c>
      <c r="N256" s="28"/>
      <c r="O256" s="29" t="str">
        <f t="shared" si="33"/>
        <v/>
      </c>
      <c r="P256" s="29" t="str">
        <f t="shared" si="34"/>
        <v/>
      </c>
      <c r="Q256" s="24" t="str">
        <f t="shared" si="35"/>
        <v/>
      </c>
      <c r="R256" s="25"/>
      <c r="S256" s="27"/>
      <c r="T256" s="24" t="str">
        <f t="shared" si="36"/>
        <v/>
      </c>
      <c r="U256" s="24" t="str">
        <f t="shared" si="37"/>
        <v/>
      </c>
      <c r="V256" s="24">
        <f>IF(OR(U256="",D256=""),0,IF(SUMPRODUCT(--(U$4:U256=U256))&gt;1,1,0))</f>
        <v>0</v>
      </c>
      <c r="W256" s="24">
        <f t="shared" si="38"/>
        <v>0</v>
      </c>
      <c r="X256" s="24">
        <f t="shared" si="39"/>
        <v>0</v>
      </c>
    </row>
    <row r="257" spans="1:24" x14ac:dyDescent="0.25">
      <c r="A257" s="24">
        <v>254</v>
      </c>
      <c r="B257" s="25"/>
      <c r="C257" s="26" t="str">
        <f t="shared" si="30"/>
        <v/>
      </c>
      <c r="D257" s="25"/>
      <c r="E257" s="27"/>
      <c r="F257" s="28"/>
      <c r="G257" s="28"/>
      <c r="H257" s="25"/>
      <c r="I257" s="25"/>
      <c r="J257" s="28"/>
      <c r="K257" s="29" t="str">
        <f t="shared" si="31"/>
        <v/>
      </c>
      <c r="L257" s="25"/>
      <c r="M257" s="29" t="str">
        <f t="shared" si="32"/>
        <v/>
      </c>
      <c r="N257" s="28"/>
      <c r="O257" s="29" t="str">
        <f t="shared" si="33"/>
        <v/>
      </c>
      <c r="P257" s="29" t="str">
        <f t="shared" si="34"/>
        <v/>
      </c>
      <c r="Q257" s="24" t="str">
        <f t="shared" si="35"/>
        <v/>
      </c>
      <c r="R257" s="25"/>
      <c r="S257" s="27"/>
      <c r="T257" s="24" t="str">
        <f t="shared" si="36"/>
        <v/>
      </c>
      <c r="U257" s="24" t="str">
        <f t="shared" si="37"/>
        <v/>
      </c>
      <c r="V257" s="24">
        <f>IF(OR(U257="",D257=""),0,IF(SUMPRODUCT(--(U$4:U257=U257))&gt;1,1,0))</f>
        <v>0</v>
      </c>
      <c r="W257" s="24">
        <f t="shared" si="38"/>
        <v>0</v>
      </c>
      <c r="X257" s="24">
        <f t="shared" si="39"/>
        <v>0</v>
      </c>
    </row>
    <row r="258" spans="1:24" x14ac:dyDescent="0.25">
      <c r="A258" s="24">
        <v>255</v>
      </c>
      <c r="B258" s="25"/>
      <c r="C258" s="26" t="str">
        <f t="shared" si="30"/>
        <v/>
      </c>
      <c r="D258" s="25"/>
      <c r="E258" s="27"/>
      <c r="F258" s="28"/>
      <c r="G258" s="28"/>
      <c r="H258" s="25"/>
      <c r="I258" s="25"/>
      <c r="J258" s="28"/>
      <c r="K258" s="29" t="str">
        <f t="shared" si="31"/>
        <v/>
      </c>
      <c r="L258" s="25"/>
      <c r="M258" s="29" t="str">
        <f t="shared" si="32"/>
        <v/>
      </c>
      <c r="N258" s="28"/>
      <c r="O258" s="29" t="str">
        <f t="shared" si="33"/>
        <v/>
      </c>
      <c r="P258" s="29" t="str">
        <f t="shared" si="34"/>
        <v/>
      </c>
      <c r="Q258" s="24" t="str">
        <f t="shared" si="35"/>
        <v/>
      </c>
      <c r="R258" s="25"/>
      <c r="S258" s="27"/>
      <c r="T258" s="24" t="str">
        <f t="shared" si="36"/>
        <v/>
      </c>
      <c r="U258" s="24" t="str">
        <f t="shared" si="37"/>
        <v/>
      </c>
      <c r="V258" s="24">
        <f>IF(OR(U258="",D258=""),0,IF(SUMPRODUCT(--(U$4:U258=U258))&gt;1,1,0))</f>
        <v>0</v>
      </c>
      <c r="W258" s="24">
        <f t="shared" si="38"/>
        <v>0</v>
      </c>
      <c r="X258" s="24">
        <f t="shared" si="39"/>
        <v>0</v>
      </c>
    </row>
    <row r="259" spans="1:24" x14ac:dyDescent="0.25">
      <c r="A259" s="24">
        <v>256</v>
      </c>
      <c r="B259" s="25"/>
      <c r="C259" s="26" t="str">
        <f t="shared" si="30"/>
        <v/>
      </c>
      <c r="D259" s="25"/>
      <c r="E259" s="27"/>
      <c r="F259" s="28"/>
      <c r="G259" s="28"/>
      <c r="H259" s="25"/>
      <c r="I259" s="25"/>
      <c r="J259" s="28"/>
      <c r="K259" s="29" t="str">
        <f t="shared" si="31"/>
        <v/>
      </c>
      <c r="L259" s="25"/>
      <c r="M259" s="29" t="str">
        <f t="shared" si="32"/>
        <v/>
      </c>
      <c r="N259" s="28"/>
      <c r="O259" s="29" t="str">
        <f t="shared" si="33"/>
        <v/>
      </c>
      <c r="P259" s="29" t="str">
        <f t="shared" si="34"/>
        <v/>
      </c>
      <c r="Q259" s="24" t="str">
        <f t="shared" si="35"/>
        <v/>
      </c>
      <c r="R259" s="25"/>
      <c r="S259" s="27"/>
      <c r="T259" s="24" t="str">
        <f t="shared" si="36"/>
        <v/>
      </c>
      <c r="U259" s="24" t="str">
        <f t="shared" si="37"/>
        <v/>
      </c>
      <c r="V259" s="24">
        <f>IF(OR(U259="",D259=""),0,IF(SUMPRODUCT(--(U$4:U259=U259))&gt;1,1,0))</f>
        <v>0</v>
      </c>
      <c r="W259" s="24">
        <f t="shared" si="38"/>
        <v>0</v>
      </c>
      <c r="X259" s="24">
        <f t="shared" si="39"/>
        <v>0</v>
      </c>
    </row>
    <row r="260" spans="1:24" x14ac:dyDescent="0.25">
      <c r="A260" s="24">
        <v>257</v>
      </c>
      <c r="B260" s="25"/>
      <c r="C260" s="26" t="str">
        <f t="shared" ref="C260:C323" si="40">IF(B260="","",IFERROR(INDEX(SpaceNames,MATCH(B260,SpaceCodes,0))&amp;"",""))</f>
        <v/>
      </c>
      <c r="D260" s="25"/>
      <c r="E260" s="27"/>
      <c r="F260" s="28"/>
      <c r="G260" s="28"/>
      <c r="H260" s="25"/>
      <c r="I260" s="25"/>
      <c r="J260" s="28"/>
      <c r="K260" s="29" t="str">
        <f t="shared" ref="K260:K323" si="41">IF(U260="","",IF(V260=1,0,IF(I260="يدوي",IF(J260&lt;&gt;"",J260*IF(H260="",1,H260),""),IF(AND(F260&lt;&gt;"",G260&lt;&gt;""),F260*G260*IF(H260="",1,H260),""))))</f>
        <v/>
      </c>
      <c r="L260" s="25"/>
      <c r="M260" s="29" t="str">
        <f t="shared" ref="M260:M323" si="42">IF(U260="","",IF(OR(X260=0,B260="",D260=""),0,IF(E260="",0,SUMIFS(OP_Area,OP_Space,B260,OP_Wall,D260,OP_DedFin,"نعم",OP_Target,E260))+IF(W260=1,SUMIFS(OP_Area,OP_Space,B260,OP_Wall,D260,OP_DedFin,"نعم",OP_Target,""),0)))</f>
        <v/>
      </c>
      <c r="N260" s="28"/>
      <c r="O260" s="29" t="str">
        <f t="shared" ref="O260:O323" si="43">IF(OR(U260="",K260=""),"",N(M260)+N(N260))</f>
        <v/>
      </c>
      <c r="P260" s="29" t="str">
        <f t="shared" ref="P260:P323" si="44">IF(OR(U260="",K260=""),"",K260-O260)</f>
        <v/>
      </c>
      <c r="Q260" s="24" t="str">
        <f t="shared" ref="Q260:Q323" si="45">IF(E260="","",IFERROR(IF(INDEX(WallUnit,MATCH(E260,WallMat,0))="","م²",INDEX(WallUnit,MATCH(E260,WallMat,0))),"م²"))</f>
        <v/>
      </c>
      <c r="R260" s="25"/>
      <c r="S260" s="27"/>
      <c r="T260" s="24" t="str">
        <f t="shared" ref="T260:T323" si="46">IF(U260="","",IF(V260=1,"تكرار — غير محتسب",IF(B260="","ناقص بيانات: كود الفراغ",IF(COUNTIF(SpaceCodes,B260)=0,"ناقص بيانات: الفراغ غير مسجل",IF(D260="","ناقص بيانات: كود الحائط",IF(E260="","ناقص بيانات: الخامة",IF(AND(K260="",I260="يدوي"),"ناقص قياس: أدخل المساحة المباشرة",IF(AND(K260="",J260&lt;&gt;""),"ناقص قياس: اختر «يدوي» أو أدخل الطول والارتفاع",IF(K260="","ناقص قياس",IF(O260&gt;K260+0.000001,"خطأ خصم: الخصم أكبر من الإجمالي",IF(R260="نعم","يحتاج مراجعة","مكتمل")))))))))))</f>
        <v/>
      </c>
      <c r="U260" s="24" t="str">
        <f t="shared" ref="U260:U323" si="47">IF(COUNTA(B260,D260:J260,N260)=0,"",B260&amp;"|"&amp;D260&amp;"|"&amp;E260)</f>
        <v/>
      </c>
      <c r="V260" s="24">
        <f>IF(OR(U260="",D260=""),0,IF(SUMPRODUCT(--(U$4:U260=U260))&gt;1,1,0))</f>
        <v>0</v>
      </c>
      <c r="W260" s="24">
        <f t="shared" ref="W260:W323" si="48">IF(OR(U260="",B260="",D260=""),0,COUNTIFS(WL_Space,B260,WL_Wall,D260,WL_Dup,0))</f>
        <v>0</v>
      </c>
      <c r="X260" s="24">
        <f t="shared" ref="X260:X323" si="49">IF(OR(U260="",V260=1,L260="لا"),0,1)</f>
        <v>0</v>
      </c>
    </row>
    <row r="261" spans="1:24" x14ac:dyDescent="0.25">
      <c r="A261" s="24">
        <v>258</v>
      </c>
      <c r="B261" s="25"/>
      <c r="C261" s="26" t="str">
        <f t="shared" si="40"/>
        <v/>
      </c>
      <c r="D261" s="25"/>
      <c r="E261" s="27"/>
      <c r="F261" s="28"/>
      <c r="G261" s="28"/>
      <c r="H261" s="25"/>
      <c r="I261" s="25"/>
      <c r="J261" s="28"/>
      <c r="K261" s="29" t="str">
        <f t="shared" si="41"/>
        <v/>
      </c>
      <c r="L261" s="25"/>
      <c r="M261" s="29" t="str">
        <f t="shared" si="42"/>
        <v/>
      </c>
      <c r="N261" s="28"/>
      <c r="O261" s="29" t="str">
        <f t="shared" si="43"/>
        <v/>
      </c>
      <c r="P261" s="29" t="str">
        <f t="shared" si="44"/>
        <v/>
      </c>
      <c r="Q261" s="24" t="str">
        <f t="shared" si="45"/>
        <v/>
      </c>
      <c r="R261" s="25"/>
      <c r="S261" s="27"/>
      <c r="T261" s="24" t="str">
        <f t="shared" si="46"/>
        <v/>
      </c>
      <c r="U261" s="24" t="str">
        <f t="shared" si="47"/>
        <v/>
      </c>
      <c r="V261" s="24">
        <f>IF(OR(U261="",D261=""),0,IF(SUMPRODUCT(--(U$4:U261=U261))&gt;1,1,0))</f>
        <v>0</v>
      </c>
      <c r="W261" s="24">
        <f t="shared" si="48"/>
        <v>0</v>
      </c>
      <c r="X261" s="24">
        <f t="shared" si="49"/>
        <v>0</v>
      </c>
    </row>
    <row r="262" spans="1:24" x14ac:dyDescent="0.25">
      <c r="A262" s="24">
        <v>259</v>
      </c>
      <c r="B262" s="25"/>
      <c r="C262" s="26" t="str">
        <f t="shared" si="40"/>
        <v/>
      </c>
      <c r="D262" s="25"/>
      <c r="E262" s="27"/>
      <c r="F262" s="28"/>
      <c r="G262" s="28"/>
      <c r="H262" s="25"/>
      <c r="I262" s="25"/>
      <c r="J262" s="28"/>
      <c r="K262" s="29" t="str">
        <f t="shared" si="41"/>
        <v/>
      </c>
      <c r="L262" s="25"/>
      <c r="M262" s="29" t="str">
        <f t="shared" si="42"/>
        <v/>
      </c>
      <c r="N262" s="28"/>
      <c r="O262" s="29" t="str">
        <f t="shared" si="43"/>
        <v/>
      </c>
      <c r="P262" s="29" t="str">
        <f t="shared" si="44"/>
        <v/>
      </c>
      <c r="Q262" s="24" t="str">
        <f t="shared" si="45"/>
        <v/>
      </c>
      <c r="R262" s="25"/>
      <c r="S262" s="27"/>
      <c r="T262" s="24" t="str">
        <f t="shared" si="46"/>
        <v/>
      </c>
      <c r="U262" s="24" t="str">
        <f t="shared" si="47"/>
        <v/>
      </c>
      <c r="V262" s="24">
        <f>IF(OR(U262="",D262=""),0,IF(SUMPRODUCT(--(U$4:U262=U262))&gt;1,1,0))</f>
        <v>0</v>
      </c>
      <c r="W262" s="24">
        <f t="shared" si="48"/>
        <v>0</v>
      </c>
      <c r="X262" s="24">
        <f t="shared" si="49"/>
        <v>0</v>
      </c>
    </row>
    <row r="263" spans="1:24" x14ac:dyDescent="0.25">
      <c r="A263" s="24">
        <v>260</v>
      </c>
      <c r="B263" s="25"/>
      <c r="C263" s="26" t="str">
        <f t="shared" si="40"/>
        <v/>
      </c>
      <c r="D263" s="25"/>
      <c r="E263" s="27"/>
      <c r="F263" s="28"/>
      <c r="G263" s="28"/>
      <c r="H263" s="25"/>
      <c r="I263" s="25"/>
      <c r="J263" s="28"/>
      <c r="K263" s="29" t="str">
        <f t="shared" si="41"/>
        <v/>
      </c>
      <c r="L263" s="25"/>
      <c r="M263" s="29" t="str">
        <f t="shared" si="42"/>
        <v/>
      </c>
      <c r="N263" s="28"/>
      <c r="O263" s="29" t="str">
        <f t="shared" si="43"/>
        <v/>
      </c>
      <c r="P263" s="29" t="str">
        <f t="shared" si="44"/>
        <v/>
      </c>
      <c r="Q263" s="24" t="str">
        <f t="shared" si="45"/>
        <v/>
      </c>
      <c r="R263" s="25"/>
      <c r="S263" s="27"/>
      <c r="T263" s="24" t="str">
        <f t="shared" si="46"/>
        <v/>
      </c>
      <c r="U263" s="24" t="str">
        <f t="shared" si="47"/>
        <v/>
      </c>
      <c r="V263" s="24">
        <f>IF(OR(U263="",D263=""),0,IF(SUMPRODUCT(--(U$4:U263=U263))&gt;1,1,0))</f>
        <v>0</v>
      </c>
      <c r="W263" s="24">
        <f t="shared" si="48"/>
        <v>0</v>
      </c>
      <c r="X263" s="24">
        <f t="shared" si="49"/>
        <v>0</v>
      </c>
    </row>
    <row r="264" spans="1:24" x14ac:dyDescent="0.25">
      <c r="A264" s="24">
        <v>261</v>
      </c>
      <c r="B264" s="25"/>
      <c r="C264" s="26" t="str">
        <f t="shared" si="40"/>
        <v/>
      </c>
      <c r="D264" s="25"/>
      <c r="E264" s="27"/>
      <c r="F264" s="28"/>
      <c r="G264" s="28"/>
      <c r="H264" s="25"/>
      <c r="I264" s="25"/>
      <c r="J264" s="28"/>
      <c r="K264" s="29" t="str">
        <f t="shared" si="41"/>
        <v/>
      </c>
      <c r="L264" s="25"/>
      <c r="M264" s="29" t="str">
        <f t="shared" si="42"/>
        <v/>
      </c>
      <c r="N264" s="28"/>
      <c r="O264" s="29" t="str">
        <f t="shared" si="43"/>
        <v/>
      </c>
      <c r="P264" s="29" t="str">
        <f t="shared" si="44"/>
        <v/>
      </c>
      <c r="Q264" s="24" t="str">
        <f t="shared" si="45"/>
        <v/>
      </c>
      <c r="R264" s="25"/>
      <c r="S264" s="27"/>
      <c r="T264" s="24" t="str">
        <f t="shared" si="46"/>
        <v/>
      </c>
      <c r="U264" s="24" t="str">
        <f t="shared" si="47"/>
        <v/>
      </c>
      <c r="V264" s="24">
        <f>IF(OR(U264="",D264=""),0,IF(SUMPRODUCT(--(U$4:U264=U264))&gt;1,1,0))</f>
        <v>0</v>
      </c>
      <c r="W264" s="24">
        <f t="shared" si="48"/>
        <v>0</v>
      </c>
      <c r="X264" s="24">
        <f t="shared" si="49"/>
        <v>0</v>
      </c>
    </row>
    <row r="265" spans="1:24" x14ac:dyDescent="0.25">
      <c r="A265" s="24">
        <v>262</v>
      </c>
      <c r="B265" s="25"/>
      <c r="C265" s="26" t="str">
        <f t="shared" si="40"/>
        <v/>
      </c>
      <c r="D265" s="25"/>
      <c r="E265" s="27"/>
      <c r="F265" s="28"/>
      <c r="G265" s="28"/>
      <c r="H265" s="25"/>
      <c r="I265" s="25"/>
      <c r="J265" s="28"/>
      <c r="K265" s="29" t="str">
        <f t="shared" si="41"/>
        <v/>
      </c>
      <c r="L265" s="25"/>
      <c r="M265" s="29" t="str">
        <f t="shared" si="42"/>
        <v/>
      </c>
      <c r="N265" s="28"/>
      <c r="O265" s="29" t="str">
        <f t="shared" si="43"/>
        <v/>
      </c>
      <c r="P265" s="29" t="str">
        <f t="shared" si="44"/>
        <v/>
      </c>
      <c r="Q265" s="24" t="str">
        <f t="shared" si="45"/>
        <v/>
      </c>
      <c r="R265" s="25"/>
      <c r="S265" s="27"/>
      <c r="T265" s="24" t="str">
        <f t="shared" si="46"/>
        <v/>
      </c>
      <c r="U265" s="24" t="str">
        <f t="shared" si="47"/>
        <v/>
      </c>
      <c r="V265" s="24">
        <f>IF(OR(U265="",D265=""),0,IF(SUMPRODUCT(--(U$4:U265=U265))&gt;1,1,0))</f>
        <v>0</v>
      </c>
      <c r="W265" s="24">
        <f t="shared" si="48"/>
        <v>0</v>
      </c>
      <c r="X265" s="24">
        <f t="shared" si="49"/>
        <v>0</v>
      </c>
    </row>
    <row r="266" spans="1:24" x14ac:dyDescent="0.25">
      <c r="A266" s="24">
        <v>263</v>
      </c>
      <c r="B266" s="25"/>
      <c r="C266" s="26" t="str">
        <f t="shared" si="40"/>
        <v/>
      </c>
      <c r="D266" s="25"/>
      <c r="E266" s="27"/>
      <c r="F266" s="28"/>
      <c r="G266" s="28"/>
      <c r="H266" s="25"/>
      <c r="I266" s="25"/>
      <c r="J266" s="28"/>
      <c r="K266" s="29" t="str">
        <f t="shared" si="41"/>
        <v/>
      </c>
      <c r="L266" s="25"/>
      <c r="M266" s="29" t="str">
        <f t="shared" si="42"/>
        <v/>
      </c>
      <c r="N266" s="28"/>
      <c r="O266" s="29" t="str">
        <f t="shared" si="43"/>
        <v/>
      </c>
      <c r="P266" s="29" t="str">
        <f t="shared" si="44"/>
        <v/>
      </c>
      <c r="Q266" s="24" t="str">
        <f t="shared" si="45"/>
        <v/>
      </c>
      <c r="R266" s="25"/>
      <c r="S266" s="27"/>
      <c r="T266" s="24" t="str">
        <f t="shared" si="46"/>
        <v/>
      </c>
      <c r="U266" s="24" t="str">
        <f t="shared" si="47"/>
        <v/>
      </c>
      <c r="V266" s="24">
        <f>IF(OR(U266="",D266=""),0,IF(SUMPRODUCT(--(U$4:U266=U266))&gt;1,1,0))</f>
        <v>0</v>
      </c>
      <c r="W266" s="24">
        <f t="shared" si="48"/>
        <v>0</v>
      </c>
      <c r="X266" s="24">
        <f t="shared" si="49"/>
        <v>0</v>
      </c>
    </row>
    <row r="267" spans="1:24" x14ac:dyDescent="0.25">
      <c r="A267" s="24">
        <v>264</v>
      </c>
      <c r="B267" s="25"/>
      <c r="C267" s="26" t="str">
        <f t="shared" si="40"/>
        <v/>
      </c>
      <c r="D267" s="25"/>
      <c r="E267" s="27"/>
      <c r="F267" s="28"/>
      <c r="G267" s="28"/>
      <c r="H267" s="25"/>
      <c r="I267" s="25"/>
      <c r="J267" s="28"/>
      <c r="K267" s="29" t="str">
        <f t="shared" si="41"/>
        <v/>
      </c>
      <c r="L267" s="25"/>
      <c r="M267" s="29" t="str">
        <f t="shared" si="42"/>
        <v/>
      </c>
      <c r="N267" s="28"/>
      <c r="O267" s="29" t="str">
        <f t="shared" si="43"/>
        <v/>
      </c>
      <c r="P267" s="29" t="str">
        <f t="shared" si="44"/>
        <v/>
      </c>
      <c r="Q267" s="24" t="str">
        <f t="shared" si="45"/>
        <v/>
      </c>
      <c r="R267" s="25"/>
      <c r="S267" s="27"/>
      <c r="T267" s="24" t="str">
        <f t="shared" si="46"/>
        <v/>
      </c>
      <c r="U267" s="24" t="str">
        <f t="shared" si="47"/>
        <v/>
      </c>
      <c r="V267" s="24">
        <f>IF(OR(U267="",D267=""),0,IF(SUMPRODUCT(--(U$4:U267=U267))&gt;1,1,0))</f>
        <v>0</v>
      </c>
      <c r="W267" s="24">
        <f t="shared" si="48"/>
        <v>0</v>
      </c>
      <c r="X267" s="24">
        <f t="shared" si="49"/>
        <v>0</v>
      </c>
    </row>
    <row r="268" spans="1:24" x14ac:dyDescent="0.25">
      <c r="A268" s="24">
        <v>265</v>
      </c>
      <c r="B268" s="25"/>
      <c r="C268" s="26" t="str">
        <f t="shared" si="40"/>
        <v/>
      </c>
      <c r="D268" s="25"/>
      <c r="E268" s="27"/>
      <c r="F268" s="28"/>
      <c r="G268" s="28"/>
      <c r="H268" s="25"/>
      <c r="I268" s="25"/>
      <c r="J268" s="28"/>
      <c r="K268" s="29" t="str">
        <f t="shared" si="41"/>
        <v/>
      </c>
      <c r="L268" s="25"/>
      <c r="M268" s="29" t="str">
        <f t="shared" si="42"/>
        <v/>
      </c>
      <c r="N268" s="28"/>
      <c r="O268" s="29" t="str">
        <f t="shared" si="43"/>
        <v/>
      </c>
      <c r="P268" s="29" t="str">
        <f t="shared" si="44"/>
        <v/>
      </c>
      <c r="Q268" s="24" t="str">
        <f t="shared" si="45"/>
        <v/>
      </c>
      <c r="R268" s="25"/>
      <c r="S268" s="27"/>
      <c r="T268" s="24" t="str">
        <f t="shared" si="46"/>
        <v/>
      </c>
      <c r="U268" s="24" t="str">
        <f t="shared" si="47"/>
        <v/>
      </c>
      <c r="V268" s="24">
        <f>IF(OR(U268="",D268=""),0,IF(SUMPRODUCT(--(U$4:U268=U268))&gt;1,1,0))</f>
        <v>0</v>
      </c>
      <c r="W268" s="24">
        <f t="shared" si="48"/>
        <v>0</v>
      </c>
      <c r="X268" s="24">
        <f t="shared" si="49"/>
        <v>0</v>
      </c>
    </row>
    <row r="269" spans="1:24" x14ac:dyDescent="0.25">
      <c r="A269" s="24">
        <v>266</v>
      </c>
      <c r="B269" s="25"/>
      <c r="C269" s="26" t="str">
        <f t="shared" si="40"/>
        <v/>
      </c>
      <c r="D269" s="25"/>
      <c r="E269" s="27"/>
      <c r="F269" s="28"/>
      <c r="G269" s="28"/>
      <c r="H269" s="25"/>
      <c r="I269" s="25"/>
      <c r="J269" s="28"/>
      <c r="K269" s="29" t="str">
        <f t="shared" si="41"/>
        <v/>
      </c>
      <c r="L269" s="25"/>
      <c r="M269" s="29" t="str">
        <f t="shared" si="42"/>
        <v/>
      </c>
      <c r="N269" s="28"/>
      <c r="O269" s="29" t="str">
        <f t="shared" si="43"/>
        <v/>
      </c>
      <c r="P269" s="29" t="str">
        <f t="shared" si="44"/>
        <v/>
      </c>
      <c r="Q269" s="24" t="str">
        <f t="shared" si="45"/>
        <v/>
      </c>
      <c r="R269" s="25"/>
      <c r="S269" s="27"/>
      <c r="T269" s="24" t="str">
        <f t="shared" si="46"/>
        <v/>
      </c>
      <c r="U269" s="24" t="str">
        <f t="shared" si="47"/>
        <v/>
      </c>
      <c r="V269" s="24">
        <f>IF(OR(U269="",D269=""),0,IF(SUMPRODUCT(--(U$4:U269=U269))&gt;1,1,0))</f>
        <v>0</v>
      </c>
      <c r="W269" s="24">
        <f t="shared" si="48"/>
        <v>0</v>
      </c>
      <c r="X269" s="24">
        <f t="shared" si="49"/>
        <v>0</v>
      </c>
    </row>
    <row r="270" spans="1:24" x14ac:dyDescent="0.25">
      <c r="A270" s="24">
        <v>267</v>
      </c>
      <c r="B270" s="25"/>
      <c r="C270" s="26" t="str">
        <f t="shared" si="40"/>
        <v/>
      </c>
      <c r="D270" s="25"/>
      <c r="E270" s="27"/>
      <c r="F270" s="28"/>
      <c r="G270" s="28"/>
      <c r="H270" s="25"/>
      <c r="I270" s="25"/>
      <c r="J270" s="28"/>
      <c r="K270" s="29" t="str">
        <f t="shared" si="41"/>
        <v/>
      </c>
      <c r="L270" s="25"/>
      <c r="M270" s="29" t="str">
        <f t="shared" si="42"/>
        <v/>
      </c>
      <c r="N270" s="28"/>
      <c r="O270" s="29" t="str">
        <f t="shared" si="43"/>
        <v/>
      </c>
      <c r="P270" s="29" t="str">
        <f t="shared" si="44"/>
        <v/>
      </c>
      <c r="Q270" s="24" t="str">
        <f t="shared" si="45"/>
        <v/>
      </c>
      <c r="R270" s="25"/>
      <c r="S270" s="27"/>
      <c r="T270" s="24" t="str">
        <f t="shared" si="46"/>
        <v/>
      </c>
      <c r="U270" s="24" t="str">
        <f t="shared" si="47"/>
        <v/>
      </c>
      <c r="V270" s="24">
        <f>IF(OR(U270="",D270=""),0,IF(SUMPRODUCT(--(U$4:U270=U270))&gt;1,1,0))</f>
        <v>0</v>
      </c>
      <c r="W270" s="24">
        <f t="shared" si="48"/>
        <v>0</v>
      </c>
      <c r="X270" s="24">
        <f t="shared" si="49"/>
        <v>0</v>
      </c>
    </row>
    <row r="271" spans="1:24" x14ac:dyDescent="0.25">
      <c r="A271" s="24">
        <v>268</v>
      </c>
      <c r="B271" s="25"/>
      <c r="C271" s="26" t="str">
        <f t="shared" si="40"/>
        <v/>
      </c>
      <c r="D271" s="25"/>
      <c r="E271" s="27"/>
      <c r="F271" s="28"/>
      <c r="G271" s="28"/>
      <c r="H271" s="25"/>
      <c r="I271" s="25"/>
      <c r="J271" s="28"/>
      <c r="K271" s="29" t="str">
        <f t="shared" si="41"/>
        <v/>
      </c>
      <c r="L271" s="25"/>
      <c r="M271" s="29" t="str">
        <f t="shared" si="42"/>
        <v/>
      </c>
      <c r="N271" s="28"/>
      <c r="O271" s="29" t="str">
        <f t="shared" si="43"/>
        <v/>
      </c>
      <c r="P271" s="29" t="str">
        <f t="shared" si="44"/>
        <v/>
      </c>
      <c r="Q271" s="24" t="str">
        <f t="shared" si="45"/>
        <v/>
      </c>
      <c r="R271" s="25"/>
      <c r="S271" s="27"/>
      <c r="T271" s="24" t="str">
        <f t="shared" si="46"/>
        <v/>
      </c>
      <c r="U271" s="24" t="str">
        <f t="shared" si="47"/>
        <v/>
      </c>
      <c r="V271" s="24">
        <f>IF(OR(U271="",D271=""),0,IF(SUMPRODUCT(--(U$4:U271=U271))&gt;1,1,0))</f>
        <v>0</v>
      </c>
      <c r="W271" s="24">
        <f t="shared" si="48"/>
        <v>0</v>
      </c>
      <c r="X271" s="24">
        <f t="shared" si="49"/>
        <v>0</v>
      </c>
    </row>
    <row r="272" spans="1:24" x14ac:dyDescent="0.25">
      <c r="A272" s="24">
        <v>269</v>
      </c>
      <c r="B272" s="25"/>
      <c r="C272" s="26" t="str">
        <f t="shared" si="40"/>
        <v/>
      </c>
      <c r="D272" s="25"/>
      <c r="E272" s="27"/>
      <c r="F272" s="28"/>
      <c r="G272" s="28"/>
      <c r="H272" s="25"/>
      <c r="I272" s="25"/>
      <c r="J272" s="28"/>
      <c r="K272" s="29" t="str">
        <f t="shared" si="41"/>
        <v/>
      </c>
      <c r="L272" s="25"/>
      <c r="M272" s="29" t="str">
        <f t="shared" si="42"/>
        <v/>
      </c>
      <c r="N272" s="28"/>
      <c r="O272" s="29" t="str">
        <f t="shared" si="43"/>
        <v/>
      </c>
      <c r="P272" s="29" t="str">
        <f t="shared" si="44"/>
        <v/>
      </c>
      <c r="Q272" s="24" t="str">
        <f t="shared" si="45"/>
        <v/>
      </c>
      <c r="R272" s="25"/>
      <c r="S272" s="27"/>
      <c r="T272" s="24" t="str">
        <f t="shared" si="46"/>
        <v/>
      </c>
      <c r="U272" s="24" t="str">
        <f t="shared" si="47"/>
        <v/>
      </c>
      <c r="V272" s="24">
        <f>IF(OR(U272="",D272=""),0,IF(SUMPRODUCT(--(U$4:U272=U272))&gt;1,1,0))</f>
        <v>0</v>
      </c>
      <c r="W272" s="24">
        <f t="shared" si="48"/>
        <v>0</v>
      </c>
      <c r="X272" s="24">
        <f t="shared" si="49"/>
        <v>0</v>
      </c>
    </row>
    <row r="273" spans="1:24" x14ac:dyDescent="0.25">
      <c r="A273" s="24">
        <v>270</v>
      </c>
      <c r="B273" s="25"/>
      <c r="C273" s="26" t="str">
        <f t="shared" si="40"/>
        <v/>
      </c>
      <c r="D273" s="25"/>
      <c r="E273" s="27"/>
      <c r="F273" s="28"/>
      <c r="G273" s="28"/>
      <c r="H273" s="25"/>
      <c r="I273" s="25"/>
      <c r="J273" s="28"/>
      <c r="K273" s="29" t="str">
        <f t="shared" si="41"/>
        <v/>
      </c>
      <c r="L273" s="25"/>
      <c r="M273" s="29" t="str">
        <f t="shared" si="42"/>
        <v/>
      </c>
      <c r="N273" s="28"/>
      <c r="O273" s="29" t="str">
        <f t="shared" si="43"/>
        <v/>
      </c>
      <c r="P273" s="29" t="str">
        <f t="shared" si="44"/>
        <v/>
      </c>
      <c r="Q273" s="24" t="str">
        <f t="shared" si="45"/>
        <v/>
      </c>
      <c r="R273" s="25"/>
      <c r="S273" s="27"/>
      <c r="T273" s="24" t="str">
        <f t="shared" si="46"/>
        <v/>
      </c>
      <c r="U273" s="24" t="str">
        <f t="shared" si="47"/>
        <v/>
      </c>
      <c r="V273" s="24">
        <f>IF(OR(U273="",D273=""),0,IF(SUMPRODUCT(--(U$4:U273=U273))&gt;1,1,0))</f>
        <v>0</v>
      </c>
      <c r="W273" s="24">
        <f t="shared" si="48"/>
        <v>0</v>
      </c>
      <c r="X273" s="24">
        <f t="shared" si="49"/>
        <v>0</v>
      </c>
    </row>
    <row r="274" spans="1:24" x14ac:dyDescent="0.25">
      <c r="A274" s="24">
        <v>271</v>
      </c>
      <c r="B274" s="25"/>
      <c r="C274" s="26" t="str">
        <f t="shared" si="40"/>
        <v/>
      </c>
      <c r="D274" s="25"/>
      <c r="E274" s="27"/>
      <c r="F274" s="28"/>
      <c r="G274" s="28"/>
      <c r="H274" s="25"/>
      <c r="I274" s="25"/>
      <c r="J274" s="28"/>
      <c r="K274" s="29" t="str">
        <f t="shared" si="41"/>
        <v/>
      </c>
      <c r="L274" s="25"/>
      <c r="M274" s="29" t="str">
        <f t="shared" si="42"/>
        <v/>
      </c>
      <c r="N274" s="28"/>
      <c r="O274" s="29" t="str">
        <f t="shared" si="43"/>
        <v/>
      </c>
      <c r="P274" s="29" t="str">
        <f t="shared" si="44"/>
        <v/>
      </c>
      <c r="Q274" s="24" t="str">
        <f t="shared" si="45"/>
        <v/>
      </c>
      <c r="R274" s="25"/>
      <c r="S274" s="27"/>
      <c r="T274" s="24" t="str">
        <f t="shared" si="46"/>
        <v/>
      </c>
      <c r="U274" s="24" t="str">
        <f t="shared" si="47"/>
        <v/>
      </c>
      <c r="V274" s="24">
        <f>IF(OR(U274="",D274=""),0,IF(SUMPRODUCT(--(U$4:U274=U274))&gt;1,1,0))</f>
        <v>0</v>
      </c>
      <c r="W274" s="24">
        <f t="shared" si="48"/>
        <v>0</v>
      </c>
      <c r="X274" s="24">
        <f t="shared" si="49"/>
        <v>0</v>
      </c>
    </row>
    <row r="275" spans="1:24" x14ac:dyDescent="0.25">
      <c r="A275" s="24">
        <v>272</v>
      </c>
      <c r="B275" s="25"/>
      <c r="C275" s="26" t="str">
        <f t="shared" si="40"/>
        <v/>
      </c>
      <c r="D275" s="25"/>
      <c r="E275" s="27"/>
      <c r="F275" s="28"/>
      <c r="G275" s="28"/>
      <c r="H275" s="25"/>
      <c r="I275" s="25"/>
      <c r="J275" s="28"/>
      <c r="K275" s="29" t="str">
        <f t="shared" si="41"/>
        <v/>
      </c>
      <c r="L275" s="25"/>
      <c r="M275" s="29" t="str">
        <f t="shared" si="42"/>
        <v/>
      </c>
      <c r="N275" s="28"/>
      <c r="O275" s="29" t="str">
        <f t="shared" si="43"/>
        <v/>
      </c>
      <c r="P275" s="29" t="str">
        <f t="shared" si="44"/>
        <v/>
      </c>
      <c r="Q275" s="24" t="str">
        <f t="shared" si="45"/>
        <v/>
      </c>
      <c r="R275" s="25"/>
      <c r="S275" s="27"/>
      <c r="T275" s="24" t="str">
        <f t="shared" si="46"/>
        <v/>
      </c>
      <c r="U275" s="24" t="str">
        <f t="shared" si="47"/>
        <v/>
      </c>
      <c r="V275" s="24">
        <f>IF(OR(U275="",D275=""),0,IF(SUMPRODUCT(--(U$4:U275=U275))&gt;1,1,0))</f>
        <v>0</v>
      </c>
      <c r="W275" s="24">
        <f t="shared" si="48"/>
        <v>0</v>
      </c>
      <c r="X275" s="24">
        <f t="shared" si="49"/>
        <v>0</v>
      </c>
    </row>
    <row r="276" spans="1:24" x14ac:dyDescent="0.25">
      <c r="A276" s="24">
        <v>273</v>
      </c>
      <c r="B276" s="25"/>
      <c r="C276" s="26" t="str">
        <f t="shared" si="40"/>
        <v/>
      </c>
      <c r="D276" s="25"/>
      <c r="E276" s="27"/>
      <c r="F276" s="28"/>
      <c r="G276" s="28"/>
      <c r="H276" s="25"/>
      <c r="I276" s="25"/>
      <c r="J276" s="28"/>
      <c r="K276" s="29" t="str">
        <f t="shared" si="41"/>
        <v/>
      </c>
      <c r="L276" s="25"/>
      <c r="M276" s="29" t="str">
        <f t="shared" si="42"/>
        <v/>
      </c>
      <c r="N276" s="28"/>
      <c r="O276" s="29" t="str">
        <f t="shared" si="43"/>
        <v/>
      </c>
      <c r="P276" s="29" t="str">
        <f t="shared" si="44"/>
        <v/>
      </c>
      <c r="Q276" s="24" t="str">
        <f t="shared" si="45"/>
        <v/>
      </c>
      <c r="R276" s="25"/>
      <c r="S276" s="27"/>
      <c r="T276" s="24" t="str">
        <f t="shared" si="46"/>
        <v/>
      </c>
      <c r="U276" s="24" t="str">
        <f t="shared" si="47"/>
        <v/>
      </c>
      <c r="V276" s="24">
        <f>IF(OR(U276="",D276=""),0,IF(SUMPRODUCT(--(U$4:U276=U276))&gt;1,1,0))</f>
        <v>0</v>
      </c>
      <c r="W276" s="24">
        <f t="shared" si="48"/>
        <v>0</v>
      </c>
      <c r="X276" s="24">
        <f t="shared" si="49"/>
        <v>0</v>
      </c>
    </row>
    <row r="277" spans="1:24" x14ac:dyDescent="0.25">
      <c r="A277" s="24">
        <v>274</v>
      </c>
      <c r="B277" s="25"/>
      <c r="C277" s="26" t="str">
        <f t="shared" si="40"/>
        <v/>
      </c>
      <c r="D277" s="25"/>
      <c r="E277" s="27"/>
      <c r="F277" s="28"/>
      <c r="G277" s="28"/>
      <c r="H277" s="25"/>
      <c r="I277" s="25"/>
      <c r="J277" s="28"/>
      <c r="K277" s="29" t="str">
        <f t="shared" si="41"/>
        <v/>
      </c>
      <c r="L277" s="25"/>
      <c r="M277" s="29" t="str">
        <f t="shared" si="42"/>
        <v/>
      </c>
      <c r="N277" s="28"/>
      <c r="O277" s="29" t="str">
        <f t="shared" si="43"/>
        <v/>
      </c>
      <c r="P277" s="29" t="str">
        <f t="shared" si="44"/>
        <v/>
      </c>
      <c r="Q277" s="24" t="str">
        <f t="shared" si="45"/>
        <v/>
      </c>
      <c r="R277" s="25"/>
      <c r="S277" s="27"/>
      <c r="T277" s="24" t="str">
        <f t="shared" si="46"/>
        <v/>
      </c>
      <c r="U277" s="24" t="str">
        <f t="shared" si="47"/>
        <v/>
      </c>
      <c r="V277" s="24">
        <f>IF(OR(U277="",D277=""),0,IF(SUMPRODUCT(--(U$4:U277=U277))&gt;1,1,0))</f>
        <v>0</v>
      </c>
      <c r="W277" s="24">
        <f t="shared" si="48"/>
        <v>0</v>
      </c>
      <c r="X277" s="24">
        <f t="shared" si="49"/>
        <v>0</v>
      </c>
    </row>
    <row r="278" spans="1:24" x14ac:dyDescent="0.25">
      <c r="A278" s="24">
        <v>275</v>
      </c>
      <c r="B278" s="25"/>
      <c r="C278" s="26" t="str">
        <f t="shared" si="40"/>
        <v/>
      </c>
      <c r="D278" s="25"/>
      <c r="E278" s="27"/>
      <c r="F278" s="28"/>
      <c r="G278" s="28"/>
      <c r="H278" s="25"/>
      <c r="I278" s="25"/>
      <c r="J278" s="28"/>
      <c r="K278" s="29" t="str">
        <f t="shared" si="41"/>
        <v/>
      </c>
      <c r="L278" s="25"/>
      <c r="M278" s="29" t="str">
        <f t="shared" si="42"/>
        <v/>
      </c>
      <c r="N278" s="28"/>
      <c r="O278" s="29" t="str">
        <f t="shared" si="43"/>
        <v/>
      </c>
      <c r="P278" s="29" t="str">
        <f t="shared" si="44"/>
        <v/>
      </c>
      <c r="Q278" s="24" t="str">
        <f t="shared" si="45"/>
        <v/>
      </c>
      <c r="R278" s="25"/>
      <c r="S278" s="27"/>
      <c r="T278" s="24" t="str">
        <f t="shared" si="46"/>
        <v/>
      </c>
      <c r="U278" s="24" t="str">
        <f t="shared" si="47"/>
        <v/>
      </c>
      <c r="V278" s="24">
        <f>IF(OR(U278="",D278=""),0,IF(SUMPRODUCT(--(U$4:U278=U278))&gt;1,1,0))</f>
        <v>0</v>
      </c>
      <c r="W278" s="24">
        <f t="shared" si="48"/>
        <v>0</v>
      </c>
      <c r="X278" s="24">
        <f t="shared" si="49"/>
        <v>0</v>
      </c>
    </row>
    <row r="279" spans="1:24" x14ac:dyDescent="0.25">
      <c r="A279" s="24">
        <v>276</v>
      </c>
      <c r="B279" s="25"/>
      <c r="C279" s="26" t="str">
        <f t="shared" si="40"/>
        <v/>
      </c>
      <c r="D279" s="25"/>
      <c r="E279" s="27"/>
      <c r="F279" s="28"/>
      <c r="G279" s="28"/>
      <c r="H279" s="25"/>
      <c r="I279" s="25"/>
      <c r="J279" s="28"/>
      <c r="K279" s="29" t="str">
        <f t="shared" si="41"/>
        <v/>
      </c>
      <c r="L279" s="25"/>
      <c r="M279" s="29" t="str">
        <f t="shared" si="42"/>
        <v/>
      </c>
      <c r="N279" s="28"/>
      <c r="O279" s="29" t="str">
        <f t="shared" si="43"/>
        <v/>
      </c>
      <c r="P279" s="29" t="str">
        <f t="shared" si="44"/>
        <v/>
      </c>
      <c r="Q279" s="24" t="str">
        <f t="shared" si="45"/>
        <v/>
      </c>
      <c r="R279" s="25"/>
      <c r="S279" s="27"/>
      <c r="T279" s="24" t="str">
        <f t="shared" si="46"/>
        <v/>
      </c>
      <c r="U279" s="24" t="str">
        <f t="shared" si="47"/>
        <v/>
      </c>
      <c r="V279" s="24">
        <f>IF(OR(U279="",D279=""),0,IF(SUMPRODUCT(--(U$4:U279=U279))&gt;1,1,0))</f>
        <v>0</v>
      </c>
      <c r="W279" s="24">
        <f t="shared" si="48"/>
        <v>0</v>
      </c>
      <c r="X279" s="24">
        <f t="shared" si="49"/>
        <v>0</v>
      </c>
    </row>
    <row r="280" spans="1:24" x14ac:dyDescent="0.25">
      <c r="A280" s="24">
        <v>277</v>
      </c>
      <c r="B280" s="25"/>
      <c r="C280" s="26" t="str">
        <f t="shared" si="40"/>
        <v/>
      </c>
      <c r="D280" s="25"/>
      <c r="E280" s="27"/>
      <c r="F280" s="28"/>
      <c r="G280" s="28"/>
      <c r="H280" s="25"/>
      <c r="I280" s="25"/>
      <c r="J280" s="28"/>
      <c r="K280" s="29" t="str">
        <f t="shared" si="41"/>
        <v/>
      </c>
      <c r="L280" s="25"/>
      <c r="M280" s="29" t="str">
        <f t="shared" si="42"/>
        <v/>
      </c>
      <c r="N280" s="28"/>
      <c r="O280" s="29" t="str">
        <f t="shared" si="43"/>
        <v/>
      </c>
      <c r="P280" s="29" t="str">
        <f t="shared" si="44"/>
        <v/>
      </c>
      <c r="Q280" s="24" t="str">
        <f t="shared" si="45"/>
        <v/>
      </c>
      <c r="R280" s="25"/>
      <c r="S280" s="27"/>
      <c r="T280" s="24" t="str">
        <f t="shared" si="46"/>
        <v/>
      </c>
      <c r="U280" s="24" t="str">
        <f t="shared" si="47"/>
        <v/>
      </c>
      <c r="V280" s="24">
        <f>IF(OR(U280="",D280=""),0,IF(SUMPRODUCT(--(U$4:U280=U280))&gt;1,1,0))</f>
        <v>0</v>
      </c>
      <c r="W280" s="24">
        <f t="shared" si="48"/>
        <v>0</v>
      </c>
      <c r="X280" s="24">
        <f t="shared" si="49"/>
        <v>0</v>
      </c>
    </row>
    <row r="281" spans="1:24" x14ac:dyDescent="0.25">
      <c r="A281" s="24">
        <v>278</v>
      </c>
      <c r="B281" s="25"/>
      <c r="C281" s="26" t="str">
        <f t="shared" si="40"/>
        <v/>
      </c>
      <c r="D281" s="25"/>
      <c r="E281" s="27"/>
      <c r="F281" s="28"/>
      <c r="G281" s="28"/>
      <c r="H281" s="25"/>
      <c r="I281" s="25"/>
      <c r="J281" s="28"/>
      <c r="K281" s="29" t="str">
        <f t="shared" si="41"/>
        <v/>
      </c>
      <c r="L281" s="25"/>
      <c r="M281" s="29" t="str">
        <f t="shared" si="42"/>
        <v/>
      </c>
      <c r="N281" s="28"/>
      <c r="O281" s="29" t="str">
        <f t="shared" si="43"/>
        <v/>
      </c>
      <c r="P281" s="29" t="str">
        <f t="shared" si="44"/>
        <v/>
      </c>
      <c r="Q281" s="24" t="str">
        <f t="shared" si="45"/>
        <v/>
      </c>
      <c r="R281" s="25"/>
      <c r="S281" s="27"/>
      <c r="T281" s="24" t="str">
        <f t="shared" si="46"/>
        <v/>
      </c>
      <c r="U281" s="24" t="str">
        <f t="shared" si="47"/>
        <v/>
      </c>
      <c r="V281" s="24">
        <f>IF(OR(U281="",D281=""),0,IF(SUMPRODUCT(--(U$4:U281=U281))&gt;1,1,0))</f>
        <v>0</v>
      </c>
      <c r="W281" s="24">
        <f t="shared" si="48"/>
        <v>0</v>
      </c>
      <c r="X281" s="24">
        <f t="shared" si="49"/>
        <v>0</v>
      </c>
    </row>
    <row r="282" spans="1:24" x14ac:dyDescent="0.25">
      <c r="A282" s="24">
        <v>279</v>
      </c>
      <c r="B282" s="25"/>
      <c r="C282" s="26" t="str">
        <f t="shared" si="40"/>
        <v/>
      </c>
      <c r="D282" s="25"/>
      <c r="E282" s="27"/>
      <c r="F282" s="28"/>
      <c r="G282" s="28"/>
      <c r="H282" s="25"/>
      <c r="I282" s="25"/>
      <c r="J282" s="28"/>
      <c r="K282" s="29" t="str">
        <f t="shared" si="41"/>
        <v/>
      </c>
      <c r="L282" s="25"/>
      <c r="M282" s="29" t="str">
        <f t="shared" si="42"/>
        <v/>
      </c>
      <c r="N282" s="28"/>
      <c r="O282" s="29" t="str">
        <f t="shared" si="43"/>
        <v/>
      </c>
      <c r="P282" s="29" t="str">
        <f t="shared" si="44"/>
        <v/>
      </c>
      <c r="Q282" s="24" t="str">
        <f t="shared" si="45"/>
        <v/>
      </c>
      <c r="R282" s="25"/>
      <c r="S282" s="27"/>
      <c r="T282" s="24" t="str">
        <f t="shared" si="46"/>
        <v/>
      </c>
      <c r="U282" s="24" t="str">
        <f t="shared" si="47"/>
        <v/>
      </c>
      <c r="V282" s="24">
        <f>IF(OR(U282="",D282=""),0,IF(SUMPRODUCT(--(U$4:U282=U282))&gt;1,1,0))</f>
        <v>0</v>
      </c>
      <c r="W282" s="24">
        <f t="shared" si="48"/>
        <v>0</v>
      </c>
      <c r="X282" s="24">
        <f t="shared" si="49"/>
        <v>0</v>
      </c>
    </row>
    <row r="283" spans="1:24" x14ac:dyDescent="0.25">
      <c r="A283" s="24">
        <v>280</v>
      </c>
      <c r="B283" s="25"/>
      <c r="C283" s="26" t="str">
        <f t="shared" si="40"/>
        <v/>
      </c>
      <c r="D283" s="25"/>
      <c r="E283" s="27"/>
      <c r="F283" s="28"/>
      <c r="G283" s="28"/>
      <c r="H283" s="25"/>
      <c r="I283" s="25"/>
      <c r="J283" s="28"/>
      <c r="K283" s="29" t="str">
        <f t="shared" si="41"/>
        <v/>
      </c>
      <c r="L283" s="25"/>
      <c r="M283" s="29" t="str">
        <f t="shared" si="42"/>
        <v/>
      </c>
      <c r="N283" s="28"/>
      <c r="O283" s="29" t="str">
        <f t="shared" si="43"/>
        <v/>
      </c>
      <c r="P283" s="29" t="str">
        <f t="shared" si="44"/>
        <v/>
      </c>
      <c r="Q283" s="24" t="str">
        <f t="shared" si="45"/>
        <v/>
      </c>
      <c r="R283" s="25"/>
      <c r="S283" s="27"/>
      <c r="T283" s="24" t="str">
        <f t="shared" si="46"/>
        <v/>
      </c>
      <c r="U283" s="24" t="str">
        <f t="shared" si="47"/>
        <v/>
      </c>
      <c r="V283" s="24">
        <f>IF(OR(U283="",D283=""),0,IF(SUMPRODUCT(--(U$4:U283=U283))&gt;1,1,0))</f>
        <v>0</v>
      </c>
      <c r="W283" s="24">
        <f t="shared" si="48"/>
        <v>0</v>
      </c>
      <c r="X283" s="24">
        <f t="shared" si="49"/>
        <v>0</v>
      </c>
    </row>
    <row r="284" spans="1:24" x14ac:dyDescent="0.25">
      <c r="A284" s="24">
        <v>281</v>
      </c>
      <c r="B284" s="25"/>
      <c r="C284" s="26" t="str">
        <f t="shared" si="40"/>
        <v/>
      </c>
      <c r="D284" s="25"/>
      <c r="E284" s="27"/>
      <c r="F284" s="28"/>
      <c r="G284" s="28"/>
      <c r="H284" s="25"/>
      <c r="I284" s="25"/>
      <c r="J284" s="28"/>
      <c r="K284" s="29" t="str">
        <f t="shared" si="41"/>
        <v/>
      </c>
      <c r="L284" s="25"/>
      <c r="M284" s="29" t="str">
        <f t="shared" si="42"/>
        <v/>
      </c>
      <c r="N284" s="28"/>
      <c r="O284" s="29" t="str">
        <f t="shared" si="43"/>
        <v/>
      </c>
      <c r="P284" s="29" t="str">
        <f t="shared" si="44"/>
        <v/>
      </c>
      <c r="Q284" s="24" t="str">
        <f t="shared" si="45"/>
        <v/>
      </c>
      <c r="R284" s="25"/>
      <c r="S284" s="27"/>
      <c r="T284" s="24" t="str">
        <f t="shared" si="46"/>
        <v/>
      </c>
      <c r="U284" s="24" t="str">
        <f t="shared" si="47"/>
        <v/>
      </c>
      <c r="V284" s="24">
        <f>IF(OR(U284="",D284=""),0,IF(SUMPRODUCT(--(U$4:U284=U284))&gt;1,1,0))</f>
        <v>0</v>
      </c>
      <c r="W284" s="24">
        <f t="shared" si="48"/>
        <v>0</v>
      </c>
      <c r="X284" s="24">
        <f t="shared" si="49"/>
        <v>0</v>
      </c>
    </row>
    <row r="285" spans="1:24" x14ac:dyDescent="0.25">
      <c r="A285" s="24">
        <v>282</v>
      </c>
      <c r="B285" s="25"/>
      <c r="C285" s="26" t="str">
        <f t="shared" si="40"/>
        <v/>
      </c>
      <c r="D285" s="25"/>
      <c r="E285" s="27"/>
      <c r="F285" s="28"/>
      <c r="G285" s="28"/>
      <c r="H285" s="25"/>
      <c r="I285" s="25"/>
      <c r="J285" s="28"/>
      <c r="K285" s="29" t="str">
        <f t="shared" si="41"/>
        <v/>
      </c>
      <c r="L285" s="25"/>
      <c r="M285" s="29" t="str">
        <f t="shared" si="42"/>
        <v/>
      </c>
      <c r="N285" s="28"/>
      <c r="O285" s="29" t="str">
        <f t="shared" si="43"/>
        <v/>
      </c>
      <c r="P285" s="29" t="str">
        <f t="shared" si="44"/>
        <v/>
      </c>
      <c r="Q285" s="24" t="str">
        <f t="shared" si="45"/>
        <v/>
      </c>
      <c r="R285" s="25"/>
      <c r="S285" s="27"/>
      <c r="T285" s="24" t="str">
        <f t="shared" si="46"/>
        <v/>
      </c>
      <c r="U285" s="24" t="str">
        <f t="shared" si="47"/>
        <v/>
      </c>
      <c r="V285" s="24">
        <f>IF(OR(U285="",D285=""),0,IF(SUMPRODUCT(--(U$4:U285=U285))&gt;1,1,0))</f>
        <v>0</v>
      </c>
      <c r="W285" s="24">
        <f t="shared" si="48"/>
        <v>0</v>
      </c>
      <c r="X285" s="24">
        <f t="shared" si="49"/>
        <v>0</v>
      </c>
    </row>
    <row r="286" spans="1:24" x14ac:dyDescent="0.25">
      <c r="A286" s="24">
        <v>283</v>
      </c>
      <c r="B286" s="25"/>
      <c r="C286" s="26" t="str">
        <f t="shared" si="40"/>
        <v/>
      </c>
      <c r="D286" s="25"/>
      <c r="E286" s="27"/>
      <c r="F286" s="28"/>
      <c r="G286" s="28"/>
      <c r="H286" s="25"/>
      <c r="I286" s="25"/>
      <c r="J286" s="28"/>
      <c r="K286" s="29" t="str">
        <f t="shared" si="41"/>
        <v/>
      </c>
      <c r="L286" s="25"/>
      <c r="M286" s="29" t="str">
        <f t="shared" si="42"/>
        <v/>
      </c>
      <c r="N286" s="28"/>
      <c r="O286" s="29" t="str">
        <f t="shared" si="43"/>
        <v/>
      </c>
      <c r="P286" s="29" t="str">
        <f t="shared" si="44"/>
        <v/>
      </c>
      <c r="Q286" s="24" t="str">
        <f t="shared" si="45"/>
        <v/>
      </c>
      <c r="R286" s="25"/>
      <c r="S286" s="27"/>
      <c r="T286" s="24" t="str">
        <f t="shared" si="46"/>
        <v/>
      </c>
      <c r="U286" s="24" t="str">
        <f t="shared" si="47"/>
        <v/>
      </c>
      <c r="V286" s="24">
        <f>IF(OR(U286="",D286=""),0,IF(SUMPRODUCT(--(U$4:U286=U286))&gt;1,1,0))</f>
        <v>0</v>
      </c>
      <c r="W286" s="24">
        <f t="shared" si="48"/>
        <v>0</v>
      </c>
      <c r="X286" s="24">
        <f t="shared" si="49"/>
        <v>0</v>
      </c>
    </row>
    <row r="287" spans="1:24" x14ac:dyDescent="0.25">
      <c r="A287" s="24">
        <v>284</v>
      </c>
      <c r="B287" s="25"/>
      <c r="C287" s="26" t="str">
        <f t="shared" si="40"/>
        <v/>
      </c>
      <c r="D287" s="25"/>
      <c r="E287" s="27"/>
      <c r="F287" s="28"/>
      <c r="G287" s="28"/>
      <c r="H287" s="25"/>
      <c r="I287" s="25"/>
      <c r="J287" s="28"/>
      <c r="K287" s="29" t="str">
        <f t="shared" si="41"/>
        <v/>
      </c>
      <c r="L287" s="25"/>
      <c r="M287" s="29" t="str">
        <f t="shared" si="42"/>
        <v/>
      </c>
      <c r="N287" s="28"/>
      <c r="O287" s="29" t="str">
        <f t="shared" si="43"/>
        <v/>
      </c>
      <c r="P287" s="29" t="str">
        <f t="shared" si="44"/>
        <v/>
      </c>
      <c r="Q287" s="24" t="str">
        <f t="shared" si="45"/>
        <v/>
      </c>
      <c r="R287" s="25"/>
      <c r="S287" s="27"/>
      <c r="T287" s="24" t="str">
        <f t="shared" si="46"/>
        <v/>
      </c>
      <c r="U287" s="24" t="str">
        <f t="shared" si="47"/>
        <v/>
      </c>
      <c r="V287" s="24">
        <f>IF(OR(U287="",D287=""),0,IF(SUMPRODUCT(--(U$4:U287=U287))&gt;1,1,0))</f>
        <v>0</v>
      </c>
      <c r="W287" s="24">
        <f t="shared" si="48"/>
        <v>0</v>
      </c>
      <c r="X287" s="24">
        <f t="shared" si="49"/>
        <v>0</v>
      </c>
    </row>
    <row r="288" spans="1:24" x14ac:dyDescent="0.25">
      <c r="A288" s="24">
        <v>285</v>
      </c>
      <c r="B288" s="25"/>
      <c r="C288" s="26" t="str">
        <f t="shared" si="40"/>
        <v/>
      </c>
      <c r="D288" s="25"/>
      <c r="E288" s="27"/>
      <c r="F288" s="28"/>
      <c r="G288" s="28"/>
      <c r="H288" s="25"/>
      <c r="I288" s="25"/>
      <c r="J288" s="28"/>
      <c r="K288" s="29" t="str">
        <f t="shared" si="41"/>
        <v/>
      </c>
      <c r="L288" s="25"/>
      <c r="M288" s="29" t="str">
        <f t="shared" si="42"/>
        <v/>
      </c>
      <c r="N288" s="28"/>
      <c r="O288" s="29" t="str">
        <f t="shared" si="43"/>
        <v/>
      </c>
      <c r="P288" s="29" t="str">
        <f t="shared" si="44"/>
        <v/>
      </c>
      <c r="Q288" s="24" t="str">
        <f t="shared" si="45"/>
        <v/>
      </c>
      <c r="R288" s="25"/>
      <c r="S288" s="27"/>
      <c r="T288" s="24" t="str">
        <f t="shared" si="46"/>
        <v/>
      </c>
      <c r="U288" s="24" t="str">
        <f t="shared" si="47"/>
        <v/>
      </c>
      <c r="V288" s="24">
        <f>IF(OR(U288="",D288=""),0,IF(SUMPRODUCT(--(U$4:U288=U288))&gt;1,1,0))</f>
        <v>0</v>
      </c>
      <c r="W288" s="24">
        <f t="shared" si="48"/>
        <v>0</v>
      </c>
      <c r="X288" s="24">
        <f t="shared" si="49"/>
        <v>0</v>
      </c>
    </row>
    <row r="289" spans="1:24" x14ac:dyDescent="0.25">
      <c r="A289" s="24">
        <v>286</v>
      </c>
      <c r="B289" s="25"/>
      <c r="C289" s="26" t="str">
        <f t="shared" si="40"/>
        <v/>
      </c>
      <c r="D289" s="25"/>
      <c r="E289" s="27"/>
      <c r="F289" s="28"/>
      <c r="G289" s="28"/>
      <c r="H289" s="25"/>
      <c r="I289" s="25"/>
      <c r="J289" s="28"/>
      <c r="K289" s="29" t="str">
        <f t="shared" si="41"/>
        <v/>
      </c>
      <c r="L289" s="25"/>
      <c r="M289" s="29" t="str">
        <f t="shared" si="42"/>
        <v/>
      </c>
      <c r="N289" s="28"/>
      <c r="O289" s="29" t="str">
        <f t="shared" si="43"/>
        <v/>
      </c>
      <c r="P289" s="29" t="str">
        <f t="shared" si="44"/>
        <v/>
      </c>
      <c r="Q289" s="24" t="str">
        <f t="shared" si="45"/>
        <v/>
      </c>
      <c r="R289" s="25"/>
      <c r="S289" s="27"/>
      <c r="T289" s="24" t="str">
        <f t="shared" si="46"/>
        <v/>
      </c>
      <c r="U289" s="24" t="str">
        <f t="shared" si="47"/>
        <v/>
      </c>
      <c r="V289" s="24">
        <f>IF(OR(U289="",D289=""),0,IF(SUMPRODUCT(--(U$4:U289=U289))&gt;1,1,0))</f>
        <v>0</v>
      </c>
      <c r="W289" s="24">
        <f t="shared" si="48"/>
        <v>0</v>
      </c>
      <c r="X289" s="24">
        <f t="shared" si="49"/>
        <v>0</v>
      </c>
    </row>
    <row r="290" spans="1:24" x14ac:dyDescent="0.25">
      <c r="A290" s="24">
        <v>287</v>
      </c>
      <c r="B290" s="25"/>
      <c r="C290" s="26" t="str">
        <f t="shared" si="40"/>
        <v/>
      </c>
      <c r="D290" s="25"/>
      <c r="E290" s="27"/>
      <c r="F290" s="28"/>
      <c r="G290" s="28"/>
      <c r="H290" s="25"/>
      <c r="I290" s="25"/>
      <c r="J290" s="28"/>
      <c r="K290" s="29" t="str">
        <f t="shared" si="41"/>
        <v/>
      </c>
      <c r="L290" s="25"/>
      <c r="M290" s="29" t="str">
        <f t="shared" si="42"/>
        <v/>
      </c>
      <c r="N290" s="28"/>
      <c r="O290" s="29" t="str">
        <f t="shared" si="43"/>
        <v/>
      </c>
      <c r="P290" s="29" t="str">
        <f t="shared" si="44"/>
        <v/>
      </c>
      <c r="Q290" s="24" t="str">
        <f t="shared" si="45"/>
        <v/>
      </c>
      <c r="R290" s="25"/>
      <c r="S290" s="27"/>
      <c r="T290" s="24" t="str">
        <f t="shared" si="46"/>
        <v/>
      </c>
      <c r="U290" s="24" t="str">
        <f t="shared" si="47"/>
        <v/>
      </c>
      <c r="V290" s="24">
        <f>IF(OR(U290="",D290=""),0,IF(SUMPRODUCT(--(U$4:U290=U290))&gt;1,1,0))</f>
        <v>0</v>
      </c>
      <c r="W290" s="24">
        <f t="shared" si="48"/>
        <v>0</v>
      </c>
      <c r="X290" s="24">
        <f t="shared" si="49"/>
        <v>0</v>
      </c>
    </row>
    <row r="291" spans="1:24" x14ac:dyDescent="0.25">
      <c r="A291" s="24">
        <v>288</v>
      </c>
      <c r="B291" s="25"/>
      <c r="C291" s="26" t="str">
        <f t="shared" si="40"/>
        <v/>
      </c>
      <c r="D291" s="25"/>
      <c r="E291" s="27"/>
      <c r="F291" s="28"/>
      <c r="G291" s="28"/>
      <c r="H291" s="25"/>
      <c r="I291" s="25"/>
      <c r="J291" s="28"/>
      <c r="K291" s="29" t="str">
        <f t="shared" si="41"/>
        <v/>
      </c>
      <c r="L291" s="25"/>
      <c r="M291" s="29" t="str">
        <f t="shared" si="42"/>
        <v/>
      </c>
      <c r="N291" s="28"/>
      <c r="O291" s="29" t="str">
        <f t="shared" si="43"/>
        <v/>
      </c>
      <c r="P291" s="29" t="str">
        <f t="shared" si="44"/>
        <v/>
      </c>
      <c r="Q291" s="24" t="str">
        <f t="shared" si="45"/>
        <v/>
      </c>
      <c r="R291" s="25"/>
      <c r="S291" s="27"/>
      <c r="T291" s="24" t="str">
        <f t="shared" si="46"/>
        <v/>
      </c>
      <c r="U291" s="24" t="str">
        <f t="shared" si="47"/>
        <v/>
      </c>
      <c r="V291" s="24">
        <f>IF(OR(U291="",D291=""),0,IF(SUMPRODUCT(--(U$4:U291=U291))&gt;1,1,0))</f>
        <v>0</v>
      </c>
      <c r="W291" s="24">
        <f t="shared" si="48"/>
        <v>0</v>
      </c>
      <c r="X291" s="24">
        <f t="shared" si="49"/>
        <v>0</v>
      </c>
    </row>
    <row r="292" spans="1:24" x14ac:dyDescent="0.25">
      <c r="A292" s="24">
        <v>289</v>
      </c>
      <c r="B292" s="25"/>
      <c r="C292" s="26" t="str">
        <f t="shared" si="40"/>
        <v/>
      </c>
      <c r="D292" s="25"/>
      <c r="E292" s="27"/>
      <c r="F292" s="28"/>
      <c r="G292" s="28"/>
      <c r="H292" s="25"/>
      <c r="I292" s="25"/>
      <c r="J292" s="28"/>
      <c r="K292" s="29" t="str">
        <f t="shared" si="41"/>
        <v/>
      </c>
      <c r="L292" s="25"/>
      <c r="M292" s="29" t="str">
        <f t="shared" si="42"/>
        <v/>
      </c>
      <c r="N292" s="28"/>
      <c r="O292" s="29" t="str">
        <f t="shared" si="43"/>
        <v/>
      </c>
      <c r="P292" s="29" t="str">
        <f t="shared" si="44"/>
        <v/>
      </c>
      <c r="Q292" s="24" t="str">
        <f t="shared" si="45"/>
        <v/>
      </c>
      <c r="R292" s="25"/>
      <c r="S292" s="27"/>
      <c r="T292" s="24" t="str">
        <f t="shared" si="46"/>
        <v/>
      </c>
      <c r="U292" s="24" t="str">
        <f t="shared" si="47"/>
        <v/>
      </c>
      <c r="V292" s="24">
        <f>IF(OR(U292="",D292=""),0,IF(SUMPRODUCT(--(U$4:U292=U292))&gt;1,1,0))</f>
        <v>0</v>
      </c>
      <c r="W292" s="24">
        <f t="shared" si="48"/>
        <v>0</v>
      </c>
      <c r="X292" s="24">
        <f t="shared" si="49"/>
        <v>0</v>
      </c>
    </row>
    <row r="293" spans="1:24" x14ac:dyDescent="0.25">
      <c r="A293" s="24">
        <v>290</v>
      </c>
      <c r="B293" s="25"/>
      <c r="C293" s="26" t="str">
        <f t="shared" si="40"/>
        <v/>
      </c>
      <c r="D293" s="25"/>
      <c r="E293" s="27"/>
      <c r="F293" s="28"/>
      <c r="G293" s="28"/>
      <c r="H293" s="25"/>
      <c r="I293" s="25"/>
      <c r="J293" s="28"/>
      <c r="K293" s="29" t="str">
        <f t="shared" si="41"/>
        <v/>
      </c>
      <c r="L293" s="25"/>
      <c r="M293" s="29" t="str">
        <f t="shared" si="42"/>
        <v/>
      </c>
      <c r="N293" s="28"/>
      <c r="O293" s="29" t="str">
        <f t="shared" si="43"/>
        <v/>
      </c>
      <c r="P293" s="29" t="str">
        <f t="shared" si="44"/>
        <v/>
      </c>
      <c r="Q293" s="24" t="str">
        <f t="shared" si="45"/>
        <v/>
      </c>
      <c r="R293" s="25"/>
      <c r="S293" s="27"/>
      <c r="T293" s="24" t="str">
        <f t="shared" si="46"/>
        <v/>
      </c>
      <c r="U293" s="24" t="str">
        <f t="shared" si="47"/>
        <v/>
      </c>
      <c r="V293" s="24">
        <f>IF(OR(U293="",D293=""),0,IF(SUMPRODUCT(--(U$4:U293=U293))&gt;1,1,0))</f>
        <v>0</v>
      </c>
      <c r="W293" s="24">
        <f t="shared" si="48"/>
        <v>0</v>
      </c>
      <c r="X293" s="24">
        <f t="shared" si="49"/>
        <v>0</v>
      </c>
    </row>
    <row r="294" spans="1:24" x14ac:dyDescent="0.25">
      <c r="A294" s="24">
        <v>291</v>
      </c>
      <c r="B294" s="25"/>
      <c r="C294" s="26" t="str">
        <f t="shared" si="40"/>
        <v/>
      </c>
      <c r="D294" s="25"/>
      <c r="E294" s="27"/>
      <c r="F294" s="28"/>
      <c r="G294" s="28"/>
      <c r="H294" s="25"/>
      <c r="I294" s="25"/>
      <c r="J294" s="28"/>
      <c r="K294" s="29" t="str">
        <f t="shared" si="41"/>
        <v/>
      </c>
      <c r="L294" s="25"/>
      <c r="M294" s="29" t="str">
        <f t="shared" si="42"/>
        <v/>
      </c>
      <c r="N294" s="28"/>
      <c r="O294" s="29" t="str">
        <f t="shared" si="43"/>
        <v/>
      </c>
      <c r="P294" s="29" t="str">
        <f t="shared" si="44"/>
        <v/>
      </c>
      <c r="Q294" s="24" t="str">
        <f t="shared" si="45"/>
        <v/>
      </c>
      <c r="R294" s="25"/>
      <c r="S294" s="27"/>
      <c r="T294" s="24" t="str">
        <f t="shared" si="46"/>
        <v/>
      </c>
      <c r="U294" s="24" t="str">
        <f t="shared" si="47"/>
        <v/>
      </c>
      <c r="V294" s="24">
        <f>IF(OR(U294="",D294=""),0,IF(SUMPRODUCT(--(U$4:U294=U294))&gt;1,1,0))</f>
        <v>0</v>
      </c>
      <c r="W294" s="24">
        <f t="shared" si="48"/>
        <v>0</v>
      </c>
      <c r="X294" s="24">
        <f t="shared" si="49"/>
        <v>0</v>
      </c>
    </row>
    <row r="295" spans="1:24" x14ac:dyDescent="0.25">
      <c r="A295" s="24">
        <v>292</v>
      </c>
      <c r="B295" s="25"/>
      <c r="C295" s="26" t="str">
        <f t="shared" si="40"/>
        <v/>
      </c>
      <c r="D295" s="25"/>
      <c r="E295" s="27"/>
      <c r="F295" s="28"/>
      <c r="G295" s="28"/>
      <c r="H295" s="25"/>
      <c r="I295" s="25"/>
      <c r="J295" s="28"/>
      <c r="K295" s="29" t="str">
        <f t="shared" si="41"/>
        <v/>
      </c>
      <c r="L295" s="25"/>
      <c r="M295" s="29" t="str">
        <f t="shared" si="42"/>
        <v/>
      </c>
      <c r="N295" s="28"/>
      <c r="O295" s="29" t="str">
        <f t="shared" si="43"/>
        <v/>
      </c>
      <c r="P295" s="29" t="str">
        <f t="shared" si="44"/>
        <v/>
      </c>
      <c r="Q295" s="24" t="str">
        <f t="shared" si="45"/>
        <v/>
      </c>
      <c r="R295" s="25"/>
      <c r="S295" s="27"/>
      <c r="T295" s="24" t="str">
        <f t="shared" si="46"/>
        <v/>
      </c>
      <c r="U295" s="24" t="str">
        <f t="shared" si="47"/>
        <v/>
      </c>
      <c r="V295" s="24">
        <f>IF(OR(U295="",D295=""),0,IF(SUMPRODUCT(--(U$4:U295=U295))&gt;1,1,0))</f>
        <v>0</v>
      </c>
      <c r="W295" s="24">
        <f t="shared" si="48"/>
        <v>0</v>
      </c>
      <c r="X295" s="24">
        <f t="shared" si="49"/>
        <v>0</v>
      </c>
    </row>
    <row r="296" spans="1:24" x14ac:dyDescent="0.25">
      <c r="A296" s="24">
        <v>293</v>
      </c>
      <c r="B296" s="25"/>
      <c r="C296" s="26" t="str">
        <f t="shared" si="40"/>
        <v/>
      </c>
      <c r="D296" s="25"/>
      <c r="E296" s="27"/>
      <c r="F296" s="28"/>
      <c r="G296" s="28"/>
      <c r="H296" s="25"/>
      <c r="I296" s="25"/>
      <c r="J296" s="28"/>
      <c r="K296" s="29" t="str">
        <f t="shared" si="41"/>
        <v/>
      </c>
      <c r="L296" s="25"/>
      <c r="M296" s="29" t="str">
        <f t="shared" si="42"/>
        <v/>
      </c>
      <c r="N296" s="28"/>
      <c r="O296" s="29" t="str">
        <f t="shared" si="43"/>
        <v/>
      </c>
      <c r="P296" s="29" t="str">
        <f t="shared" si="44"/>
        <v/>
      </c>
      <c r="Q296" s="24" t="str">
        <f t="shared" si="45"/>
        <v/>
      </c>
      <c r="R296" s="25"/>
      <c r="S296" s="27"/>
      <c r="T296" s="24" t="str">
        <f t="shared" si="46"/>
        <v/>
      </c>
      <c r="U296" s="24" t="str">
        <f t="shared" si="47"/>
        <v/>
      </c>
      <c r="V296" s="24">
        <f>IF(OR(U296="",D296=""),0,IF(SUMPRODUCT(--(U$4:U296=U296))&gt;1,1,0))</f>
        <v>0</v>
      </c>
      <c r="W296" s="24">
        <f t="shared" si="48"/>
        <v>0</v>
      </c>
      <c r="X296" s="24">
        <f t="shared" si="49"/>
        <v>0</v>
      </c>
    </row>
    <row r="297" spans="1:24" x14ac:dyDescent="0.25">
      <c r="A297" s="24">
        <v>294</v>
      </c>
      <c r="B297" s="25"/>
      <c r="C297" s="26" t="str">
        <f t="shared" si="40"/>
        <v/>
      </c>
      <c r="D297" s="25"/>
      <c r="E297" s="27"/>
      <c r="F297" s="28"/>
      <c r="G297" s="28"/>
      <c r="H297" s="25"/>
      <c r="I297" s="25"/>
      <c r="J297" s="28"/>
      <c r="K297" s="29" t="str">
        <f t="shared" si="41"/>
        <v/>
      </c>
      <c r="L297" s="25"/>
      <c r="M297" s="29" t="str">
        <f t="shared" si="42"/>
        <v/>
      </c>
      <c r="N297" s="28"/>
      <c r="O297" s="29" t="str">
        <f t="shared" si="43"/>
        <v/>
      </c>
      <c r="P297" s="29" t="str">
        <f t="shared" si="44"/>
        <v/>
      </c>
      <c r="Q297" s="24" t="str">
        <f t="shared" si="45"/>
        <v/>
      </c>
      <c r="R297" s="25"/>
      <c r="S297" s="27"/>
      <c r="T297" s="24" t="str">
        <f t="shared" si="46"/>
        <v/>
      </c>
      <c r="U297" s="24" t="str">
        <f t="shared" si="47"/>
        <v/>
      </c>
      <c r="V297" s="24">
        <f>IF(OR(U297="",D297=""),0,IF(SUMPRODUCT(--(U$4:U297=U297))&gt;1,1,0))</f>
        <v>0</v>
      </c>
      <c r="W297" s="24">
        <f t="shared" si="48"/>
        <v>0</v>
      </c>
      <c r="X297" s="24">
        <f t="shared" si="49"/>
        <v>0</v>
      </c>
    </row>
    <row r="298" spans="1:24" x14ac:dyDescent="0.25">
      <c r="A298" s="24">
        <v>295</v>
      </c>
      <c r="B298" s="25"/>
      <c r="C298" s="26" t="str">
        <f t="shared" si="40"/>
        <v/>
      </c>
      <c r="D298" s="25"/>
      <c r="E298" s="27"/>
      <c r="F298" s="28"/>
      <c r="G298" s="28"/>
      <c r="H298" s="25"/>
      <c r="I298" s="25"/>
      <c r="J298" s="28"/>
      <c r="K298" s="29" t="str">
        <f t="shared" si="41"/>
        <v/>
      </c>
      <c r="L298" s="25"/>
      <c r="M298" s="29" t="str">
        <f t="shared" si="42"/>
        <v/>
      </c>
      <c r="N298" s="28"/>
      <c r="O298" s="29" t="str">
        <f t="shared" si="43"/>
        <v/>
      </c>
      <c r="P298" s="29" t="str">
        <f t="shared" si="44"/>
        <v/>
      </c>
      <c r="Q298" s="24" t="str">
        <f t="shared" si="45"/>
        <v/>
      </c>
      <c r="R298" s="25"/>
      <c r="S298" s="27"/>
      <c r="T298" s="24" t="str">
        <f t="shared" si="46"/>
        <v/>
      </c>
      <c r="U298" s="24" t="str">
        <f t="shared" si="47"/>
        <v/>
      </c>
      <c r="V298" s="24">
        <f>IF(OR(U298="",D298=""),0,IF(SUMPRODUCT(--(U$4:U298=U298))&gt;1,1,0))</f>
        <v>0</v>
      </c>
      <c r="W298" s="24">
        <f t="shared" si="48"/>
        <v>0</v>
      </c>
      <c r="X298" s="24">
        <f t="shared" si="49"/>
        <v>0</v>
      </c>
    </row>
    <row r="299" spans="1:24" x14ac:dyDescent="0.25">
      <c r="A299" s="24">
        <v>296</v>
      </c>
      <c r="B299" s="25"/>
      <c r="C299" s="26" t="str">
        <f t="shared" si="40"/>
        <v/>
      </c>
      <c r="D299" s="25"/>
      <c r="E299" s="27"/>
      <c r="F299" s="28"/>
      <c r="G299" s="28"/>
      <c r="H299" s="25"/>
      <c r="I299" s="25"/>
      <c r="J299" s="28"/>
      <c r="K299" s="29" t="str">
        <f t="shared" si="41"/>
        <v/>
      </c>
      <c r="L299" s="25"/>
      <c r="M299" s="29" t="str">
        <f t="shared" si="42"/>
        <v/>
      </c>
      <c r="N299" s="28"/>
      <c r="O299" s="29" t="str">
        <f t="shared" si="43"/>
        <v/>
      </c>
      <c r="P299" s="29" t="str">
        <f t="shared" si="44"/>
        <v/>
      </c>
      <c r="Q299" s="24" t="str">
        <f t="shared" si="45"/>
        <v/>
      </c>
      <c r="R299" s="25"/>
      <c r="S299" s="27"/>
      <c r="T299" s="24" t="str">
        <f t="shared" si="46"/>
        <v/>
      </c>
      <c r="U299" s="24" t="str">
        <f t="shared" si="47"/>
        <v/>
      </c>
      <c r="V299" s="24">
        <f>IF(OR(U299="",D299=""),0,IF(SUMPRODUCT(--(U$4:U299=U299))&gt;1,1,0))</f>
        <v>0</v>
      </c>
      <c r="W299" s="24">
        <f t="shared" si="48"/>
        <v>0</v>
      </c>
      <c r="X299" s="24">
        <f t="shared" si="49"/>
        <v>0</v>
      </c>
    </row>
    <row r="300" spans="1:24" x14ac:dyDescent="0.25">
      <c r="A300" s="24">
        <v>297</v>
      </c>
      <c r="B300" s="25"/>
      <c r="C300" s="26" t="str">
        <f t="shared" si="40"/>
        <v/>
      </c>
      <c r="D300" s="25"/>
      <c r="E300" s="27"/>
      <c r="F300" s="28"/>
      <c r="G300" s="28"/>
      <c r="H300" s="25"/>
      <c r="I300" s="25"/>
      <c r="J300" s="28"/>
      <c r="K300" s="29" t="str">
        <f t="shared" si="41"/>
        <v/>
      </c>
      <c r="L300" s="25"/>
      <c r="M300" s="29" t="str">
        <f t="shared" si="42"/>
        <v/>
      </c>
      <c r="N300" s="28"/>
      <c r="O300" s="29" t="str">
        <f t="shared" si="43"/>
        <v/>
      </c>
      <c r="P300" s="29" t="str">
        <f t="shared" si="44"/>
        <v/>
      </c>
      <c r="Q300" s="24" t="str">
        <f t="shared" si="45"/>
        <v/>
      </c>
      <c r="R300" s="25"/>
      <c r="S300" s="27"/>
      <c r="T300" s="24" t="str">
        <f t="shared" si="46"/>
        <v/>
      </c>
      <c r="U300" s="24" t="str">
        <f t="shared" si="47"/>
        <v/>
      </c>
      <c r="V300" s="24">
        <f>IF(OR(U300="",D300=""),0,IF(SUMPRODUCT(--(U$4:U300=U300))&gt;1,1,0))</f>
        <v>0</v>
      </c>
      <c r="W300" s="24">
        <f t="shared" si="48"/>
        <v>0</v>
      </c>
      <c r="X300" s="24">
        <f t="shared" si="49"/>
        <v>0</v>
      </c>
    </row>
    <row r="301" spans="1:24" x14ac:dyDescent="0.25">
      <c r="A301" s="24">
        <v>298</v>
      </c>
      <c r="B301" s="25"/>
      <c r="C301" s="26" t="str">
        <f t="shared" si="40"/>
        <v/>
      </c>
      <c r="D301" s="25"/>
      <c r="E301" s="27"/>
      <c r="F301" s="28"/>
      <c r="G301" s="28"/>
      <c r="H301" s="25"/>
      <c r="I301" s="25"/>
      <c r="J301" s="28"/>
      <c r="K301" s="29" t="str">
        <f t="shared" si="41"/>
        <v/>
      </c>
      <c r="L301" s="25"/>
      <c r="M301" s="29" t="str">
        <f t="shared" si="42"/>
        <v/>
      </c>
      <c r="N301" s="28"/>
      <c r="O301" s="29" t="str">
        <f t="shared" si="43"/>
        <v/>
      </c>
      <c r="P301" s="29" t="str">
        <f t="shared" si="44"/>
        <v/>
      </c>
      <c r="Q301" s="24" t="str">
        <f t="shared" si="45"/>
        <v/>
      </c>
      <c r="R301" s="25"/>
      <c r="S301" s="27"/>
      <c r="T301" s="24" t="str">
        <f t="shared" si="46"/>
        <v/>
      </c>
      <c r="U301" s="24" t="str">
        <f t="shared" si="47"/>
        <v/>
      </c>
      <c r="V301" s="24">
        <f>IF(OR(U301="",D301=""),0,IF(SUMPRODUCT(--(U$4:U301=U301))&gt;1,1,0))</f>
        <v>0</v>
      </c>
      <c r="W301" s="24">
        <f t="shared" si="48"/>
        <v>0</v>
      </c>
      <c r="X301" s="24">
        <f t="shared" si="49"/>
        <v>0</v>
      </c>
    </row>
    <row r="302" spans="1:24" x14ac:dyDescent="0.25">
      <c r="A302" s="24">
        <v>299</v>
      </c>
      <c r="B302" s="25"/>
      <c r="C302" s="26" t="str">
        <f t="shared" si="40"/>
        <v/>
      </c>
      <c r="D302" s="25"/>
      <c r="E302" s="27"/>
      <c r="F302" s="28"/>
      <c r="G302" s="28"/>
      <c r="H302" s="25"/>
      <c r="I302" s="25"/>
      <c r="J302" s="28"/>
      <c r="K302" s="29" t="str">
        <f t="shared" si="41"/>
        <v/>
      </c>
      <c r="L302" s="25"/>
      <c r="M302" s="29" t="str">
        <f t="shared" si="42"/>
        <v/>
      </c>
      <c r="N302" s="28"/>
      <c r="O302" s="29" t="str">
        <f t="shared" si="43"/>
        <v/>
      </c>
      <c r="P302" s="29" t="str">
        <f t="shared" si="44"/>
        <v/>
      </c>
      <c r="Q302" s="24" t="str">
        <f t="shared" si="45"/>
        <v/>
      </c>
      <c r="R302" s="25"/>
      <c r="S302" s="27"/>
      <c r="T302" s="24" t="str">
        <f t="shared" si="46"/>
        <v/>
      </c>
      <c r="U302" s="24" t="str">
        <f t="shared" si="47"/>
        <v/>
      </c>
      <c r="V302" s="24">
        <f>IF(OR(U302="",D302=""),0,IF(SUMPRODUCT(--(U$4:U302=U302))&gt;1,1,0))</f>
        <v>0</v>
      </c>
      <c r="W302" s="24">
        <f t="shared" si="48"/>
        <v>0</v>
      </c>
      <c r="X302" s="24">
        <f t="shared" si="49"/>
        <v>0</v>
      </c>
    </row>
    <row r="303" spans="1:24" x14ac:dyDescent="0.25">
      <c r="A303" s="24">
        <v>300</v>
      </c>
      <c r="B303" s="25"/>
      <c r="C303" s="26" t="str">
        <f t="shared" si="40"/>
        <v/>
      </c>
      <c r="D303" s="25"/>
      <c r="E303" s="27"/>
      <c r="F303" s="28"/>
      <c r="G303" s="28"/>
      <c r="H303" s="25"/>
      <c r="I303" s="25"/>
      <c r="J303" s="28"/>
      <c r="K303" s="29" t="str">
        <f t="shared" si="41"/>
        <v/>
      </c>
      <c r="L303" s="25"/>
      <c r="M303" s="29" t="str">
        <f t="shared" si="42"/>
        <v/>
      </c>
      <c r="N303" s="28"/>
      <c r="O303" s="29" t="str">
        <f t="shared" si="43"/>
        <v/>
      </c>
      <c r="P303" s="29" t="str">
        <f t="shared" si="44"/>
        <v/>
      </c>
      <c r="Q303" s="24" t="str">
        <f t="shared" si="45"/>
        <v/>
      </c>
      <c r="R303" s="25"/>
      <c r="S303" s="27"/>
      <c r="T303" s="24" t="str">
        <f t="shared" si="46"/>
        <v/>
      </c>
      <c r="U303" s="24" t="str">
        <f t="shared" si="47"/>
        <v/>
      </c>
      <c r="V303" s="24">
        <f>IF(OR(U303="",D303=""),0,IF(SUMPRODUCT(--(U$4:U303=U303))&gt;1,1,0))</f>
        <v>0</v>
      </c>
      <c r="W303" s="24">
        <f t="shared" si="48"/>
        <v>0</v>
      </c>
      <c r="X303" s="24">
        <f t="shared" si="49"/>
        <v>0</v>
      </c>
    </row>
    <row r="304" spans="1:24" x14ac:dyDescent="0.25">
      <c r="A304" s="24">
        <v>301</v>
      </c>
      <c r="B304" s="25"/>
      <c r="C304" s="26" t="str">
        <f t="shared" si="40"/>
        <v/>
      </c>
      <c r="D304" s="25"/>
      <c r="E304" s="27"/>
      <c r="F304" s="28"/>
      <c r="G304" s="28"/>
      <c r="H304" s="25"/>
      <c r="I304" s="25"/>
      <c r="J304" s="28"/>
      <c r="K304" s="29" t="str">
        <f t="shared" si="41"/>
        <v/>
      </c>
      <c r="L304" s="25"/>
      <c r="M304" s="29" t="str">
        <f t="shared" si="42"/>
        <v/>
      </c>
      <c r="N304" s="28"/>
      <c r="O304" s="29" t="str">
        <f t="shared" si="43"/>
        <v/>
      </c>
      <c r="P304" s="29" t="str">
        <f t="shared" si="44"/>
        <v/>
      </c>
      <c r="Q304" s="24" t="str">
        <f t="shared" si="45"/>
        <v/>
      </c>
      <c r="R304" s="25"/>
      <c r="S304" s="27"/>
      <c r="T304" s="24" t="str">
        <f t="shared" si="46"/>
        <v/>
      </c>
      <c r="U304" s="24" t="str">
        <f t="shared" si="47"/>
        <v/>
      </c>
      <c r="V304" s="24">
        <f>IF(OR(U304="",D304=""),0,IF(SUMPRODUCT(--(U$4:U304=U304))&gt;1,1,0))</f>
        <v>0</v>
      </c>
      <c r="W304" s="24">
        <f t="shared" si="48"/>
        <v>0</v>
      </c>
      <c r="X304" s="24">
        <f t="shared" si="49"/>
        <v>0</v>
      </c>
    </row>
    <row r="305" spans="1:24" x14ac:dyDescent="0.25">
      <c r="A305" s="24">
        <v>302</v>
      </c>
      <c r="B305" s="25"/>
      <c r="C305" s="26" t="str">
        <f t="shared" si="40"/>
        <v/>
      </c>
      <c r="D305" s="25"/>
      <c r="E305" s="27"/>
      <c r="F305" s="28"/>
      <c r="G305" s="28"/>
      <c r="H305" s="25"/>
      <c r="I305" s="25"/>
      <c r="J305" s="28"/>
      <c r="K305" s="29" t="str">
        <f t="shared" si="41"/>
        <v/>
      </c>
      <c r="L305" s="25"/>
      <c r="M305" s="29" t="str">
        <f t="shared" si="42"/>
        <v/>
      </c>
      <c r="N305" s="28"/>
      <c r="O305" s="29" t="str">
        <f t="shared" si="43"/>
        <v/>
      </c>
      <c r="P305" s="29" t="str">
        <f t="shared" si="44"/>
        <v/>
      </c>
      <c r="Q305" s="24" t="str">
        <f t="shared" si="45"/>
        <v/>
      </c>
      <c r="R305" s="25"/>
      <c r="S305" s="27"/>
      <c r="T305" s="24" t="str">
        <f t="shared" si="46"/>
        <v/>
      </c>
      <c r="U305" s="24" t="str">
        <f t="shared" si="47"/>
        <v/>
      </c>
      <c r="V305" s="24">
        <f>IF(OR(U305="",D305=""),0,IF(SUMPRODUCT(--(U$4:U305=U305))&gt;1,1,0))</f>
        <v>0</v>
      </c>
      <c r="W305" s="24">
        <f t="shared" si="48"/>
        <v>0</v>
      </c>
      <c r="X305" s="24">
        <f t="shared" si="49"/>
        <v>0</v>
      </c>
    </row>
    <row r="306" spans="1:24" x14ac:dyDescent="0.25">
      <c r="A306" s="24">
        <v>303</v>
      </c>
      <c r="B306" s="25"/>
      <c r="C306" s="26" t="str">
        <f t="shared" si="40"/>
        <v/>
      </c>
      <c r="D306" s="25"/>
      <c r="E306" s="27"/>
      <c r="F306" s="28"/>
      <c r="G306" s="28"/>
      <c r="H306" s="25"/>
      <c r="I306" s="25"/>
      <c r="J306" s="28"/>
      <c r="K306" s="29" t="str">
        <f t="shared" si="41"/>
        <v/>
      </c>
      <c r="L306" s="25"/>
      <c r="M306" s="29" t="str">
        <f t="shared" si="42"/>
        <v/>
      </c>
      <c r="N306" s="28"/>
      <c r="O306" s="29" t="str">
        <f t="shared" si="43"/>
        <v/>
      </c>
      <c r="P306" s="29" t="str">
        <f t="shared" si="44"/>
        <v/>
      </c>
      <c r="Q306" s="24" t="str">
        <f t="shared" si="45"/>
        <v/>
      </c>
      <c r="R306" s="25"/>
      <c r="S306" s="27"/>
      <c r="T306" s="24" t="str">
        <f t="shared" si="46"/>
        <v/>
      </c>
      <c r="U306" s="24" t="str">
        <f t="shared" si="47"/>
        <v/>
      </c>
      <c r="V306" s="24">
        <f>IF(OR(U306="",D306=""),0,IF(SUMPRODUCT(--(U$4:U306=U306))&gt;1,1,0))</f>
        <v>0</v>
      </c>
      <c r="W306" s="24">
        <f t="shared" si="48"/>
        <v>0</v>
      </c>
      <c r="X306" s="24">
        <f t="shared" si="49"/>
        <v>0</v>
      </c>
    </row>
    <row r="307" spans="1:24" x14ac:dyDescent="0.25">
      <c r="A307" s="24">
        <v>304</v>
      </c>
      <c r="B307" s="25"/>
      <c r="C307" s="26" t="str">
        <f t="shared" si="40"/>
        <v/>
      </c>
      <c r="D307" s="25"/>
      <c r="E307" s="27"/>
      <c r="F307" s="28"/>
      <c r="G307" s="28"/>
      <c r="H307" s="25"/>
      <c r="I307" s="25"/>
      <c r="J307" s="28"/>
      <c r="K307" s="29" t="str">
        <f t="shared" si="41"/>
        <v/>
      </c>
      <c r="L307" s="25"/>
      <c r="M307" s="29" t="str">
        <f t="shared" si="42"/>
        <v/>
      </c>
      <c r="N307" s="28"/>
      <c r="O307" s="29" t="str">
        <f t="shared" si="43"/>
        <v/>
      </c>
      <c r="P307" s="29" t="str">
        <f t="shared" si="44"/>
        <v/>
      </c>
      <c r="Q307" s="24" t="str">
        <f t="shared" si="45"/>
        <v/>
      </c>
      <c r="R307" s="25"/>
      <c r="S307" s="27"/>
      <c r="T307" s="24" t="str">
        <f t="shared" si="46"/>
        <v/>
      </c>
      <c r="U307" s="24" t="str">
        <f t="shared" si="47"/>
        <v/>
      </c>
      <c r="V307" s="24">
        <f>IF(OR(U307="",D307=""),0,IF(SUMPRODUCT(--(U$4:U307=U307))&gt;1,1,0))</f>
        <v>0</v>
      </c>
      <c r="W307" s="24">
        <f t="shared" si="48"/>
        <v>0</v>
      </c>
      <c r="X307" s="24">
        <f t="shared" si="49"/>
        <v>0</v>
      </c>
    </row>
    <row r="308" spans="1:24" x14ac:dyDescent="0.25">
      <c r="A308" s="24">
        <v>305</v>
      </c>
      <c r="B308" s="25"/>
      <c r="C308" s="26" t="str">
        <f t="shared" si="40"/>
        <v/>
      </c>
      <c r="D308" s="25"/>
      <c r="E308" s="27"/>
      <c r="F308" s="28"/>
      <c r="G308" s="28"/>
      <c r="H308" s="25"/>
      <c r="I308" s="25"/>
      <c r="J308" s="28"/>
      <c r="K308" s="29" t="str">
        <f t="shared" si="41"/>
        <v/>
      </c>
      <c r="L308" s="25"/>
      <c r="M308" s="29" t="str">
        <f t="shared" si="42"/>
        <v/>
      </c>
      <c r="N308" s="28"/>
      <c r="O308" s="29" t="str">
        <f t="shared" si="43"/>
        <v/>
      </c>
      <c r="P308" s="29" t="str">
        <f t="shared" si="44"/>
        <v/>
      </c>
      <c r="Q308" s="24" t="str">
        <f t="shared" si="45"/>
        <v/>
      </c>
      <c r="R308" s="25"/>
      <c r="S308" s="27"/>
      <c r="T308" s="24" t="str">
        <f t="shared" si="46"/>
        <v/>
      </c>
      <c r="U308" s="24" t="str">
        <f t="shared" si="47"/>
        <v/>
      </c>
      <c r="V308" s="24">
        <f>IF(OR(U308="",D308=""),0,IF(SUMPRODUCT(--(U$4:U308=U308))&gt;1,1,0))</f>
        <v>0</v>
      </c>
      <c r="W308" s="24">
        <f t="shared" si="48"/>
        <v>0</v>
      </c>
      <c r="X308" s="24">
        <f t="shared" si="49"/>
        <v>0</v>
      </c>
    </row>
    <row r="309" spans="1:24" x14ac:dyDescent="0.25">
      <c r="A309" s="24">
        <v>306</v>
      </c>
      <c r="B309" s="25"/>
      <c r="C309" s="26" t="str">
        <f t="shared" si="40"/>
        <v/>
      </c>
      <c r="D309" s="25"/>
      <c r="E309" s="27"/>
      <c r="F309" s="28"/>
      <c r="G309" s="28"/>
      <c r="H309" s="25"/>
      <c r="I309" s="25"/>
      <c r="J309" s="28"/>
      <c r="K309" s="29" t="str">
        <f t="shared" si="41"/>
        <v/>
      </c>
      <c r="L309" s="25"/>
      <c r="M309" s="29" t="str">
        <f t="shared" si="42"/>
        <v/>
      </c>
      <c r="N309" s="28"/>
      <c r="O309" s="29" t="str">
        <f t="shared" si="43"/>
        <v/>
      </c>
      <c r="P309" s="29" t="str">
        <f t="shared" si="44"/>
        <v/>
      </c>
      <c r="Q309" s="24" t="str">
        <f t="shared" si="45"/>
        <v/>
      </c>
      <c r="R309" s="25"/>
      <c r="S309" s="27"/>
      <c r="T309" s="24" t="str">
        <f t="shared" si="46"/>
        <v/>
      </c>
      <c r="U309" s="24" t="str">
        <f t="shared" si="47"/>
        <v/>
      </c>
      <c r="V309" s="24">
        <f>IF(OR(U309="",D309=""),0,IF(SUMPRODUCT(--(U$4:U309=U309))&gt;1,1,0))</f>
        <v>0</v>
      </c>
      <c r="W309" s="24">
        <f t="shared" si="48"/>
        <v>0</v>
      </c>
      <c r="X309" s="24">
        <f t="shared" si="49"/>
        <v>0</v>
      </c>
    </row>
    <row r="310" spans="1:24" x14ac:dyDescent="0.25">
      <c r="A310" s="24">
        <v>307</v>
      </c>
      <c r="B310" s="25"/>
      <c r="C310" s="26" t="str">
        <f t="shared" si="40"/>
        <v/>
      </c>
      <c r="D310" s="25"/>
      <c r="E310" s="27"/>
      <c r="F310" s="28"/>
      <c r="G310" s="28"/>
      <c r="H310" s="25"/>
      <c r="I310" s="25"/>
      <c r="J310" s="28"/>
      <c r="K310" s="29" t="str">
        <f t="shared" si="41"/>
        <v/>
      </c>
      <c r="L310" s="25"/>
      <c r="M310" s="29" t="str">
        <f t="shared" si="42"/>
        <v/>
      </c>
      <c r="N310" s="28"/>
      <c r="O310" s="29" t="str">
        <f t="shared" si="43"/>
        <v/>
      </c>
      <c r="P310" s="29" t="str">
        <f t="shared" si="44"/>
        <v/>
      </c>
      <c r="Q310" s="24" t="str">
        <f t="shared" si="45"/>
        <v/>
      </c>
      <c r="R310" s="25"/>
      <c r="S310" s="27"/>
      <c r="T310" s="24" t="str">
        <f t="shared" si="46"/>
        <v/>
      </c>
      <c r="U310" s="24" t="str">
        <f t="shared" si="47"/>
        <v/>
      </c>
      <c r="V310" s="24">
        <f>IF(OR(U310="",D310=""),0,IF(SUMPRODUCT(--(U$4:U310=U310))&gt;1,1,0))</f>
        <v>0</v>
      </c>
      <c r="W310" s="24">
        <f t="shared" si="48"/>
        <v>0</v>
      </c>
      <c r="X310" s="24">
        <f t="shared" si="49"/>
        <v>0</v>
      </c>
    </row>
    <row r="311" spans="1:24" x14ac:dyDescent="0.25">
      <c r="A311" s="24">
        <v>308</v>
      </c>
      <c r="B311" s="25"/>
      <c r="C311" s="26" t="str">
        <f t="shared" si="40"/>
        <v/>
      </c>
      <c r="D311" s="25"/>
      <c r="E311" s="27"/>
      <c r="F311" s="28"/>
      <c r="G311" s="28"/>
      <c r="H311" s="25"/>
      <c r="I311" s="25"/>
      <c r="J311" s="28"/>
      <c r="K311" s="29" t="str">
        <f t="shared" si="41"/>
        <v/>
      </c>
      <c r="L311" s="25"/>
      <c r="M311" s="29" t="str">
        <f t="shared" si="42"/>
        <v/>
      </c>
      <c r="N311" s="28"/>
      <c r="O311" s="29" t="str">
        <f t="shared" si="43"/>
        <v/>
      </c>
      <c r="P311" s="29" t="str">
        <f t="shared" si="44"/>
        <v/>
      </c>
      <c r="Q311" s="24" t="str">
        <f t="shared" si="45"/>
        <v/>
      </c>
      <c r="R311" s="25"/>
      <c r="S311" s="27"/>
      <c r="T311" s="24" t="str">
        <f t="shared" si="46"/>
        <v/>
      </c>
      <c r="U311" s="24" t="str">
        <f t="shared" si="47"/>
        <v/>
      </c>
      <c r="V311" s="24">
        <f>IF(OR(U311="",D311=""),0,IF(SUMPRODUCT(--(U$4:U311=U311))&gt;1,1,0))</f>
        <v>0</v>
      </c>
      <c r="W311" s="24">
        <f t="shared" si="48"/>
        <v>0</v>
      </c>
      <c r="X311" s="24">
        <f t="shared" si="49"/>
        <v>0</v>
      </c>
    </row>
    <row r="312" spans="1:24" x14ac:dyDescent="0.25">
      <c r="A312" s="24">
        <v>309</v>
      </c>
      <c r="B312" s="25"/>
      <c r="C312" s="26" t="str">
        <f t="shared" si="40"/>
        <v/>
      </c>
      <c r="D312" s="25"/>
      <c r="E312" s="27"/>
      <c r="F312" s="28"/>
      <c r="G312" s="28"/>
      <c r="H312" s="25"/>
      <c r="I312" s="25"/>
      <c r="J312" s="28"/>
      <c r="K312" s="29" t="str">
        <f t="shared" si="41"/>
        <v/>
      </c>
      <c r="L312" s="25"/>
      <c r="M312" s="29" t="str">
        <f t="shared" si="42"/>
        <v/>
      </c>
      <c r="N312" s="28"/>
      <c r="O312" s="29" t="str">
        <f t="shared" si="43"/>
        <v/>
      </c>
      <c r="P312" s="29" t="str">
        <f t="shared" si="44"/>
        <v/>
      </c>
      <c r="Q312" s="24" t="str">
        <f t="shared" si="45"/>
        <v/>
      </c>
      <c r="R312" s="25"/>
      <c r="S312" s="27"/>
      <c r="T312" s="24" t="str">
        <f t="shared" si="46"/>
        <v/>
      </c>
      <c r="U312" s="24" t="str">
        <f t="shared" si="47"/>
        <v/>
      </c>
      <c r="V312" s="24">
        <f>IF(OR(U312="",D312=""),0,IF(SUMPRODUCT(--(U$4:U312=U312))&gt;1,1,0))</f>
        <v>0</v>
      </c>
      <c r="W312" s="24">
        <f t="shared" si="48"/>
        <v>0</v>
      </c>
      <c r="X312" s="24">
        <f t="shared" si="49"/>
        <v>0</v>
      </c>
    </row>
    <row r="313" spans="1:24" x14ac:dyDescent="0.25">
      <c r="A313" s="24">
        <v>310</v>
      </c>
      <c r="B313" s="25"/>
      <c r="C313" s="26" t="str">
        <f t="shared" si="40"/>
        <v/>
      </c>
      <c r="D313" s="25"/>
      <c r="E313" s="27"/>
      <c r="F313" s="28"/>
      <c r="G313" s="28"/>
      <c r="H313" s="25"/>
      <c r="I313" s="25"/>
      <c r="J313" s="28"/>
      <c r="K313" s="29" t="str">
        <f t="shared" si="41"/>
        <v/>
      </c>
      <c r="L313" s="25"/>
      <c r="M313" s="29" t="str">
        <f t="shared" si="42"/>
        <v/>
      </c>
      <c r="N313" s="28"/>
      <c r="O313" s="29" t="str">
        <f t="shared" si="43"/>
        <v/>
      </c>
      <c r="P313" s="29" t="str">
        <f t="shared" si="44"/>
        <v/>
      </c>
      <c r="Q313" s="24" t="str">
        <f t="shared" si="45"/>
        <v/>
      </c>
      <c r="R313" s="25"/>
      <c r="S313" s="27"/>
      <c r="T313" s="24" t="str">
        <f t="shared" si="46"/>
        <v/>
      </c>
      <c r="U313" s="24" t="str">
        <f t="shared" si="47"/>
        <v/>
      </c>
      <c r="V313" s="24">
        <f>IF(OR(U313="",D313=""),0,IF(SUMPRODUCT(--(U$4:U313=U313))&gt;1,1,0))</f>
        <v>0</v>
      </c>
      <c r="W313" s="24">
        <f t="shared" si="48"/>
        <v>0</v>
      </c>
      <c r="X313" s="24">
        <f t="shared" si="49"/>
        <v>0</v>
      </c>
    </row>
    <row r="314" spans="1:24" x14ac:dyDescent="0.25">
      <c r="A314" s="24">
        <v>311</v>
      </c>
      <c r="B314" s="25"/>
      <c r="C314" s="26" t="str">
        <f t="shared" si="40"/>
        <v/>
      </c>
      <c r="D314" s="25"/>
      <c r="E314" s="27"/>
      <c r="F314" s="28"/>
      <c r="G314" s="28"/>
      <c r="H314" s="25"/>
      <c r="I314" s="25"/>
      <c r="J314" s="28"/>
      <c r="K314" s="29" t="str">
        <f t="shared" si="41"/>
        <v/>
      </c>
      <c r="L314" s="25"/>
      <c r="M314" s="29" t="str">
        <f t="shared" si="42"/>
        <v/>
      </c>
      <c r="N314" s="28"/>
      <c r="O314" s="29" t="str">
        <f t="shared" si="43"/>
        <v/>
      </c>
      <c r="P314" s="29" t="str">
        <f t="shared" si="44"/>
        <v/>
      </c>
      <c r="Q314" s="24" t="str">
        <f t="shared" si="45"/>
        <v/>
      </c>
      <c r="R314" s="25"/>
      <c r="S314" s="27"/>
      <c r="T314" s="24" t="str">
        <f t="shared" si="46"/>
        <v/>
      </c>
      <c r="U314" s="24" t="str">
        <f t="shared" si="47"/>
        <v/>
      </c>
      <c r="V314" s="24">
        <f>IF(OR(U314="",D314=""),0,IF(SUMPRODUCT(--(U$4:U314=U314))&gt;1,1,0))</f>
        <v>0</v>
      </c>
      <c r="W314" s="24">
        <f t="shared" si="48"/>
        <v>0</v>
      </c>
      <c r="X314" s="24">
        <f t="shared" si="49"/>
        <v>0</v>
      </c>
    </row>
    <row r="315" spans="1:24" x14ac:dyDescent="0.25">
      <c r="A315" s="24">
        <v>312</v>
      </c>
      <c r="B315" s="25"/>
      <c r="C315" s="26" t="str">
        <f t="shared" si="40"/>
        <v/>
      </c>
      <c r="D315" s="25"/>
      <c r="E315" s="27"/>
      <c r="F315" s="28"/>
      <c r="G315" s="28"/>
      <c r="H315" s="25"/>
      <c r="I315" s="25"/>
      <c r="J315" s="28"/>
      <c r="K315" s="29" t="str">
        <f t="shared" si="41"/>
        <v/>
      </c>
      <c r="L315" s="25"/>
      <c r="M315" s="29" t="str">
        <f t="shared" si="42"/>
        <v/>
      </c>
      <c r="N315" s="28"/>
      <c r="O315" s="29" t="str">
        <f t="shared" si="43"/>
        <v/>
      </c>
      <c r="P315" s="29" t="str">
        <f t="shared" si="44"/>
        <v/>
      </c>
      <c r="Q315" s="24" t="str">
        <f t="shared" si="45"/>
        <v/>
      </c>
      <c r="R315" s="25"/>
      <c r="S315" s="27"/>
      <c r="T315" s="24" t="str">
        <f t="shared" si="46"/>
        <v/>
      </c>
      <c r="U315" s="24" t="str">
        <f t="shared" si="47"/>
        <v/>
      </c>
      <c r="V315" s="24">
        <f>IF(OR(U315="",D315=""),0,IF(SUMPRODUCT(--(U$4:U315=U315))&gt;1,1,0))</f>
        <v>0</v>
      </c>
      <c r="W315" s="24">
        <f t="shared" si="48"/>
        <v>0</v>
      </c>
      <c r="X315" s="24">
        <f t="shared" si="49"/>
        <v>0</v>
      </c>
    </row>
    <row r="316" spans="1:24" x14ac:dyDescent="0.25">
      <c r="A316" s="24">
        <v>313</v>
      </c>
      <c r="B316" s="25"/>
      <c r="C316" s="26" t="str">
        <f t="shared" si="40"/>
        <v/>
      </c>
      <c r="D316" s="25"/>
      <c r="E316" s="27"/>
      <c r="F316" s="28"/>
      <c r="G316" s="28"/>
      <c r="H316" s="25"/>
      <c r="I316" s="25"/>
      <c r="J316" s="28"/>
      <c r="K316" s="29" t="str">
        <f t="shared" si="41"/>
        <v/>
      </c>
      <c r="L316" s="25"/>
      <c r="M316" s="29" t="str">
        <f t="shared" si="42"/>
        <v/>
      </c>
      <c r="N316" s="28"/>
      <c r="O316" s="29" t="str">
        <f t="shared" si="43"/>
        <v/>
      </c>
      <c r="P316" s="29" t="str">
        <f t="shared" si="44"/>
        <v/>
      </c>
      <c r="Q316" s="24" t="str">
        <f t="shared" si="45"/>
        <v/>
      </c>
      <c r="R316" s="25"/>
      <c r="S316" s="27"/>
      <c r="T316" s="24" t="str">
        <f t="shared" si="46"/>
        <v/>
      </c>
      <c r="U316" s="24" t="str">
        <f t="shared" si="47"/>
        <v/>
      </c>
      <c r="V316" s="24">
        <f>IF(OR(U316="",D316=""),0,IF(SUMPRODUCT(--(U$4:U316=U316))&gt;1,1,0))</f>
        <v>0</v>
      </c>
      <c r="W316" s="24">
        <f t="shared" si="48"/>
        <v>0</v>
      </c>
      <c r="X316" s="24">
        <f t="shared" si="49"/>
        <v>0</v>
      </c>
    </row>
    <row r="317" spans="1:24" x14ac:dyDescent="0.25">
      <c r="A317" s="24">
        <v>314</v>
      </c>
      <c r="B317" s="25"/>
      <c r="C317" s="26" t="str">
        <f t="shared" si="40"/>
        <v/>
      </c>
      <c r="D317" s="25"/>
      <c r="E317" s="27"/>
      <c r="F317" s="28"/>
      <c r="G317" s="28"/>
      <c r="H317" s="25"/>
      <c r="I317" s="25"/>
      <c r="J317" s="28"/>
      <c r="K317" s="29" t="str">
        <f t="shared" si="41"/>
        <v/>
      </c>
      <c r="L317" s="25"/>
      <c r="M317" s="29" t="str">
        <f t="shared" si="42"/>
        <v/>
      </c>
      <c r="N317" s="28"/>
      <c r="O317" s="29" t="str">
        <f t="shared" si="43"/>
        <v/>
      </c>
      <c r="P317" s="29" t="str">
        <f t="shared" si="44"/>
        <v/>
      </c>
      <c r="Q317" s="24" t="str">
        <f t="shared" si="45"/>
        <v/>
      </c>
      <c r="R317" s="25"/>
      <c r="S317" s="27"/>
      <c r="T317" s="24" t="str">
        <f t="shared" si="46"/>
        <v/>
      </c>
      <c r="U317" s="24" t="str">
        <f t="shared" si="47"/>
        <v/>
      </c>
      <c r="V317" s="24">
        <f>IF(OR(U317="",D317=""),0,IF(SUMPRODUCT(--(U$4:U317=U317))&gt;1,1,0))</f>
        <v>0</v>
      </c>
      <c r="W317" s="24">
        <f t="shared" si="48"/>
        <v>0</v>
      </c>
      <c r="X317" s="24">
        <f t="shared" si="49"/>
        <v>0</v>
      </c>
    </row>
    <row r="318" spans="1:24" x14ac:dyDescent="0.25">
      <c r="A318" s="24">
        <v>315</v>
      </c>
      <c r="B318" s="25"/>
      <c r="C318" s="26" t="str">
        <f t="shared" si="40"/>
        <v/>
      </c>
      <c r="D318" s="25"/>
      <c r="E318" s="27"/>
      <c r="F318" s="28"/>
      <c r="G318" s="28"/>
      <c r="H318" s="25"/>
      <c r="I318" s="25"/>
      <c r="J318" s="28"/>
      <c r="K318" s="29" t="str">
        <f t="shared" si="41"/>
        <v/>
      </c>
      <c r="L318" s="25"/>
      <c r="M318" s="29" t="str">
        <f t="shared" si="42"/>
        <v/>
      </c>
      <c r="N318" s="28"/>
      <c r="O318" s="29" t="str">
        <f t="shared" si="43"/>
        <v/>
      </c>
      <c r="P318" s="29" t="str">
        <f t="shared" si="44"/>
        <v/>
      </c>
      <c r="Q318" s="24" t="str">
        <f t="shared" si="45"/>
        <v/>
      </c>
      <c r="R318" s="25"/>
      <c r="S318" s="27"/>
      <c r="T318" s="24" t="str">
        <f t="shared" si="46"/>
        <v/>
      </c>
      <c r="U318" s="24" t="str">
        <f t="shared" si="47"/>
        <v/>
      </c>
      <c r="V318" s="24">
        <f>IF(OR(U318="",D318=""),0,IF(SUMPRODUCT(--(U$4:U318=U318))&gt;1,1,0))</f>
        <v>0</v>
      </c>
      <c r="W318" s="24">
        <f t="shared" si="48"/>
        <v>0</v>
      </c>
      <c r="X318" s="24">
        <f t="shared" si="49"/>
        <v>0</v>
      </c>
    </row>
    <row r="319" spans="1:24" x14ac:dyDescent="0.25">
      <c r="A319" s="24">
        <v>316</v>
      </c>
      <c r="B319" s="25"/>
      <c r="C319" s="26" t="str">
        <f t="shared" si="40"/>
        <v/>
      </c>
      <c r="D319" s="25"/>
      <c r="E319" s="27"/>
      <c r="F319" s="28"/>
      <c r="G319" s="28"/>
      <c r="H319" s="25"/>
      <c r="I319" s="25"/>
      <c r="J319" s="28"/>
      <c r="K319" s="29" t="str">
        <f t="shared" si="41"/>
        <v/>
      </c>
      <c r="L319" s="25"/>
      <c r="M319" s="29" t="str">
        <f t="shared" si="42"/>
        <v/>
      </c>
      <c r="N319" s="28"/>
      <c r="O319" s="29" t="str">
        <f t="shared" si="43"/>
        <v/>
      </c>
      <c r="P319" s="29" t="str">
        <f t="shared" si="44"/>
        <v/>
      </c>
      <c r="Q319" s="24" t="str">
        <f t="shared" si="45"/>
        <v/>
      </c>
      <c r="R319" s="25"/>
      <c r="S319" s="27"/>
      <c r="T319" s="24" t="str">
        <f t="shared" si="46"/>
        <v/>
      </c>
      <c r="U319" s="24" t="str">
        <f t="shared" si="47"/>
        <v/>
      </c>
      <c r="V319" s="24">
        <f>IF(OR(U319="",D319=""),0,IF(SUMPRODUCT(--(U$4:U319=U319))&gt;1,1,0))</f>
        <v>0</v>
      </c>
      <c r="W319" s="24">
        <f t="shared" si="48"/>
        <v>0</v>
      </c>
      <c r="X319" s="24">
        <f t="shared" si="49"/>
        <v>0</v>
      </c>
    </row>
    <row r="320" spans="1:24" x14ac:dyDescent="0.25">
      <c r="A320" s="24">
        <v>317</v>
      </c>
      <c r="B320" s="25"/>
      <c r="C320" s="26" t="str">
        <f t="shared" si="40"/>
        <v/>
      </c>
      <c r="D320" s="25"/>
      <c r="E320" s="27"/>
      <c r="F320" s="28"/>
      <c r="G320" s="28"/>
      <c r="H320" s="25"/>
      <c r="I320" s="25"/>
      <c r="J320" s="28"/>
      <c r="K320" s="29" t="str">
        <f t="shared" si="41"/>
        <v/>
      </c>
      <c r="L320" s="25"/>
      <c r="M320" s="29" t="str">
        <f t="shared" si="42"/>
        <v/>
      </c>
      <c r="N320" s="28"/>
      <c r="O320" s="29" t="str">
        <f t="shared" si="43"/>
        <v/>
      </c>
      <c r="P320" s="29" t="str">
        <f t="shared" si="44"/>
        <v/>
      </c>
      <c r="Q320" s="24" t="str">
        <f t="shared" si="45"/>
        <v/>
      </c>
      <c r="R320" s="25"/>
      <c r="S320" s="27"/>
      <c r="T320" s="24" t="str">
        <f t="shared" si="46"/>
        <v/>
      </c>
      <c r="U320" s="24" t="str">
        <f t="shared" si="47"/>
        <v/>
      </c>
      <c r="V320" s="24">
        <f>IF(OR(U320="",D320=""),0,IF(SUMPRODUCT(--(U$4:U320=U320))&gt;1,1,0))</f>
        <v>0</v>
      </c>
      <c r="W320" s="24">
        <f t="shared" si="48"/>
        <v>0</v>
      </c>
      <c r="X320" s="24">
        <f t="shared" si="49"/>
        <v>0</v>
      </c>
    </row>
    <row r="321" spans="1:24" x14ac:dyDescent="0.25">
      <c r="A321" s="24">
        <v>318</v>
      </c>
      <c r="B321" s="25"/>
      <c r="C321" s="26" t="str">
        <f t="shared" si="40"/>
        <v/>
      </c>
      <c r="D321" s="25"/>
      <c r="E321" s="27"/>
      <c r="F321" s="28"/>
      <c r="G321" s="28"/>
      <c r="H321" s="25"/>
      <c r="I321" s="25"/>
      <c r="J321" s="28"/>
      <c r="K321" s="29" t="str">
        <f t="shared" si="41"/>
        <v/>
      </c>
      <c r="L321" s="25"/>
      <c r="M321" s="29" t="str">
        <f t="shared" si="42"/>
        <v/>
      </c>
      <c r="N321" s="28"/>
      <c r="O321" s="29" t="str">
        <f t="shared" si="43"/>
        <v/>
      </c>
      <c r="P321" s="29" t="str">
        <f t="shared" si="44"/>
        <v/>
      </c>
      <c r="Q321" s="24" t="str">
        <f t="shared" si="45"/>
        <v/>
      </c>
      <c r="R321" s="25"/>
      <c r="S321" s="27"/>
      <c r="T321" s="24" t="str">
        <f t="shared" si="46"/>
        <v/>
      </c>
      <c r="U321" s="24" t="str">
        <f t="shared" si="47"/>
        <v/>
      </c>
      <c r="V321" s="24">
        <f>IF(OR(U321="",D321=""),0,IF(SUMPRODUCT(--(U$4:U321=U321))&gt;1,1,0))</f>
        <v>0</v>
      </c>
      <c r="W321" s="24">
        <f t="shared" si="48"/>
        <v>0</v>
      </c>
      <c r="X321" s="24">
        <f t="shared" si="49"/>
        <v>0</v>
      </c>
    </row>
    <row r="322" spans="1:24" x14ac:dyDescent="0.25">
      <c r="A322" s="24">
        <v>319</v>
      </c>
      <c r="B322" s="25"/>
      <c r="C322" s="26" t="str">
        <f t="shared" si="40"/>
        <v/>
      </c>
      <c r="D322" s="25"/>
      <c r="E322" s="27"/>
      <c r="F322" s="28"/>
      <c r="G322" s="28"/>
      <c r="H322" s="25"/>
      <c r="I322" s="25"/>
      <c r="J322" s="28"/>
      <c r="K322" s="29" t="str">
        <f t="shared" si="41"/>
        <v/>
      </c>
      <c r="L322" s="25"/>
      <c r="M322" s="29" t="str">
        <f t="shared" si="42"/>
        <v/>
      </c>
      <c r="N322" s="28"/>
      <c r="O322" s="29" t="str">
        <f t="shared" si="43"/>
        <v/>
      </c>
      <c r="P322" s="29" t="str">
        <f t="shared" si="44"/>
        <v/>
      </c>
      <c r="Q322" s="24" t="str">
        <f t="shared" si="45"/>
        <v/>
      </c>
      <c r="R322" s="25"/>
      <c r="S322" s="27"/>
      <c r="T322" s="24" t="str">
        <f t="shared" si="46"/>
        <v/>
      </c>
      <c r="U322" s="24" t="str">
        <f t="shared" si="47"/>
        <v/>
      </c>
      <c r="V322" s="24">
        <f>IF(OR(U322="",D322=""),0,IF(SUMPRODUCT(--(U$4:U322=U322))&gt;1,1,0))</f>
        <v>0</v>
      </c>
      <c r="W322" s="24">
        <f t="shared" si="48"/>
        <v>0</v>
      </c>
      <c r="X322" s="24">
        <f t="shared" si="49"/>
        <v>0</v>
      </c>
    </row>
    <row r="323" spans="1:24" x14ac:dyDescent="0.25">
      <c r="A323" s="24">
        <v>320</v>
      </c>
      <c r="B323" s="25"/>
      <c r="C323" s="26" t="str">
        <f t="shared" si="40"/>
        <v/>
      </c>
      <c r="D323" s="25"/>
      <c r="E323" s="27"/>
      <c r="F323" s="28"/>
      <c r="G323" s="28"/>
      <c r="H323" s="25"/>
      <c r="I323" s="25"/>
      <c r="J323" s="28"/>
      <c r="K323" s="29" t="str">
        <f t="shared" si="41"/>
        <v/>
      </c>
      <c r="L323" s="25"/>
      <c r="M323" s="29" t="str">
        <f t="shared" si="42"/>
        <v/>
      </c>
      <c r="N323" s="28"/>
      <c r="O323" s="29" t="str">
        <f t="shared" si="43"/>
        <v/>
      </c>
      <c r="P323" s="29" t="str">
        <f t="shared" si="44"/>
        <v/>
      </c>
      <c r="Q323" s="24" t="str">
        <f t="shared" si="45"/>
        <v/>
      </c>
      <c r="R323" s="25"/>
      <c r="S323" s="27"/>
      <c r="T323" s="24" t="str">
        <f t="shared" si="46"/>
        <v/>
      </c>
      <c r="U323" s="24" t="str">
        <f t="shared" si="47"/>
        <v/>
      </c>
      <c r="V323" s="24">
        <f>IF(OR(U323="",D323=""),0,IF(SUMPRODUCT(--(U$4:U323=U323))&gt;1,1,0))</f>
        <v>0</v>
      </c>
      <c r="W323" s="24">
        <f t="shared" si="48"/>
        <v>0</v>
      </c>
      <c r="X323" s="24">
        <f t="shared" si="49"/>
        <v>0</v>
      </c>
    </row>
    <row r="324" spans="1:24" x14ac:dyDescent="0.25">
      <c r="A324" s="24">
        <v>321</v>
      </c>
      <c r="B324" s="25"/>
      <c r="C324" s="26" t="str">
        <f t="shared" ref="C324:C387" si="50">IF(B324="","",IFERROR(INDEX(SpaceNames,MATCH(B324,SpaceCodes,0))&amp;"",""))</f>
        <v/>
      </c>
      <c r="D324" s="25"/>
      <c r="E324" s="27"/>
      <c r="F324" s="28"/>
      <c r="G324" s="28"/>
      <c r="H324" s="25"/>
      <c r="I324" s="25"/>
      <c r="J324" s="28"/>
      <c r="K324" s="29" t="str">
        <f t="shared" ref="K324:K387" si="51">IF(U324="","",IF(V324=1,0,IF(I324="يدوي",IF(J324&lt;&gt;"",J324*IF(H324="",1,H324),""),IF(AND(F324&lt;&gt;"",G324&lt;&gt;""),F324*G324*IF(H324="",1,H324),""))))</f>
        <v/>
      </c>
      <c r="L324" s="25"/>
      <c r="M324" s="29" t="str">
        <f t="shared" ref="M324:M387" si="52">IF(U324="","",IF(OR(X324=0,B324="",D324=""),0,IF(E324="",0,SUMIFS(OP_Area,OP_Space,B324,OP_Wall,D324,OP_DedFin,"نعم",OP_Target,E324))+IF(W324=1,SUMIFS(OP_Area,OP_Space,B324,OP_Wall,D324,OP_DedFin,"نعم",OP_Target,""),0)))</f>
        <v/>
      </c>
      <c r="N324" s="28"/>
      <c r="O324" s="29" t="str">
        <f t="shared" ref="O324:O387" si="53">IF(OR(U324="",K324=""),"",N(M324)+N(N324))</f>
        <v/>
      </c>
      <c r="P324" s="29" t="str">
        <f t="shared" ref="P324:P387" si="54">IF(OR(U324="",K324=""),"",K324-O324)</f>
        <v/>
      </c>
      <c r="Q324" s="24" t="str">
        <f t="shared" ref="Q324:Q387" si="55">IF(E324="","",IFERROR(IF(INDEX(WallUnit,MATCH(E324,WallMat,0))="","م²",INDEX(WallUnit,MATCH(E324,WallMat,0))),"م²"))</f>
        <v/>
      </c>
      <c r="R324" s="25"/>
      <c r="S324" s="27"/>
      <c r="T324" s="24" t="str">
        <f t="shared" ref="T324:T387" si="56">IF(U324="","",IF(V324=1,"تكرار — غير محتسب",IF(B324="","ناقص بيانات: كود الفراغ",IF(COUNTIF(SpaceCodes,B324)=0,"ناقص بيانات: الفراغ غير مسجل",IF(D324="","ناقص بيانات: كود الحائط",IF(E324="","ناقص بيانات: الخامة",IF(AND(K324="",I324="يدوي"),"ناقص قياس: أدخل المساحة المباشرة",IF(AND(K324="",J324&lt;&gt;""),"ناقص قياس: اختر «يدوي» أو أدخل الطول والارتفاع",IF(K324="","ناقص قياس",IF(O324&gt;K324+0.000001,"خطأ خصم: الخصم أكبر من الإجمالي",IF(R324="نعم","يحتاج مراجعة","مكتمل")))))))))))</f>
        <v/>
      </c>
      <c r="U324" s="24" t="str">
        <f t="shared" ref="U324:U387" si="57">IF(COUNTA(B324,D324:J324,N324)=0,"",B324&amp;"|"&amp;D324&amp;"|"&amp;E324)</f>
        <v/>
      </c>
      <c r="V324" s="24">
        <f>IF(OR(U324="",D324=""),0,IF(SUMPRODUCT(--(U$4:U324=U324))&gt;1,1,0))</f>
        <v>0</v>
      </c>
      <c r="W324" s="24">
        <f t="shared" ref="W324:W387" si="58">IF(OR(U324="",B324="",D324=""),0,COUNTIFS(WL_Space,B324,WL_Wall,D324,WL_Dup,0))</f>
        <v>0</v>
      </c>
      <c r="X324" s="24">
        <f t="shared" ref="X324:X387" si="59">IF(OR(U324="",V324=1,L324="لا"),0,1)</f>
        <v>0</v>
      </c>
    </row>
    <row r="325" spans="1:24" x14ac:dyDescent="0.25">
      <c r="A325" s="24">
        <v>322</v>
      </c>
      <c r="B325" s="25"/>
      <c r="C325" s="26" t="str">
        <f t="shared" si="50"/>
        <v/>
      </c>
      <c r="D325" s="25"/>
      <c r="E325" s="27"/>
      <c r="F325" s="28"/>
      <c r="G325" s="28"/>
      <c r="H325" s="25"/>
      <c r="I325" s="25"/>
      <c r="J325" s="28"/>
      <c r="K325" s="29" t="str">
        <f t="shared" si="51"/>
        <v/>
      </c>
      <c r="L325" s="25"/>
      <c r="M325" s="29" t="str">
        <f t="shared" si="52"/>
        <v/>
      </c>
      <c r="N325" s="28"/>
      <c r="O325" s="29" t="str">
        <f t="shared" si="53"/>
        <v/>
      </c>
      <c r="P325" s="29" t="str">
        <f t="shared" si="54"/>
        <v/>
      </c>
      <c r="Q325" s="24" t="str">
        <f t="shared" si="55"/>
        <v/>
      </c>
      <c r="R325" s="25"/>
      <c r="S325" s="27"/>
      <c r="T325" s="24" t="str">
        <f t="shared" si="56"/>
        <v/>
      </c>
      <c r="U325" s="24" t="str">
        <f t="shared" si="57"/>
        <v/>
      </c>
      <c r="V325" s="24">
        <f>IF(OR(U325="",D325=""),0,IF(SUMPRODUCT(--(U$4:U325=U325))&gt;1,1,0))</f>
        <v>0</v>
      </c>
      <c r="W325" s="24">
        <f t="shared" si="58"/>
        <v>0</v>
      </c>
      <c r="X325" s="24">
        <f t="shared" si="59"/>
        <v>0</v>
      </c>
    </row>
    <row r="326" spans="1:24" x14ac:dyDescent="0.25">
      <c r="A326" s="24">
        <v>323</v>
      </c>
      <c r="B326" s="25"/>
      <c r="C326" s="26" t="str">
        <f t="shared" si="50"/>
        <v/>
      </c>
      <c r="D326" s="25"/>
      <c r="E326" s="27"/>
      <c r="F326" s="28"/>
      <c r="G326" s="28"/>
      <c r="H326" s="25"/>
      <c r="I326" s="25"/>
      <c r="J326" s="28"/>
      <c r="K326" s="29" t="str">
        <f t="shared" si="51"/>
        <v/>
      </c>
      <c r="L326" s="25"/>
      <c r="M326" s="29" t="str">
        <f t="shared" si="52"/>
        <v/>
      </c>
      <c r="N326" s="28"/>
      <c r="O326" s="29" t="str">
        <f t="shared" si="53"/>
        <v/>
      </c>
      <c r="P326" s="29" t="str">
        <f t="shared" si="54"/>
        <v/>
      </c>
      <c r="Q326" s="24" t="str">
        <f t="shared" si="55"/>
        <v/>
      </c>
      <c r="R326" s="25"/>
      <c r="S326" s="27"/>
      <c r="T326" s="24" t="str">
        <f t="shared" si="56"/>
        <v/>
      </c>
      <c r="U326" s="24" t="str">
        <f t="shared" si="57"/>
        <v/>
      </c>
      <c r="V326" s="24">
        <f>IF(OR(U326="",D326=""),0,IF(SUMPRODUCT(--(U$4:U326=U326))&gt;1,1,0))</f>
        <v>0</v>
      </c>
      <c r="W326" s="24">
        <f t="shared" si="58"/>
        <v>0</v>
      </c>
      <c r="X326" s="24">
        <f t="shared" si="59"/>
        <v>0</v>
      </c>
    </row>
    <row r="327" spans="1:24" x14ac:dyDescent="0.25">
      <c r="A327" s="24">
        <v>324</v>
      </c>
      <c r="B327" s="25"/>
      <c r="C327" s="26" t="str">
        <f t="shared" si="50"/>
        <v/>
      </c>
      <c r="D327" s="25"/>
      <c r="E327" s="27"/>
      <c r="F327" s="28"/>
      <c r="G327" s="28"/>
      <c r="H327" s="25"/>
      <c r="I327" s="25"/>
      <c r="J327" s="28"/>
      <c r="K327" s="29" t="str">
        <f t="shared" si="51"/>
        <v/>
      </c>
      <c r="L327" s="25"/>
      <c r="M327" s="29" t="str">
        <f t="shared" si="52"/>
        <v/>
      </c>
      <c r="N327" s="28"/>
      <c r="O327" s="29" t="str">
        <f t="shared" si="53"/>
        <v/>
      </c>
      <c r="P327" s="29" t="str">
        <f t="shared" si="54"/>
        <v/>
      </c>
      <c r="Q327" s="24" t="str">
        <f t="shared" si="55"/>
        <v/>
      </c>
      <c r="R327" s="25"/>
      <c r="S327" s="27"/>
      <c r="T327" s="24" t="str">
        <f t="shared" si="56"/>
        <v/>
      </c>
      <c r="U327" s="24" t="str">
        <f t="shared" si="57"/>
        <v/>
      </c>
      <c r="V327" s="24">
        <f>IF(OR(U327="",D327=""),0,IF(SUMPRODUCT(--(U$4:U327=U327))&gt;1,1,0))</f>
        <v>0</v>
      </c>
      <c r="W327" s="24">
        <f t="shared" si="58"/>
        <v>0</v>
      </c>
      <c r="X327" s="24">
        <f t="shared" si="59"/>
        <v>0</v>
      </c>
    </row>
    <row r="328" spans="1:24" x14ac:dyDescent="0.25">
      <c r="A328" s="24">
        <v>325</v>
      </c>
      <c r="B328" s="25"/>
      <c r="C328" s="26" t="str">
        <f t="shared" si="50"/>
        <v/>
      </c>
      <c r="D328" s="25"/>
      <c r="E328" s="27"/>
      <c r="F328" s="28"/>
      <c r="G328" s="28"/>
      <c r="H328" s="25"/>
      <c r="I328" s="25"/>
      <c r="J328" s="28"/>
      <c r="K328" s="29" t="str">
        <f t="shared" si="51"/>
        <v/>
      </c>
      <c r="L328" s="25"/>
      <c r="M328" s="29" t="str">
        <f t="shared" si="52"/>
        <v/>
      </c>
      <c r="N328" s="28"/>
      <c r="O328" s="29" t="str">
        <f t="shared" si="53"/>
        <v/>
      </c>
      <c r="P328" s="29" t="str">
        <f t="shared" si="54"/>
        <v/>
      </c>
      <c r="Q328" s="24" t="str">
        <f t="shared" si="55"/>
        <v/>
      </c>
      <c r="R328" s="25"/>
      <c r="S328" s="27"/>
      <c r="T328" s="24" t="str">
        <f t="shared" si="56"/>
        <v/>
      </c>
      <c r="U328" s="24" t="str">
        <f t="shared" si="57"/>
        <v/>
      </c>
      <c r="V328" s="24">
        <f>IF(OR(U328="",D328=""),0,IF(SUMPRODUCT(--(U$4:U328=U328))&gt;1,1,0))</f>
        <v>0</v>
      </c>
      <c r="W328" s="24">
        <f t="shared" si="58"/>
        <v>0</v>
      </c>
      <c r="X328" s="24">
        <f t="shared" si="59"/>
        <v>0</v>
      </c>
    </row>
    <row r="329" spans="1:24" x14ac:dyDescent="0.25">
      <c r="A329" s="24">
        <v>326</v>
      </c>
      <c r="B329" s="25"/>
      <c r="C329" s="26" t="str">
        <f t="shared" si="50"/>
        <v/>
      </c>
      <c r="D329" s="25"/>
      <c r="E329" s="27"/>
      <c r="F329" s="28"/>
      <c r="G329" s="28"/>
      <c r="H329" s="25"/>
      <c r="I329" s="25"/>
      <c r="J329" s="28"/>
      <c r="K329" s="29" t="str">
        <f t="shared" si="51"/>
        <v/>
      </c>
      <c r="L329" s="25"/>
      <c r="M329" s="29" t="str">
        <f t="shared" si="52"/>
        <v/>
      </c>
      <c r="N329" s="28"/>
      <c r="O329" s="29" t="str">
        <f t="shared" si="53"/>
        <v/>
      </c>
      <c r="P329" s="29" t="str">
        <f t="shared" si="54"/>
        <v/>
      </c>
      <c r="Q329" s="24" t="str">
        <f t="shared" si="55"/>
        <v/>
      </c>
      <c r="R329" s="25"/>
      <c r="S329" s="27"/>
      <c r="T329" s="24" t="str">
        <f t="shared" si="56"/>
        <v/>
      </c>
      <c r="U329" s="24" t="str">
        <f t="shared" si="57"/>
        <v/>
      </c>
      <c r="V329" s="24">
        <f>IF(OR(U329="",D329=""),0,IF(SUMPRODUCT(--(U$4:U329=U329))&gt;1,1,0))</f>
        <v>0</v>
      </c>
      <c r="W329" s="24">
        <f t="shared" si="58"/>
        <v>0</v>
      </c>
      <c r="X329" s="24">
        <f t="shared" si="59"/>
        <v>0</v>
      </c>
    </row>
    <row r="330" spans="1:24" x14ac:dyDescent="0.25">
      <c r="A330" s="24">
        <v>327</v>
      </c>
      <c r="B330" s="25"/>
      <c r="C330" s="26" t="str">
        <f t="shared" si="50"/>
        <v/>
      </c>
      <c r="D330" s="25"/>
      <c r="E330" s="27"/>
      <c r="F330" s="28"/>
      <c r="G330" s="28"/>
      <c r="H330" s="25"/>
      <c r="I330" s="25"/>
      <c r="J330" s="28"/>
      <c r="K330" s="29" t="str">
        <f t="shared" si="51"/>
        <v/>
      </c>
      <c r="L330" s="25"/>
      <c r="M330" s="29" t="str">
        <f t="shared" si="52"/>
        <v/>
      </c>
      <c r="N330" s="28"/>
      <c r="O330" s="29" t="str">
        <f t="shared" si="53"/>
        <v/>
      </c>
      <c r="P330" s="29" t="str">
        <f t="shared" si="54"/>
        <v/>
      </c>
      <c r="Q330" s="24" t="str">
        <f t="shared" si="55"/>
        <v/>
      </c>
      <c r="R330" s="25"/>
      <c r="S330" s="27"/>
      <c r="T330" s="24" t="str">
        <f t="shared" si="56"/>
        <v/>
      </c>
      <c r="U330" s="24" t="str">
        <f t="shared" si="57"/>
        <v/>
      </c>
      <c r="V330" s="24">
        <f>IF(OR(U330="",D330=""),0,IF(SUMPRODUCT(--(U$4:U330=U330))&gt;1,1,0))</f>
        <v>0</v>
      </c>
      <c r="W330" s="24">
        <f t="shared" si="58"/>
        <v>0</v>
      </c>
      <c r="X330" s="24">
        <f t="shared" si="59"/>
        <v>0</v>
      </c>
    </row>
    <row r="331" spans="1:24" x14ac:dyDescent="0.25">
      <c r="A331" s="24">
        <v>328</v>
      </c>
      <c r="B331" s="25"/>
      <c r="C331" s="26" t="str">
        <f t="shared" si="50"/>
        <v/>
      </c>
      <c r="D331" s="25"/>
      <c r="E331" s="27"/>
      <c r="F331" s="28"/>
      <c r="G331" s="28"/>
      <c r="H331" s="25"/>
      <c r="I331" s="25"/>
      <c r="J331" s="28"/>
      <c r="K331" s="29" t="str">
        <f t="shared" si="51"/>
        <v/>
      </c>
      <c r="L331" s="25"/>
      <c r="M331" s="29" t="str">
        <f t="shared" si="52"/>
        <v/>
      </c>
      <c r="N331" s="28"/>
      <c r="O331" s="29" t="str">
        <f t="shared" si="53"/>
        <v/>
      </c>
      <c r="P331" s="29" t="str">
        <f t="shared" si="54"/>
        <v/>
      </c>
      <c r="Q331" s="24" t="str">
        <f t="shared" si="55"/>
        <v/>
      </c>
      <c r="R331" s="25"/>
      <c r="S331" s="27"/>
      <c r="T331" s="24" t="str">
        <f t="shared" si="56"/>
        <v/>
      </c>
      <c r="U331" s="24" t="str">
        <f t="shared" si="57"/>
        <v/>
      </c>
      <c r="V331" s="24">
        <f>IF(OR(U331="",D331=""),0,IF(SUMPRODUCT(--(U$4:U331=U331))&gt;1,1,0))</f>
        <v>0</v>
      </c>
      <c r="W331" s="24">
        <f t="shared" si="58"/>
        <v>0</v>
      </c>
      <c r="X331" s="24">
        <f t="shared" si="59"/>
        <v>0</v>
      </c>
    </row>
    <row r="332" spans="1:24" x14ac:dyDescent="0.25">
      <c r="A332" s="24">
        <v>329</v>
      </c>
      <c r="B332" s="25"/>
      <c r="C332" s="26" t="str">
        <f t="shared" si="50"/>
        <v/>
      </c>
      <c r="D332" s="25"/>
      <c r="E332" s="27"/>
      <c r="F332" s="28"/>
      <c r="G332" s="28"/>
      <c r="H332" s="25"/>
      <c r="I332" s="25"/>
      <c r="J332" s="28"/>
      <c r="K332" s="29" t="str">
        <f t="shared" si="51"/>
        <v/>
      </c>
      <c r="L332" s="25"/>
      <c r="M332" s="29" t="str">
        <f t="shared" si="52"/>
        <v/>
      </c>
      <c r="N332" s="28"/>
      <c r="O332" s="29" t="str">
        <f t="shared" si="53"/>
        <v/>
      </c>
      <c r="P332" s="29" t="str">
        <f t="shared" si="54"/>
        <v/>
      </c>
      <c r="Q332" s="24" t="str">
        <f t="shared" si="55"/>
        <v/>
      </c>
      <c r="R332" s="25"/>
      <c r="S332" s="27"/>
      <c r="T332" s="24" t="str">
        <f t="shared" si="56"/>
        <v/>
      </c>
      <c r="U332" s="24" t="str">
        <f t="shared" si="57"/>
        <v/>
      </c>
      <c r="V332" s="24">
        <f>IF(OR(U332="",D332=""),0,IF(SUMPRODUCT(--(U$4:U332=U332))&gt;1,1,0))</f>
        <v>0</v>
      </c>
      <c r="W332" s="24">
        <f t="shared" si="58"/>
        <v>0</v>
      </c>
      <c r="X332" s="24">
        <f t="shared" si="59"/>
        <v>0</v>
      </c>
    </row>
    <row r="333" spans="1:24" x14ac:dyDescent="0.25">
      <c r="A333" s="24">
        <v>330</v>
      </c>
      <c r="B333" s="25"/>
      <c r="C333" s="26" t="str">
        <f t="shared" si="50"/>
        <v/>
      </c>
      <c r="D333" s="25"/>
      <c r="E333" s="27"/>
      <c r="F333" s="28"/>
      <c r="G333" s="28"/>
      <c r="H333" s="25"/>
      <c r="I333" s="25"/>
      <c r="J333" s="28"/>
      <c r="K333" s="29" t="str">
        <f t="shared" si="51"/>
        <v/>
      </c>
      <c r="L333" s="25"/>
      <c r="M333" s="29" t="str">
        <f t="shared" si="52"/>
        <v/>
      </c>
      <c r="N333" s="28"/>
      <c r="O333" s="29" t="str">
        <f t="shared" si="53"/>
        <v/>
      </c>
      <c r="P333" s="29" t="str">
        <f t="shared" si="54"/>
        <v/>
      </c>
      <c r="Q333" s="24" t="str">
        <f t="shared" si="55"/>
        <v/>
      </c>
      <c r="R333" s="25"/>
      <c r="S333" s="27"/>
      <c r="T333" s="24" t="str">
        <f t="shared" si="56"/>
        <v/>
      </c>
      <c r="U333" s="24" t="str">
        <f t="shared" si="57"/>
        <v/>
      </c>
      <c r="V333" s="24">
        <f>IF(OR(U333="",D333=""),0,IF(SUMPRODUCT(--(U$4:U333=U333))&gt;1,1,0))</f>
        <v>0</v>
      </c>
      <c r="W333" s="24">
        <f t="shared" si="58"/>
        <v>0</v>
      </c>
      <c r="X333" s="24">
        <f t="shared" si="59"/>
        <v>0</v>
      </c>
    </row>
    <row r="334" spans="1:24" x14ac:dyDescent="0.25">
      <c r="A334" s="24">
        <v>331</v>
      </c>
      <c r="B334" s="25"/>
      <c r="C334" s="26" t="str">
        <f t="shared" si="50"/>
        <v/>
      </c>
      <c r="D334" s="25"/>
      <c r="E334" s="27"/>
      <c r="F334" s="28"/>
      <c r="G334" s="28"/>
      <c r="H334" s="25"/>
      <c r="I334" s="25"/>
      <c r="J334" s="28"/>
      <c r="K334" s="29" t="str">
        <f t="shared" si="51"/>
        <v/>
      </c>
      <c r="L334" s="25"/>
      <c r="M334" s="29" t="str">
        <f t="shared" si="52"/>
        <v/>
      </c>
      <c r="N334" s="28"/>
      <c r="O334" s="29" t="str">
        <f t="shared" si="53"/>
        <v/>
      </c>
      <c r="P334" s="29" t="str">
        <f t="shared" si="54"/>
        <v/>
      </c>
      <c r="Q334" s="24" t="str">
        <f t="shared" si="55"/>
        <v/>
      </c>
      <c r="R334" s="25"/>
      <c r="S334" s="27"/>
      <c r="T334" s="24" t="str">
        <f t="shared" si="56"/>
        <v/>
      </c>
      <c r="U334" s="24" t="str">
        <f t="shared" si="57"/>
        <v/>
      </c>
      <c r="V334" s="24">
        <f>IF(OR(U334="",D334=""),0,IF(SUMPRODUCT(--(U$4:U334=U334))&gt;1,1,0))</f>
        <v>0</v>
      </c>
      <c r="W334" s="24">
        <f t="shared" si="58"/>
        <v>0</v>
      </c>
      <c r="X334" s="24">
        <f t="shared" si="59"/>
        <v>0</v>
      </c>
    </row>
    <row r="335" spans="1:24" x14ac:dyDescent="0.25">
      <c r="A335" s="24">
        <v>332</v>
      </c>
      <c r="B335" s="25"/>
      <c r="C335" s="26" t="str">
        <f t="shared" si="50"/>
        <v/>
      </c>
      <c r="D335" s="25"/>
      <c r="E335" s="27"/>
      <c r="F335" s="28"/>
      <c r="G335" s="28"/>
      <c r="H335" s="25"/>
      <c r="I335" s="25"/>
      <c r="J335" s="28"/>
      <c r="K335" s="29" t="str">
        <f t="shared" si="51"/>
        <v/>
      </c>
      <c r="L335" s="25"/>
      <c r="M335" s="29" t="str">
        <f t="shared" si="52"/>
        <v/>
      </c>
      <c r="N335" s="28"/>
      <c r="O335" s="29" t="str">
        <f t="shared" si="53"/>
        <v/>
      </c>
      <c r="P335" s="29" t="str">
        <f t="shared" si="54"/>
        <v/>
      </c>
      <c r="Q335" s="24" t="str">
        <f t="shared" si="55"/>
        <v/>
      </c>
      <c r="R335" s="25"/>
      <c r="S335" s="27"/>
      <c r="T335" s="24" t="str">
        <f t="shared" si="56"/>
        <v/>
      </c>
      <c r="U335" s="24" t="str">
        <f t="shared" si="57"/>
        <v/>
      </c>
      <c r="V335" s="24">
        <f>IF(OR(U335="",D335=""),0,IF(SUMPRODUCT(--(U$4:U335=U335))&gt;1,1,0))</f>
        <v>0</v>
      </c>
      <c r="W335" s="24">
        <f t="shared" si="58"/>
        <v>0</v>
      </c>
      <c r="X335" s="24">
        <f t="shared" si="59"/>
        <v>0</v>
      </c>
    </row>
    <row r="336" spans="1:24" x14ac:dyDescent="0.25">
      <c r="A336" s="24">
        <v>333</v>
      </c>
      <c r="B336" s="25"/>
      <c r="C336" s="26" t="str">
        <f t="shared" si="50"/>
        <v/>
      </c>
      <c r="D336" s="25"/>
      <c r="E336" s="27"/>
      <c r="F336" s="28"/>
      <c r="G336" s="28"/>
      <c r="H336" s="25"/>
      <c r="I336" s="25"/>
      <c r="J336" s="28"/>
      <c r="K336" s="29" t="str">
        <f t="shared" si="51"/>
        <v/>
      </c>
      <c r="L336" s="25"/>
      <c r="M336" s="29" t="str">
        <f t="shared" si="52"/>
        <v/>
      </c>
      <c r="N336" s="28"/>
      <c r="O336" s="29" t="str">
        <f t="shared" si="53"/>
        <v/>
      </c>
      <c r="P336" s="29" t="str">
        <f t="shared" si="54"/>
        <v/>
      </c>
      <c r="Q336" s="24" t="str">
        <f t="shared" si="55"/>
        <v/>
      </c>
      <c r="R336" s="25"/>
      <c r="S336" s="27"/>
      <c r="T336" s="24" t="str">
        <f t="shared" si="56"/>
        <v/>
      </c>
      <c r="U336" s="24" t="str">
        <f t="shared" si="57"/>
        <v/>
      </c>
      <c r="V336" s="24">
        <f>IF(OR(U336="",D336=""),0,IF(SUMPRODUCT(--(U$4:U336=U336))&gt;1,1,0))</f>
        <v>0</v>
      </c>
      <c r="W336" s="24">
        <f t="shared" si="58"/>
        <v>0</v>
      </c>
      <c r="X336" s="24">
        <f t="shared" si="59"/>
        <v>0</v>
      </c>
    </row>
    <row r="337" spans="1:24" x14ac:dyDescent="0.25">
      <c r="A337" s="24">
        <v>334</v>
      </c>
      <c r="B337" s="25"/>
      <c r="C337" s="26" t="str">
        <f t="shared" si="50"/>
        <v/>
      </c>
      <c r="D337" s="25"/>
      <c r="E337" s="27"/>
      <c r="F337" s="28"/>
      <c r="G337" s="28"/>
      <c r="H337" s="25"/>
      <c r="I337" s="25"/>
      <c r="J337" s="28"/>
      <c r="K337" s="29" t="str">
        <f t="shared" si="51"/>
        <v/>
      </c>
      <c r="L337" s="25"/>
      <c r="M337" s="29" t="str">
        <f t="shared" si="52"/>
        <v/>
      </c>
      <c r="N337" s="28"/>
      <c r="O337" s="29" t="str">
        <f t="shared" si="53"/>
        <v/>
      </c>
      <c r="P337" s="29" t="str">
        <f t="shared" si="54"/>
        <v/>
      </c>
      <c r="Q337" s="24" t="str">
        <f t="shared" si="55"/>
        <v/>
      </c>
      <c r="R337" s="25"/>
      <c r="S337" s="27"/>
      <c r="T337" s="24" t="str">
        <f t="shared" si="56"/>
        <v/>
      </c>
      <c r="U337" s="24" t="str">
        <f t="shared" si="57"/>
        <v/>
      </c>
      <c r="V337" s="24">
        <f>IF(OR(U337="",D337=""),0,IF(SUMPRODUCT(--(U$4:U337=U337))&gt;1,1,0))</f>
        <v>0</v>
      </c>
      <c r="W337" s="24">
        <f t="shared" si="58"/>
        <v>0</v>
      </c>
      <c r="X337" s="24">
        <f t="shared" si="59"/>
        <v>0</v>
      </c>
    </row>
    <row r="338" spans="1:24" x14ac:dyDescent="0.25">
      <c r="A338" s="24">
        <v>335</v>
      </c>
      <c r="B338" s="25"/>
      <c r="C338" s="26" t="str">
        <f t="shared" si="50"/>
        <v/>
      </c>
      <c r="D338" s="25"/>
      <c r="E338" s="27"/>
      <c r="F338" s="28"/>
      <c r="G338" s="28"/>
      <c r="H338" s="25"/>
      <c r="I338" s="25"/>
      <c r="J338" s="28"/>
      <c r="K338" s="29" t="str">
        <f t="shared" si="51"/>
        <v/>
      </c>
      <c r="L338" s="25"/>
      <c r="M338" s="29" t="str">
        <f t="shared" si="52"/>
        <v/>
      </c>
      <c r="N338" s="28"/>
      <c r="O338" s="29" t="str">
        <f t="shared" si="53"/>
        <v/>
      </c>
      <c r="P338" s="29" t="str">
        <f t="shared" si="54"/>
        <v/>
      </c>
      <c r="Q338" s="24" t="str">
        <f t="shared" si="55"/>
        <v/>
      </c>
      <c r="R338" s="25"/>
      <c r="S338" s="27"/>
      <c r="T338" s="24" t="str">
        <f t="shared" si="56"/>
        <v/>
      </c>
      <c r="U338" s="24" t="str">
        <f t="shared" si="57"/>
        <v/>
      </c>
      <c r="V338" s="24">
        <f>IF(OR(U338="",D338=""),0,IF(SUMPRODUCT(--(U$4:U338=U338))&gt;1,1,0))</f>
        <v>0</v>
      </c>
      <c r="W338" s="24">
        <f t="shared" si="58"/>
        <v>0</v>
      </c>
      <c r="X338" s="24">
        <f t="shared" si="59"/>
        <v>0</v>
      </c>
    </row>
    <row r="339" spans="1:24" x14ac:dyDescent="0.25">
      <c r="A339" s="24">
        <v>336</v>
      </c>
      <c r="B339" s="25"/>
      <c r="C339" s="26" t="str">
        <f t="shared" si="50"/>
        <v/>
      </c>
      <c r="D339" s="25"/>
      <c r="E339" s="27"/>
      <c r="F339" s="28"/>
      <c r="G339" s="28"/>
      <c r="H339" s="25"/>
      <c r="I339" s="25"/>
      <c r="J339" s="28"/>
      <c r="K339" s="29" t="str">
        <f t="shared" si="51"/>
        <v/>
      </c>
      <c r="L339" s="25"/>
      <c r="M339" s="29" t="str">
        <f t="shared" si="52"/>
        <v/>
      </c>
      <c r="N339" s="28"/>
      <c r="O339" s="29" t="str">
        <f t="shared" si="53"/>
        <v/>
      </c>
      <c r="P339" s="29" t="str">
        <f t="shared" si="54"/>
        <v/>
      </c>
      <c r="Q339" s="24" t="str">
        <f t="shared" si="55"/>
        <v/>
      </c>
      <c r="R339" s="25"/>
      <c r="S339" s="27"/>
      <c r="T339" s="24" t="str">
        <f t="shared" si="56"/>
        <v/>
      </c>
      <c r="U339" s="24" t="str">
        <f t="shared" si="57"/>
        <v/>
      </c>
      <c r="V339" s="24">
        <f>IF(OR(U339="",D339=""),0,IF(SUMPRODUCT(--(U$4:U339=U339))&gt;1,1,0))</f>
        <v>0</v>
      </c>
      <c r="W339" s="24">
        <f t="shared" si="58"/>
        <v>0</v>
      </c>
      <c r="X339" s="24">
        <f t="shared" si="59"/>
        <v>0</v>
      </c>
    </row>
    <row r="340" spans="1:24" x14ac:dyDescent="0.25">
      <c r="A340" s="24">
        <v>337</v>
      </c>
      <c r="B340" s="25"/>
      <c r="C340" s="26" t="str">
        <f t="shared" si="50"/>
        <v/>
      </c>
      <c r="D340" s="25"/>
      <c r="E340" s="27"/>
      <c r="F340" s="28"/>
      <c r="G340" s="28"/>
      <c r="H340" s="25"/>
      <c r="I340" s="25"/>
      <c r="J340" s="28"/>
      <c r="K340" s="29" t="str">
        <f t="shared" si="51"/>
        <v/>
      </c>
      <c r="L340" s="25"/>
      <c r="M340" s="29" t="str">
        <f t="shared" si="52"/>
        <v/>
      </c>
      <c r="N340" s="28"/>
      <c r="O340" s="29" t="str">
        <f t="shared" si="53"/>
        <v/>
      </c>
      <c r="P340" s="29" t="str">
        <f t="shared" si="54"/>
        <v/>
      </c>
      <c r="Q340" s="24" t="str">
        <f t="shared" si="55"/>
        <v/>
      </c>
      <c r="R340" s="25"/>
      <c r="S340" s="27"/>
      <c r="T340" s="24" t="str">
        <f t="shared" si="56"/>
        <v/>
      </c>
      <c r="U340" s="24" t="str">
        <f t="shared" si="57"/>
        <v/>
      </c>
      <c r="V340" s="24">
        <f>IF(OR(U340="",D340=""),0,IF(SUMPRODUCT(--(U$4:U340=U340))&gt;1,1,0))</f>
        <v>0</v>
      </c>
      <c r="W340" s="24">
        <f t="shared" si="58"/>
        <v>0</v>
      </c>
      <c r="X340" s="24">
        <f t="shared" si="59"/>
        <v>0</v>
      </c>
    </row>
    <row r="341" spans="1:24" x14ac:dyDescent="0.25">
      <c r="A341" s="24">
        <v>338</v>
      </c>
      <c r="B341" s="25"/>
      <c r="C341" s="26" t="str">
        <f t="shared" si="50"/>
        <v/>
      </c>
      <c r="D341" s="25"/>
      <c r="E341" s="27"/>
      <c r="F341" s="28"/>
      <c r="G341" s="28"/>
      <c r="H341" s="25"/>
      <c r="I341" s="25"/>
      <c r="J341" s="28"/>
      <c r="K341" s="29" t="str">
        <f t="shared" si="51"/>
        <v/>
      </c>
      <c r="L341" s="25"/>
      <c r="M341" s="29" t="str">
        <f t="shared" si="52"/>
        <v/>
      </c>
      <c r="N341" s="28"/>
      <c r="O341" s="29" t="str">
        <f t="shared" si="53"/>
        <v/>
      </c>
      <c r="P341" s="29" t="str">
        <f t="shared" si="54"/>
        <v/>
      </c>
      <c r="Q341" s="24" t="str">
        <f t="shared" si="55"/>
        <v/>
      </c>
      <c r="R341" s="25"/>
      <c r="S341" s="27"/>
      <c r="T341" s="24" t="str">
        <f t="shared" si="56"/>
        <v/>
      </c>
      <c r="U341" s="24" t="str">
        <f t="shared" si="57"/>
        <v/>
      </c>
      <c r="V341" s="24">
        <f>IF(OR(U341="",D341=""),0,IF(SUMPRODUCT(--(U$4:U341=U341))&gt;1,1,0))</f>
        <v>0</v>
      </c>
      <c r="W341" s="24">
        <f t="shared" si="58"/>
        <v>0</v>
      </c>
      <c r="X341" s="24">
        <f t="shared" si="59"/>
        <v>0</v>
      </c>
    </row>
    <row r="342" spans="1:24" x14ac:dyDescent="0.25">
      <c r="A342" s="24">
        <v>339</v>
      </c>
      <c r="B342" s="25"/>
      <c r="C342" s="26" t="str">
        <f t="shared" si="50"/>
        <v/>
      </c>
      <c r="D342" s="25"/>
      <c r="E342" s="27"/>
      <c r="F342" s="28"/>
      <c r="G342" s="28"/>
      <c r="H342" s="25"/>
      <c r="I342" s="25"/>
      <c r="J342" s="28"/>
      <c r="K342" s="29" t="str">
        <f t="shared" si="51"/>
        <v/>
      </c>
      <c r="L342" s="25"/>
      <c r="M342" s="29" t="str">
        <f t="shared" si="52"/>
        <v/>
      </c>
      <c r="N342" s="28"/>
      <c r="O342" s="29" t="str">
        <f t="shared" si="53"/>
        <v/>
      </c>
      <c r="P342" s="29" t="str">
        <f t="shared" si="54"/>
        <v/>
      </c>
      <c r="Q342" s="24" t="str">
        <f t="shared" si="55"/>
        <v/>
      </c>
      <c r="R342" s="25"/>
      <c r="S342" s="27"/>
      <c r="T342" s="24" t="str">
        <f t="shared" si="56"/>
        <v/>
      </c>
      <c r="U342" s="24" t="str">
        <f t="shared" si="57"/>
        <v/>
      </c>
      <c r="V342" s="24">
        <f>IF(OR(U342="",D342=""),0,IF(SUMPRODUCT(--(U$4:U342=U342))&gt;1,1,0))</f>
        <v>0</v>
      </c>
      <c r="W342" s="24">
        <f t="shared" si="58"/>
        <v>0</v>
      </c>
      <c r="X342" s="24">
        <f t="shared" si="59"/>
        <v>0</v>
      </c>
    </row>
    <row r="343" spans="1:24" x14ac:dyDescent="0.25">
      <c r="A343" s="24">
        <v>340</v>
      </c>
      <c r="B343" s="25"/>
      <c r="C343" s="26" t="str">
        <f t="shared" si="50"/>
        <v/>
      </c>
      <c r="D343" s="25"/>
      <c r="E343" s="27"/>
      <c r="F343" s="28"/>
      <c r="G343" s="28"/>
      <c r="H343" s="25"/>
      <c r="I343" s="25"/>
      <c r="J343" s="28"/>
      <c r="K343" s="29" t="str">
        <f t="shared" si="51"/>
        <v/>
      </c>
      <c r="L343" s="25"/>
      <c r="M343" s="29" t="str">
        <f t="shared" si="52"/>
        <v/>
      </c>
      <c r="N343" s="28"/>
      <c r="O343" s="29" t="str">
        <f t="shared" si="53"/>
        <v/>
      </c>
      <c r="P343" s="29" t="str">
        <f t="shared" si="54"/>
        <v/>
      </c>
      <c r="Q343" s="24" t="str">
        <f t="shared" si="55"/>
        <v/>
      </c>
      <c r="R343" s="25"/>
      <c r="S343" s="27"/>
      <c r="T343" s="24" t="str">
        <f t="shared" si="56"/>
        <v/>
      </c>
      <c r="U343" s="24" t="str">
        <f t="shared" si="57"/>
        <v/>
      </c>
      <c r="V343" s="24">
        <f>IF(OR(U343="",D343=""),0,IF(SUMPRODUCT(--(U$4:U343=U343))&gt;1,1,0))</f>
        <v>0</v>
      </c>
      <c r="W343" s="24">
        <f t="shared" si="58"/>
        <v>0</v>
      </c>
      <c r="X343" s="24">
        <f t="shared" si="59"/>
        <v>0</v>
      </c>
    </row>
    <row r="344" spans="1:24" x14ac:dyDescent="0.25">
      <c r="A344" s="24">
        <v>341</v>
      </c>
      <c r="B344" s="25"/>
      <c r="C344" s="26" t="str">
        <f t="shared" si="50"/>
        <v/>
      </c>
      <c r="D344" s="25"/>
      <c r="E344" s="27"/>
      <c r="F344" s="28"/>
      <c r="G344" s="28"/>
      <c r="H344" s="25"/>
      <c r="I344" s="25"/>
      <c r="J344" s="28"/>
      <c r="K344" s="29" t="str">
        <f t="shared" si="51"/>
        <v/>
      </c>
      <c r="L344" s="25"/>
      <c r="M344" s="29" t="str">
        <f t="shared" si="52"/>
        <v/>
      </c>
      <c r="N344" s="28"/>
      <c r="O344" s="29" t="str">
        <f t="shared" si="53"/>
        <v/>
      </c>
      <c r="P344" s="29" t="str">
        <f t="shared" si="54"/>
        <v/>
      </c>
      <c r="Q344" s="24" t="str">
        <f t="shared" si="55"/>
        <v/>
      </c>
      <c r="R344" s="25"/>
      <c r="S344" s="27"/>
      <c r="T344" s="24" t="str">
        <f t="shared" si="56"/>
        <v/>
      </c>
      <c r="U344" s="24" t="str">
        <f t="shared" si="57"/>
        <v/>
      </c>
      <c r="V344" s="24">
        <f>IF(OR(U344="",D344=""),0,IF(SUMPRODUCT(--(U$4:U344=U344))&gt;1,1,0))</f>
        <v>0</v>
      </c>
      <c r="W344" s="24">
        <f t="shared" si="58"/>
        <v>0</v>
      </c>
      <c r="X344" s="24">
        <f t="shared" si="59"/>
        <v>0</v>
      </c>
    </row>
    <row r="345" spans="1:24" x14ac:dyDescent="0.25">
      <c r="A345" s="24">
        <v>342</v>
      </c>
      <c r="B345" s="25"/>
      <c r="C345" s="26" t="str">
        <f t="shared" si="50"/>
        <v/>
      </c>
      <c r="D345" s="25"/>
      <c r="E345" s="27"/>
      <c r="F345" s="28"/>
      <c r="G345" s="28"/>
      <c r="H345" s="25"/>
      <c r="I345" s="25"/>
      <c r="J345" s="28"/>
      <c r="K345" s="29" t="str">
        <f t="shared" si="51"/>
        <v/>
      </c>
      <c r="L345" s="25"/>
      <c r="M345" s="29" t="str">
        <f t="shared" si="52"/>
        <v/>
      </c>
      <c r="N345" s="28"/>
      <c r="O345" s="29" t="str">
        <f t="shared" si="53"/>
        <v/>
      </c>
      <c r="P345" s="29" t="str">
        <f t="shared" si="54"/>
        <v/>
      </c>
      <c r="Q345" s="24" t="str">
        <f t="shared" si="55"/>
        <v/>
      </c>
      <c r="R345" s="25"/>
      <c r="S345" s="27"/>
      <c r="T345" s="24" t="str">
        <f t="shared" si="56"/>
        <v/>
      </c>
      <c r="U345" s="24" t="str">
        <f t="shared" si="57"/>
        <v/>
      </c>
      <c r="V345" s="24">
        <f>IF(OR(U345="",D345=""),0,IF(SUMPRODUCT(--(U$4:U345=U345))&gt;1,1,0))</f>
        <v>0</v>
      </c>
      <c r="W345" s="24">
        <f t="shared" si="58"/>
        <v>0</v>
      </c>
      <c r="X345" s="24">
        <f t="shared" si="59"/>
        <v>0</v>
      </c>
    </row>
    <row r="346" spans="1:24" x14ac:dyDescent="0.25">
      <c r="A346" s="24">
        <v>343</v>
      </c>
      <c r="B346" s="25"/>
      <c r="C346" s="26" t="str">
        <f t="shared" si="50"/>
        <v/>
      </c>
      <c r="D346" s="25"/>
      <c r="E346" s="27"/>
      <c r="F346" s="28"/>
      <c r="G346" s="28"/>
      <c r="H346" s="25"/>
      <c r="I346" s="25"/>
      <c r="J346" s="28"/>
      <c r="K346" s="29" t="str">
        <f t="shared" si="51"/>
        <v/>
      </c>
      <c r="L346" s="25"/>
      <c r="M346" s="29" t="str">
        <f t="shared" si="52"/>
        <v/>
      </c>
      <c r="N346" s="28"/>
      <c r="O346" s="29" t="str">
        <f t="shared" si="53"/>
        <v/>
      </c>
      <c r="P346" s="29" t="str">
        <f t="shared" si="54"/>
        <v/>
      </c>
      <c r="Q346" s="24" t="str">
        <f t="shared" si="55"/>
        <v/>
      </c>
      <c r="R346" s="25"/>
      <c r="S346" s="27"/>
      <c r="T346" s="24" t="str">
        <f t="shared" si="56"/>
        <v/>
      </c>
      <c r="U346" s="24" t="str">
        <f t="shared" si="57"/>
        <v/>
      </c>
      <c r="V346" s="24">
        <f>IF(OR(U346="",D346=""),0,IF(SUMPRODUCT(--(U$4:U346=U346))&gt;1,1,0))</f>
        <v>0</v>
      </c>
      <c r="W346" s="24">
        <f t="shared" si="58"/>
        <v>0</v>
      </c>
      <c r="X346" s="24">
        <f t="shared" si="59"/>
        <v>0</v>
      </c>
    </row>
    <row r="347" spans="1:24" x14ac:dyDescent="0.25">
      <c r="A347" s="24">
        <v>344</v>
      </c>
      <c r="B347" s="25"/>
      <c r="C347" s="26" t="str">
        <f t="shared" si="50"/>
        <v/>
      </c>
      <c r="D347" s="25"/>
      <c r="E347" s="27"/>
      <c r="F347" s="28"/>
      <c r="G347" s="28"/>
      <c r="H347" s="25"/>
      <c r="I347" s="25"/>
      <c r="J347" s="28"/>
      <c r="K347" s="29" t="str">
        <f t="shared" si="51"/>
        <v/>
      </c>
      <c r="L347" s="25"/>
      <c r="M347" s="29" t="str">
        <f t="shared" si="52"/>
        <v/>
      </c>
      <c r="N347" s="28"/>
      <c r="O347" s="29" t="str">
        <f t="shared" si="53"/>
        <v/>
      </c>
      <c r="P347" s="29" t="str">
        <f t="shared" si="54"/>
        <v/>
      </c>
      <c r="Q347" s="24" t="str">
        <f t="shared" si="55"/>
        <v/>
      </c>
      <c r="R347" s="25"/>
      <c r="S347" s="27"/>
      <c r="T347" s="24" t="str">
        <f t="shared" si="56"/>
        <v/>
      </c>
      <c r="U347" s="24" t="str">
        <f t="shared" si="57"/>
        <v/>
      </c>
      <c r="V347" s="24">
        <f>IF(OR(U347="",D347=""),0,IF(SUMPRODUCT(--(U$4:U347=U347))&gt;1,1,0))</f>
        <v>0</v>
      </c>
      <c r="W347" s="24">
        <f t="shared" si="58"/>
        <v>0</v>
      </c>
      <c r="X347" s="24">
        <f t="shared" si="59"/>
        <v>0</v>
      </c>
    </row>
    <row r="348" spans="1:24" x14ac:dyDescent="0.25">
      <c r="A348" s="24">
        <v>345</v>
      </c>
      <c r="B348" s="25"/>
      <c r="C348" s="26" t="str">
        <f t="shared" si="50"/>
        <v/>
      </c>
      <c r="D348" s="25"/>
      <c r="E348" s="27"/>
      <c r="F348" s="28"/>
      <c r="G348" s="28"/>
      <c r="H348" s="25"/>
      <c r="I348" s="25"/>
      <c r="J348" s="28"/>
      <c r="K348" s="29" t="str">
        <f t="shared" si="51"/>
        <v/>
      </c>
      <c r="L348" s="25"/>
      <c r="M348" s="29" t="str">
        <f t="shared" si="52"/>
        <v/>
      </c>
      <c r="N348" s="28"/>
      <c r="O348" s="29" t="str">
        <f t="shared" si="53"/>
        <v/>
      </c>
      <c r="P348" s="29" t="str">
        <f t="shared" si="54"/>
        <v/>
      </c>
      <c r="Q348" s="24" t="str">
        <f t="shared" si="55"/>
        <v/>
      </c>
      <c r="R348" s="25"/>
      <c r="S348" s="27"/>
      <c r="T348" s="24" t="str">
        <f t="shared" si="56"/>
        <v/>
      </c>
      <c r="U348" s="24" t="str">
        <f t="shared" si="57"/>
        <v/>
      </c>
      <c r="V348" s="24">
        <f>IF(OR(U348="",D348=""),0,IF(SUMPRODUCT(--(U$4:U348=U348))&gt;1,1,0))</f>
        <v>0</v>
      </c>
      <c r="W348" s="24">
        <f t="shared" si="58"/>
        <v>0</v>
      </c>
      <c r="X348" s="24">
        <f t="shared" si="59"/>
        <v>0</v>
      </c>
    </row>
    <row r="349" spans="1:24" x14ac:dyDescent="0.25">
      <c r="A349" s="24">
        <v>346</v>
      </c>
      <c r="B349" s="25"/>
      <c r="C349" s="26" t="str">
        <f t="shared" si="50"/>
        <v/>
      </c>
      <c r="D349" s="25"/>
      <c r="E349" s="27"/>
      <c r="F349" s="28"/>
      <c r="G349" s="28"/>
      <c r="H349" s="25"/>
      <c r="I349" s="25"/>
      <c r="J349" s="28"/>
      <c r="K349" s="29" t="str">
        <f t="shared" si="51"/>
        <v/>
      </c>
      <c r="L349" s="25"/>
      <c r="M349" s="29" t="str">
        <f t="shared" si="52"/>
        <v/>
      </c>
      <c r="N349" s="28"/>
      <c r="O349" s="29" t="str">
        <f t="shared" si="53"/>
        <v/>
      </c>
      <c r="P349" s="29" t="str">
        <f t="shared" si="54"/>
        <v/>
      </c>
      <c r="Q349" s="24" t="str">
        <f t="shared" si="55"/>
        <v/>
      </c>
      <c r="R349" s="25"/>
      <c r="S349" s="27"/>
      <c r="T349" s="24" t="str">
        <f t="shared" si="56"/>
        <v/>
      </c>
      <c r="U349" s="24" t="str">
        <f t="shared" si="57"/>
        <v/>
      </c>
      <c r="V349" s="24">
        <f>IF(OR(U349="",D349=""),0,IF(SUMPRODUCT(--(U$4:U349=U349))&gt;1,1,0))</f>
        <v>0</v>
      </c>
      <c r="W349" s="24">
        <f t="shared" si="58"/>
        <v>0</v>
      </c>
      <c r="X349" s="24">
        <f t="shared" si="59"/>
        <v>0</v>
      </c>
    </row>
    <row r="350" spans="1:24" x14ac:dyDescent="0.25">
      <c r="A350" s="24">
        <v>347</v>
      </c>
      <c r="B350" s="25"/>
      <c r="C350" s="26" t="str">
        <f t="shared" si="50"/>
        <v/>
      </c>
      <c r="D350" s="25"/>
      <c r="E350" s="27"/>
      <c r="F350" s="28"/>
      <c r="G350" s="28"/>
      <c r="H350" s="25"/>
      <c r="I350" s="25"/>
      <c r="J350" s="28"/>
      <c r="K350" s="29" t="str">
        <f t="shared" si="51"/>
        <v/>
      </c>
      <c r="L350" s="25"/>
      <c r="M350" s="29" t="str">
        <f t="shared" si="52"/>
        <v/>
      </c>
      <c r="N350" s="28"/>
      <c r="O350" s="29" t="str">
        <f t="shared" si="53"/>
        <v/>
      </c>
      <c r="P350" s="29" t="str">
        <f t="shared" si="54"/>
        <v/>
      </c>
      <c r="Q350" s="24" t="str">
        <f t="shared" si="55"/>
        <v/>
      </c>
      <c r="R350" s="25"/>
      <c r="S350" s="27"/>
      <c r="T350" s="24" t="str">
        <f t="shared" si="56"/>
        <v/>
      </c>
      <c r="U350" s="24" t="str">
        <f t="shared" si="57"/>
        <v/>
      </c>
      <c r="V350" s="24">
        <f>IF(OR(U350="",D350=""),0,IF(SUMPRODUCT(--(U$4:U350=U350))&gt;1,1,0))</f>
        <v>0</v>
      </c>
      <c r="W350" s="24">
        <f t="shared" si="58"/>
        <v>0</v>
      </c>
      <c r="X350" s="24">
        <f t="shared" si="59"/>
        <v>0</v>
      </c>
    </row>
    <row r="351" spans="1:24" x14ac:dyDescent="0.25">
      <c r="A351" s="24">
        <v>348</v>
      </c>
      <c r="B351" s="25"/>
      <c r="C351" s="26" t="str">
        <f t="shared" si="50"/>
        <v/>
      </c>
      <c r="D351" s="25"/>
      <c r="E351" s="27"/>
      <c r="F351" s="28"/>
      <c r="G351" s="28"/>
      <c r="H351" s="25"/>
      <c r="I351" s="25"/>
      <c r="J351" s="28"/>
      <c r="K351" s="29" t="str">
        <f t="shared" si="51"/>
        <v/>
      </c>
      <c r="L351" s="25"/>
      <c r="M351" s="29" t="str">
        <f t="shared" si="52"/>
        <v/>
      </c>
      <c r="N351" s="28"/>
      <c r="O351" s="29" t="str">
        <f t="shared" si="53"/>
        <v/>
      </c>
      <c r="P351" s="29" t="str">
        <f t="shared" si="54"/>
        <v/>
      </c>
      <c r="Q351" s="24" t="str">
        <f t="shared" si="55"/>
        <v/>
      </c>
      <c r="R351" s="25"/>
      <c r="S351" s="27"/>
      <c r="T351" s="24" t="str">
        <f t="shared" si="56"/>
        <v/>
      </c>
      <c r="U351" s="24" t="str">
        <f t="shared" si="57"/>
        <v/>
      </c>
      <c r="V351" s="24">
        <f>IF(OR(U351="",D351=""),0,IF(SUMPRODUCT(--(U$4:U351=U351))&gt;1,1,0))</f>
        <v>0</v>
      </c>
      <c r="W351" s="24">
        <f t="shared" si="58"/>
        <v>0</v>
      </c>
      <c r="X351" s="24">
        <f t="shared" si="59"/>
        <v>0</v>
      </c>
    </row>
    <row r="352" spans="1:24" x14ac:dyDescent="0.25">
      <c r="A352" s="24">
        <v>349</v>
      </c>
      <c r="B352" s="25"/>
      <c r="C352" s="26" t="str">
        <f t="shared" si="50"/>
        <v/>
      </c>
      <c r="D352" s="25"/>
      <c r="E352" s="27"/>
      <c r="F352" s="28"/>
      <c r="G352" s="28"/>
      <c r="H352" s="25"/>
      <c r="I352" s="25"/>
      <c r="J352" s="28"/>
      <c r="K352" s="29" t="str">
        <f t="shared" si="51"/>
        <v/>
      </c>
      <c r="L352" s="25"/>
      <c r="M352" s="29" t="str">
        <f t="shared" si="52"/>
        <v/>
      </c>
      <c r="N352" s="28"/>
      <c r="O352" s="29" t="str">
        <f t="shared" si="53"/>
        <v/>
      </c>
      <c r="P352" s="29" t="str">
        <f t="shared" si="54"/>
        <v/>
      </c>
      <c r="Q352" s="24" t="str">
        <f t="shared" si="55"/>
        <v/>
      </c>
      <c r="R352" s="25"/>
      <c r="S352" s="27"/>
      <c r="T352" s="24" t="str">
        <f t="shared" si="56"/>
        <v/>
      </c>
      <c r="U352" s="24" t="str">
        <f t="shared" si="57"/>
        <v/>
      </c>
      <c r="V352" s="24">
        <f>IF(OR(U352="",D352=""),0,IF(SUMPRODUCT(--(U$4:U352=U352))&gt;1,1,0))</f>
        <v>0</v>
      </c>
      <c r="W352" s="24">
        <f t="shared" si="58"/>
        <v>0</v>
      </c>
      <c r="X352" s="24">
        <f t="shared" si="59"/>
        <v>0</v>
      </c>
    </row>
    <row r="353" spans="1:24" x14ac:dyDescent="0.25">
      <c r="A353" s="24">
        <v>350</v>
      </c>
      <c r="B353" s="25"/>
      <c r="C353" s="26" t="str">
        <f t="shared" si="50"/>
        <v/>
      </c>
      <c r="D353" s="25"/>
      <c r="E353" s="27"/>
      <c r="F353" s="28"/>
      <c r="G353" s="28"/>
      <c r="H353" s="25"/>
      <c r="I353" s="25"/>
      <c r="J353" s="28"/>
      <c r="K353" s="29" t="str">
        <f t="shared" si="51"/>
        <v/>
      </c>
      <c r="L353" s="25"/>
      <c r="M353" s="29" t="str">
        <f t="shared" si="52"/>
        <v/>
      </c>
      <c r="N353" s="28"/>
      <c r="O353" s="29" t="str">
        <f t="shared" si="53"/>
        <v/>
      </c>
      <c r="P353" s="29" t="str">
        <f t="shared" si="54"/>
        <v/>
      </c>
      <c r="Q353" s="24" t="str">
        <f t="shared" si="55"/>
        <v/>
      </c>
      <c r="R353" s="25"/>
      <c r="S353" s="27"/>
      <c r="T353" s="24" t="str">
        <f t="shared" si="56"/>
        <v/>
      </c>
      <c r="U353" s="24" t="str">
        <f t="shared" si="57"/>
        <v/>
      </c>
      <c r="V353" s="24">
        <f>IF(OR(U353="",D353=""),0,IF(SUMPRODUCT(--(U$4:U353=U353))&gt;1,1,0))</f>
        <v>0</v>
      </c>
      <c r="W353" s="24">
        <f t="shared" si="58"/>
        <v>0</v>
      </c>
      <c r="X353" s="24">
        <f t="shared" si="59"/>
        <v>0</v>
      </c>
    </row>
    <row r="354" spans="1:24" x14ac:dyDescent="0.25">
      <c r="A354" s="24">
        <v>351</v>
      </c>
      <c r="B354" s="25"/>
      <c r="C354" s="26" t="str">
        <f t="shared" si="50"/>
        <v/>
      </c>
      <c r="D354" s="25"/>
      <c r="E354" s="27"/>
      <c r="F354" s="28"/>
      <c r="G354" s="28"/>
      <c r="H354" s="25"/>
      <c r="I354" s="25"/>
      <c r="J354" s="28"/>
      <c r="K354" s="29" t="str">
        <f t="shared" si="51"/>
        <v/>
      </c>
      <c r="L354" s="25"/>
      <c r="M354" s="29" t="str">
        <f t="shared" si="52"/>
        <v/>
      </c>
      <c r="N354" s="28"/>
      <c r="O354" s="29" t="str">
        <f t="shared" si="53"/>
        <v/>
      </c>
      <c r="P354" s="29" t="str">
        <f t="shared" si="54"/>
        <v/>
      </c>
      <c r="Q354" s="24" t="str">
        <f t="shared" si="55"/>
        <v/>
      </c>
      <c r="R354" s="25"/>
      <c r="S354" s="27"/>
      <c r="T354" s="24" t="str">
        <f t="shared" si="56"/>
        <v/>
      </c>
      <c r="U354" s="24" t="str">
        <f t="shared" si="57"/>
        <v/>
      </c>
      <c r="V354" s="24">
        <f>IF(OR(U354="",D354=""),0,IF(SUMPRODUCT(--(U$4:U354=U354))&gt;1,1,0))</f>
        <v>0</v>
      </c>
      <c r="W354" s="24">
        <f t="shared" si="58"/>
        <v>0</v>
      </c>
      <c r="X354" s="24">
        <f t="shared" si="59"/>
        <v>0</v>
      </c>
    </row>
    <row r="355" spans="1:24" x14ac:dyDescent="0.25">
      <c r="A355" s="24">
        <v>352</v>
      </c>
      <c r="B355" s="25"/>
      <c r="C355" s="26" t="str">
        <f t="shared" si="50"/>
        <v/>
      </c>
      <c r="D355" s="25"/>
      <c r="E355" s="27"/>
      <c r="F355" s="28"/>
      <c r="G355" s="28"/>
      <c r="H355" s="25"/>
      <c r="I355" s="25"/>
      <c r="J355" s="28"/>
      <c r="K355" s="29" t="str">
        <f t="shared" si="51"/>
        <v/>
      </c>
      <c r="L355" s="25"/>
      <c r="M355" s="29" t="str">
        <f t="shared" si="52"/>
        <v/>
      </c>
      <c r="N355" s="28"/>
      <c r="O355" s="29" t="str">
        <f t="shared" si="53"/>
        <v/>
      </c>
      <c r="P355" s="29" t="str">
        <f t="shared" si="54"/>
        <v/>
      </c>
      <c r="Q355" s="24" t="str">
        <f t="shared" si="55"/>
        <v/>
      </c>
      <c r="R355" s="25"/>
      <c r="S355" s="27"/>
      <c r="T355" s="24" t="str">
        <f t="shared" si="56"/>
        <v/>
      </c>
      <c r="U355" s="24" t="str">
        <f t="shared" si="57"/>
        <v/>
      </c>
      <c r="V355" s="24">
        <f>IF(OR(U355="",D355=""),0,IF(SUMPRODUCT(--(U$4:U355=U355))&gt;1,1,0))</f>
        <v>0</v>
      </c>
      <c r="W355" s="24">
        <f t="shared" si="58"/>
        <v>0</v>
      </c>
      <c r="X355" s="24">
        <f t="shared" si="59"/>
        <v>0</v>
      </c>
    </row>
    <row r="356" spans="1:24" x14ac:dyDescent="0.25">
      <c r="A356" s="24">
        <v>353</v>
      </c>
      <c r="B356" s="25"/>
      <c r="C356" s="26" t="str">
        <f t="shared" si="50"/>
        <v/>
      </c>
      <c r="D356" s="25"/>
      <c r="E356" s="27"/>
      <c r="F356" s="28"/>
      <c r="G356" s="28"/>
      <c r="H356" s="25"/>
      <c r="I356" s="25"/>
      <c r="J356" s="28"/>
      <c r="K356" s="29" t="str">
        <f t="shared" si="51"/>
        <v/>
      </c>
      <c r="L356" s="25"/>
      <c r="M356" s="29" t="str">
        <f t="shared" si="52"/>
        <v/>
      </c>
      <c r="N356" s="28"/>
      <c r="O356" s="29" t="str">
        <f t="shared" si="53"/>
        <v/>
      </c>
      <c r="P356" s="29" t="str">
        <f t="shared" si="54"/>
        <v/>
      </c>
      <c r="Q356" s="24" t="str">
        <f t="shared" si="55"/>
        <v/>
      </c>
      <c r="R356" s="25"/>
      <c r="S356" s="27"/>
      <c r="T356" s="24" t="str">
        <f t="shared" si="56"/>
        <v/>
      </c>
      <c r="U356" s="24" t="str">
        <f t="shared" si="57"/>
        <v/>
      </c>
      <c r="V356" s="24">
        <f>IF(OR(U356="",D356=""),0,IF(SUMPRODUCT(--(U$4:U356=U356))&gt;1,1,0))</f>
        <v>0</v>
      </c>
      <c r="W356" s="24">
        <f t="shared" si="58"/>
        <v>0</v>
      </c>
      <c r="X356" s="24">
        <f t="shared" si="59"/>
        <v>0</v>
      </c>
    </row>
    <row r="357" spans="1:24" x14ac:dyDescent="0.25">
      <c r="A357" s="24">
        <v>354</v>
      </c>
      <c r="B357" s="25"/>
      <c r="C357" s="26" t="str">
        <f t="shared" si="50"/>
        <v/>
      </c>
      <c r="D357" s="25"/>
      <c r="E357" s="27"/>
      <c r="F357" s="28"/>
      <c r="G357" s="28"/>
      <c r="H357" s="25"/>
      <c r="I357" s="25"/>
      <c r="J357" s="28"/>
      <c r="K357" s="29" t="str">
        <f t="shared" si="51"/>
        <v/>
      </c>
      <c r="L357" s="25"/>
      <c r="M357" s="29" t="str">
        <f t="shared" si="52"/>
        <v/>
      </c>
      <c r="N357" s="28"/>
      <c r="O357" s="29" t="str">
        <f t="shared" si="53"/>
        <v/>
      </c>
      <c r="P357" s="29" t="str">
        <f t="shared" si="54"/>
        <v/>
      </c>
      <c r="Q357" s="24" t="str">
        <f t="shared" si="55"/>
        <v/>
      </c>
      <c r="R357" s="25"/>
      <c r="S357" s="27"/>
      <c r="T357" s="24" t="str">
        <f t="shared" si="56"/>
        <v/>
      </c>
      <c r="U357" s="24" t="str">
        <f t="shared" si="57"/>
        <v/>
      </c>
      <c r="V357" s="24">
        <f>IF(OR(U357="",D357=""),0,IF(SUMPRODUCT(--(U$4:U357=U357))&gt;1,1,0))</f>
        <v>0</v>
      </c>
      <c r="W357" s="24">
        <f t="shared" si="58"/>
        <v>0</v>
      </c>
      <c r="X357" s="24">
        <f t="shared" si="59"/>
        <v>0</v>
      </c>
    </row>
    <row r="358" spans="1:24" x14ac:dyDescent="0.25">
      <c r="A358" s="24">
        <v>355</v>
      </c>
      <c r="B358" s="25"/>
      <c r="C358" s="26" t="str">
        <f t="shared" si="50"/>
        <v/>
      </c>
      <c r="D358" s="25"/>
      <c r="E358" s="27"/>
      <c r="F358" s="28"/>
      <c r="G358" s="28"/>
      <c r="H358" s="25"/>
      <c r="I358" s="25"/>
      <c r="J358" s="28"/>
      <c r="K358" s="29" t="str">
        <f t="shared" si="51"/>
        <v/>
      </c>
      <c r="L358" s="25"/>
      <c r="M358" s="29" t="str">
        <f t="shared" si="52"/>
        <v/>
      </c>
      <c r="N358" s="28"/>
      <c r="O358" s="29" t="str">
        <f t="shared" si="53"/>
        <v/>
      </c>
      <c r="P358" s="29" t="str">
        <f t="shared" si="54"/>
        <v/>
      </c>
      <c r="Q358" s="24" t="str">
        <f t="shared" si="55"/>
        <v/>
      </c>
      <c r="R358" s="25"/>
      <c r="S358" s="27"/>
      <c r="T358" s="24" t="str">
        <f t="shared" si="56"/>
        <v/>
      </c>
      <c r="U358" s="24" t="str">
        <f t="shared" si="57"/>
        <v/>
      </c>
      <c r="V358" s="24">
        <f>IF(OR(U358="",D358=""),0,IF(SUMPRODUCT(--(U$4:U358=U358))&gt;1,1,0))</f>
        <v>0</v>
      </c>
      <c r="W358" s="24">
        <f t="shared" si="58"/>
        <v>0</v>
      </c>
      <c r="X358" s="24">
        <f t="shared" si="59"/>
        <v>0</v>
      </c>
    </row>
    <row r="359" spans="1:24" x14ac:dyDescent="0.25">
      <c r="A359" s="24">
        <v>356</v>
      </c>
      <c r="B359" s="25"/>
      <c r="C359" s="26" t="str">
        <f t="shared" si="50"/>
        <v/>
      </c>
      <c r="D359" s="25"/>
      <c r="E359" s="27"/>
      <c r="F359" s="28"/>
      <c r="G359" s="28"/>
      <c r="H359" s="25"/>
      <c r="I359" s="25"/>
      <c r="J359" s="28"/>
      <c r="K359" s="29" t="str">
        <f t="shared" si="51"/>
        <v/>
      </c>
      <c r="L359" s="25"/>
      <c r="M359" s="29" t="str">
        <f t="shared" si="52"/>
        <v/>
      </c>
      <c r="N359" s="28"/>
      <c r="O359" s="29" t="str">
        <f t="shared" si="53"/>
        <v/>
      </c>
      <c r="P359" s="29" t="str">
        <f t="shared" si="54"/>
        <v/>
      </c>
      <c r="Q359" s="24" t="str">
        <f t="shared" si="55"/>
        <v/>
      </c>
      <c r="R359" s="25"/>
      <c r="S359" s="27"/>
      <c r="T359" s="24" t="str">
        <f t="shared" si="56"/>
        <v/>
      </c>
      <c r="U359" s="24" t="str">
        <f t="shared" si="57"/>
        <v/>
      </c>
      <c r="V359" s="24">
        <f>IF(OR(U359="",D359=""),0,IF(SUMPRODUCT(--(U$4:U359=U359))&gt;1,1,0))</f>
        <v>0</v>
      </c>
      <c r="W359" s="24">
        <f t="shared" si="58"/>
        <v>0</v>
      </c>
      <c r="X359" s="24">
        <f t="shared" si="59"/>
        <v>0</v>
      </c>
    </row>
    <row r="360" spans="1:24" x14ac:dyDescent="0.25">
      <c r="A360" s="24">
        <v>357</v>
      </c>
      <c r="B360" s="25"/>
      <c r="C360" s="26" t="str">
        <f t="shared" si="50"/>
        <v/>
      </c>
      <c r="D360" s="25"/>
      <c r="E360" s="27"/>
      <c r="F360" s="28"/>
      <c r="G360" s="28"/>
      <c r="H360" s="25"/>
      <c r="I360" s="25"/>
      <c r="J360" s="28"/>
      <c r="K360" s="29" t="str">
        <f t="shared" si="51"/>
        <v/>
      </c>
      <c r="L360" s="25"/>
      <c r="M360" s="29" t="str">
        <f t="shared" si="52"/>
        <v/>
      </c>
      <c r="N360" s="28"/>
      <c r="O360" s="29" t="str">
        <f t="shared" si="53"/>
        <v/>
      </c>
      <c r="P360" s="29" t="str">
        <f t="shared" si="54"/>
        <v/>
      </c>
      <c r="Q360" s="24" t="str">
        <f t="shared" si="55"/>
        <v/>
      </c>
      <c r="R360" s="25"/>
      <c r="S360" s="27"/>
      <c r="T360" s="24" t="str">
        <f t="shared" si="56"/>
        <v/>
      </c>
      <c r="U360" s="24" t="str">
        <f t="shared" si="57"/>
        <v/>
      </c>
      <c r="V360" s="24">
        <f>IF(OR(U360="",D360=""),0,IF(SUMPRODUCT(--(U$4:U360=U360))&gt;1,1,0))</f>
        <v>0</v>
      </c>
      <c r="W360" s="24">
        <f t="shared" si="58"/>
        <v>0</v>
      </c>
      <c r="X360" s="24">
        <f t="shared" si="59"/>
        <v>0</v>
      </c>
    </row>
    <row r="361" spans="1:24" x14ac:dyDescent="0.25">
      <c r="A361" s="24">
        <v>358</v>
      </c>
      <c r="B361" s="25"/>
      <c r="C361" s="26" t="str">
        <f t="shared" si="50"/>
        <v/>
      </c>
      <c r="D361" s="25"/>
      <c r="E361" s="27"/>
      <c r="F361" s="28"/>
      <c r="G361" s="28"/>
      <c r="H361" s="25"/>
      <c r="I361" s="25"/>
      <c r="J361" s="28"/>
      <c r="K361" s="29" t="str">
        <f t="shared" si="51"/>
        <v/>
      </c>
      <c r="L361" s="25"/>
      <c r="M361" s="29" t="str">
        <f t="shared" si="52"/>
        <v/>
      </c>
      <c r="N361" s="28"/>
      <c r="O361" s="29" t="str">
        <f t="shared" si="53"/>
        <v/>
      </c>
      <c r="P361" s="29" t="str">
        <f t="shared" si="54"/>
        <v/>
      </c>
      <c r="Q361" s="24" t="str">
        <f t="shared" si="55"/>
        <v/>
      </c>
      <c r="R361" s="25"/>
      <c r="S361" s="27"/>
      <c r="T361" s="24" t="str">
        <f t="shared" si="56"/>
        <v/>
      </c>
      <c r="U361" s="24" t="str">
        <f t="shared" si="57"/>
        <v/>
      </c>
      <c r="V361" s="24">
        <f>IF(OR(U361="",D361=""),0,IF(SUMPRODUCT(--(U$4:U361=U361))&gt;1,1,0))</f>
        <v>0</v>
      </c>
      <c r="W361" s="24">
        <f t="shared" si="58"/>
        <v>0</v>
      </c>
      <c r="X361" s="24">
        <f t="shared" si="59"/>
        <v>0</v>
      </c>
    </row>
    <row r="362" spans="1:24" x14ac:dyDescent="0.25">
      <c r="A362" s="24">
        <v>359</v>
      </c>
      <c r="B362" s="25"/>
      <c r="C362" s="26" t="str">
        <f t="shared" si="50"/>
        <v/>
      </c>
      <c r="D362" s="25"/>
      <c r="E362" s="27"/>
      <c r="F362" s="28"/>
      <c r="G362" s="28"/>
      <c r="H362" s="25"/>
      <c r="I362" s="25"/>
      <c r="J362" s="28"/>
      <c r="K362" s="29" t="str">
        <f t="shared" si="51"/>
        <v/>
      </c>
      <c r="L362" s="25"/>
      <c r="M362" s="29" t="str">
        <f t="shared" si="52"/>
        <v/>
      </c>
      <c r="N362" s="28"/>
      <c r="O362" s="29" t="str">
        <f t="shared" si="53"/>
        <v/>
      </c>
      <c r="P362" s="29" t="str">
        <f t="shared" si="54"/>
        <v/>
      </c>
      <c r="Q362" s="24" t="str">
        <f t="shared" si="55"/>
        <v/>
      </c>
      <c r="R362" s="25"/>
      <c r="S362" s="27"/>
      <c r="T362" s="24" t="str">
        <f t="shared" si="56"/>
        <v/>
      </c>
      <c r="U362" s="24" t="str">
        <f t="shared" si="57"/>
        <v/>
      </c>
      <c r="V362" s="24">
        <f>IF(OR(U362="",D362=""),0,IF(SUMPRODUCT(--(U$4:U362=U362))&gt;1,1,0))</f>
        <v>0</v>
      </c>
      <c r="W362" s="24">
        <f t="shared" si="58"/>
        <v>0</v>
      </c>
      <c r="X362" s="24">
        <f t="shared" si="59"/>
        <v>0</v>
      </c>
    </row>
    <row r="363" spans="1:24" x14ac:dyDescent="0.25">
      <c r="A363" s="24">
        <v>360</v>
      </c>
      <c r="B363" s="25"/>
      <c r="C363" s="26" t="str">
        <f t="shared" si="50"/>
        <v/>
      </c>
      <c r="D363" s="25"/>
      <c r="E363" s="27"/>
      <c r="F363" s="28"/>
      <c r="G363" s="28"/>
      <c r="H363" s="25"/>
      <c r="I363" s="25"/>
      <c r="J363" s="28"/>
      <c r="K363" s="29" t="str">
        <f t="shared" si="51"/>
        <v/>
      </c>
      <c r="L363" s="25"/>
      <c r="M363" s="29" t="str">
        <f t="shared" si="52"/>
        <v/>
      </c>
      <c r="N363" s="28"/>
      <c r="O363" s="29" t="str">
        <f t="shared" si="53"/>
        <v/>
      </c>
      <c r="P363" s="29" t="str">
        <f t="shared" si="54"/>
        <v/>
      </c>
      <c r="Q363" s="24" t="str">
        <f t="shared" si="55"/>
        <v/>
      </c>
      <c r="R363" s="25"/>
      <c r="S363" s="27"/>
      <c r="T363" s="24" t="str">
        <f t="shared" si="56"/>
        <v/>
      </c>
      <c r="U363" s="24" t="str">
        <f t="shared" si="57"/>
        <v/>
      </c>
      <c r="V363" s="24">
        <f>IF(OR(U363="",D363=""),0,IF(SUMPRODUCT(--(U$4:U363=U363))&gt;1,1,0))</f>
        <v>0</v>
      </c>
      <c r="W363" s="24">
        <f t="shared" si="58"/>
        <v>0</v>
      </c>
      <c r="X363" s="24">
        <f t="shared" si="59"/>
        <v>0</v>
      </c>
    </row>
    <row r="364" spans="1:24" x14ac:dyDescent="0.25">
      <c r="A364" s="24">
        <v>361</v>
      </c>
      <c r="B364" s="25"/>
      <c r="C364" s="26" t="str">
        <f t="shared" si="50"/>
        <v/>
      </c>
      <c r="D364" s="25"/>
      <c r="E364" s="27"/>
      <c r="F364" s="28"/>
      <c r="G364" s="28"/>
      <c r="H364" s="25"/>
      <c r="I364" s="25"/>
      <c r="J364" s="28"/>
      <c r="K364" s="29" t="str">
        <f t="shared" si="51"/>
        <v/>
      </c>
      <c r="L364" s="25"/>
      <c r="M364" s="29" t="str">
        <f t="shared" si="52"/>
        <v/>
      </c>
      <c r="N364" s="28"/>
      <c r="O364" s="29" t="str">
        <f t="shared" si="53"/>
        <v/>
      </c>
      <c r="P364" s="29" t="str">
        <f t="shared" si="54"/>
        <v/>
      </c>
      <c r="Q364" s="24" t="str">
        <f t="shared" si="55"/>
        <v/>
      </c>
      <c r="R364" s="25"/>
      <c r="S364" s="27"/>
      <c r="T364" s="24" t="str">
        <f t="shared" si="56"/>
        <v/>
      </c>
      <c r="U364" s="24" t="str">
        <f t="shared" si="57"/>
        <v/>
      </c>
      <c r="V364" s="24">
        <f>IF(OR(U364="",D364=""),0,IF(SUMPRODUCT(--(U$4:U364=U364))&gt;1,1,0))</f>
        <v>0</v>
      </c>
      <c r="W364" s="24">
        <f t="shared" si="58"/>
        <v>0</v>
      </c>
      <c r="X364" s="24">
        <f t="shared" si="59"/>
        <v>0</v>
      </c>
    </row>
    <row r="365" spans="1:24" x14ac:dyDescent="0.25">
      <c r="A365" s="24">
        <v>362</v>
      </c>
      <c r="B365" s="25"/>
      <c r="C365" s="26" t="str">
        <f t="shared" si="50"/>
        <v/>
      </c>
      <c r="D365" s="25"/>
      <c r="E365" s="27"/>
      <c r="F365" s="28"/>
      <c r="G365" s="28"/>
      <c r="H365" s="25"/>
      <c r="I365" s="25"/>
      <c r="J365" s="28"/>
      <c r="K365" s="29" t="str">
        <f t="shared" si="51"/>
        <v/>
      </c>
      <c r="L365" s="25"/>
      <c r="M365" s="29" t="str">
        <f t="shared" si="52"/>
        <v/>
      </c>
      <c r="N365" s="28"/>
      <c r="O365" s="29" t="str">
        <f t="shared" si="53"/>
        <v/>
      </c>
      <c r="P365" s="29" t="str">
        <f t="shared" si="54"/>
        <v/>
      </c>
      <c r="Q365" s="24" t="str">
        <f t="shared" si="55"/>
        <v/>
      </c>
      <c r="R365" s="25"/>
      <c r="S365" s="27"/>
      <c r="T365" s="24" t="str">
        <f t="shared" si="56"/>
        <v/>
      </c>
      <c r="U365" s="24" t="str">
        <f t="shared" si="57"/>
        <v/>
      </c>
      <c r="V365" s="24">
        <f>IF(OR(U365="",D365=""),0,IF(SUMPRODUCT(--(U$4:U365=U365))&gt;1,1,0))</f>
        <v>0</v>
      </c>
      <c r="W365" s="24">
        <f t="shared" si="58"/>
        <v>0</v>
      </c>
      <c r="X365" s="24">
        <f t="shared" si="59"/>
        <v>0</v>
      </c>
    </row>
    <row r="366" spans="1:24" x14ac:dyDescent="0.25">
      <c r="A366" s="24">
        <v>363</v>
      </c>
      <c r="B366" s="25"/>
      <c r="C366" s="26" t="str">
        <f t="shared" si="50"/>
        <v/>
      </c>
      <c r="D366" s="25"/>
      <c r="E366" s="27"/>
      <c r="F366" s="28"/>
      <c r="G366" s="28"/>
      <c r="H366" s="25"/>
      <c r="I366" s="25"/>
      <c r="J366" s="28"/>
      <c r="K366" s="29" t="str">
        <f t="shared" si="51"/>
        <v/>
      </c>
      <c r="L366" s="25"/>
      <c r="M366" s="29" t="str">
        <f t="shared" si="52"/>
        <v/>
      </c>
      <c r="N366" s="28"/>
      <c r="O366" s="29" t="str">
        <f t="shared" si="53"/>
        <v/>
      </c>
      <c r="P366" s="29" t="str">
        <f t="shared" si="54"/>
        <v/>
      </c>
      <c r="Q366" s="24" t="str">
        <f t="shared" si="55"/>
        <v/>
      </c>
      <c r="R366" s="25"/>
      <c r="S366" s="27"/>
      <c r="T366" s="24" t="str">
        <f t="shared" si="56"/>
        <v/>
      </c>
      <c r="U366" s="24" t="str">
        <f t="shared" si="57"/>
        <v/>
      </c>
      <c r="V366" s="24">
        <f>IF(OR(U366="",D366=""),0,IF(SUMPRODUCT(--(U$4:U366=U366))&gt;1,1,0))</f>
        <v>0</v>
      </c>
      <c r="W366" s="24">
        <f t="shared" si="58"/>
        <v>0</v>
      </c>
      <c r="X366" s="24">
        <f t="shared" si="59"/>
        <v>0</v>
      </c>
    </row>
    <row r="367" spans="1:24" x14ac:dyDescent="0.25">
      <c r="A367" s="24">
        <v>364</v>
      </c>
      <c r="B367" s="25"/>
      <c r="C367" s="26" t="str">
        <f t="shared" si="50"/>
        <v/>
      </c>
      <c r="D367" s="25"/>
      <c r="E367" s="27"/>
      <c r="F367" s="28"/>
      <c r="G367" s="28"/>
      <c r="H367" s="25"/>
      <c r="I367" s="25"/>
      <c r="J367" s="28"/>
      <c r="K367" s="29" t="str">
        <f t="shared" si="51"/>
        <v/>
      </c>
      <c r="L367" s="25"/>
      <c r="M367" s="29" t="str">
        <f t="shared" si="52"/>
        <v/>
      </c>
      <c r="N367" s="28"/>
      <c r="O367" s="29" t="str">
        <f t="shared" si="53"/>
        <v/>
      </c>
      <c r="P367" s="29" t="str">
        <f t="shared" si="54"/>
        <v/>
      </c>
      <c r="Q367" s="24" t="str">
        <f t="shared" si="55"/>
        <v/>
      </c>
      <c r="R367" s="25"/>
      <c r="S367" s="27"/>
      <c r="T367" s="24" t="str">
        <f t="shared" si="56"/>
        <v/>
      </c>
      <c r="U367" s="24" t="str">
        <f t="shared" si="57"/>
        <v/>
      </c>
      <c r="V367" s="24">
        <f>IF(OR(U367="",D367=""),0,IF(SUMPRODUCT(--(U$4:U367=U367))&gt;1,1,0))</f>
        <v>0</v>
      </c>
      <c r="W367" s="24">
        <f t="shared" si="58"/>
        <v>0</v>
      </c>
      <c r="X367" s="24">
        <f t="shared" si="59"/>
        <v>0</v>
      </c>
    </row>
    <row r="368" spans="1:24" x14ac:dyDescent="0.25">
      <c r="A368" s="24">
        <v>365</v>
      </c>
      <c r="B368" s="25"/>
      <c r="C368" s="26" t="str">
        <f t="shared" si="50"/>
        <v/>
      </c>
      <c r="D368" s="25"/>
      <c r="E368" s="27"/>
      <c r="F368" s="28"/>
      <c r="G368" s="28"/>
      <c r="H368" s="25"/>
      <c r="I368" s="25"/>
      <c r="J368" s="28"/>
      <c r="K368" s="29" t="str">
        <f t="shared" si="51"/>
        <v/>
      </c>
      <c r="L368" s="25"/>
      <c r="M368" s="29" t="str">
        <f t="shared" si="52"/>
        <v/>
      </c>
      <c r="N368" s="28"/>
      <c r="O368" s="29" t="str">
        <f t="shared" si="53"/>
        <v/>
      </c>
      <c r="P368" s="29" t="str">
        <f t="shared" si="54"/>
        <v/>
      </c>
      <c r="Q368" s="24" t="str">
        <f t="shared" si="55"/>
        <v/>
      </c>
      <c r="R368" s="25"/>
      <c r="S368" s="27"/>
      <c r="T368" s="24" t="str">
        <f t="shared" si="56"/>
        <v/>
      </c>
      <c r="U368" s="24" t="str">
        <f t="shared" si="57"/>
        <v/>
      </c>
      <c r="V368" s="24">
        <f>IF(OR(U368="",D368=""),0,IF(SUMPRODUCT(--(U$4:U368=U368))&gt;1,1,0))</f>
        <v>0</v>
      </c>
      <c r="W368" s="24">
        <f t="shared" si="58"/>
        <v>0</v>
      </c>
      <c r="X368" s="24">
        <f t="shared" si="59"/>
        <v>0</v>
      </c>
    </row>
    <row r="369" spans="1:24" x14ac:dyDescent="0.25">
      <c r="A369" s="24">
        <v>366</v>
      </c>
      <c r="B369" s="25"/>
      <c r="C369" s="26" t="str">
        <f t="shared" si="50"/>
        <v/>
      </c>
      <c r="D369" s="25"/>
      <c r="E369" s="27"/>
      <c r="F369" s="28"/>
      <c r="G369" s="28"/>
      <c r="H369" s="25"/>
      <c r="I369" s="25"/>
      <c r="J369" s="28"/>
      <c r="K369" s="29" t="str">
        <f t="shared" si="51"/>
        <v/>
      </c>
      <c r="L369" s="25"/>
      <c r="M369" s="29" t="str">
        <f t="shared" si="52"/>
        <v/>
      </c>
      <c r="N369" s="28"/>
      <c r="O369" s="29" t="str">
        <f t="shared" si="53"/>
        <v/>
      </c>
      <c r="P369" s="29" t="str">
        <f t="shared" si="54"/>
        <v/>
      </c>
      <c r="Q369" s="24" t="str">
        <f t="shared" si="55"/>
        <v/>
      </c>
      <c r="R369" s="25"/>
      <c r="S369" s="27"/>
      <c r="T369" s="24" t="str">
        <f t="shared" si="56"/>
        <v/>
      </c>
      <c r="U369" s="24" t="str">
        <f t="shared" si="57"/>
        <v/>
      </c>
      <c r="V369" s="24">
        <f>IF(OR(U369="",D369=""),0,IF(SUMPRODUCT(--(U$4:U369=U369))&gt;1,1,0))</f>
        <v>0</v>
      </c>
      <c r="W369" s="24">
        <f t="shared" si="58"/>
        <v>0</v>
      </c>
      <c r="X369" s="24">
        <f t="shared" si="59"/>
        <v>0</v>
      </c>
    </row>
    <row r="370" spans="1:24" x14ac:dyDescent="0.25">
      <c r="A370" s="24">
        <v>367</v>
      </c>
      <c r="B370" s="25"/>
      <c r="C370" s="26" t="str">
        <f t="shared" si="50"/>
        <v/>
      </c>
      <c r="D370" s="25"/>
      <c r="E370" s="27"/>
      <c r="F370" s="28"/>
      <c r="G370" s="28"/>
      <c r="H370" s="25"/>
      <c r="I370" s="25"/>
      <c r="J370" s="28"/>
      <c r="K370" s="29" t="str">
        <f t="shared" si="51"/>
        <v/>
      </c>
      <c r="L370" s="25"/>
      <c r="M370" s="29" t="str">
        <f t="shared" si="52"/>
        <v/>
      </c>
      <c r="N370" s="28"/>
      <c r="O370" s="29" t="str">
        <f t="shared" si="53"/>
        <v/>
      </c>
      <c r="P370" s="29" t="str">
        <f t="shared" si="54"/>
        <v/>
      </c>
      <c r="Q370" s="24" t="str">
        <f t="shared" si="55"/>
        <v/>
      </c>
      <c r="R370" s="25"/>
      <c r="S370" s="27"/>
      <c r="T370" s="24" t="str">
        <f t="shared" si="56"/>
        <v/>
      </c>
      <c r="U370" s="24" t="str">
        <f t="shared" si="57"/>
        <v/>
      </c>
      <c r="V370" s="24">
        <f>IF(OR(U370="",D370=""),0,IF(SUMPRODUCT(--(U$4:U370=U370))&gt;1,1,0))</f>
        <v>0</v>
      </c>
      <c r="W370" s="24">
        <f t="shared" si="58"/>
        <v>0</v>
      </c>
      <c r="X370" s="24">
        <f t="shared" si="59"/>
        <v>0</v>
      </c>
    </row>
    <row r="371" spans="1:24" x14ac:dyDescent="0.25">
      <c r="A371" s="24">
        <v>368</v>
      </c>
      <c r="B371" s="25"/>
      <c r="C371" s="26" t="str">
        <f t="shared" si="50"/>
        <v/>
      </c>
      <c r="D371" s="25"/>
      <c r="E371" s="27"/>
      <c r="F371" s="28"/>
      <c r="G371" s="28"/>
      <c r="H371" s="25"/>
      <c r="I371" s="25"/>
      <c r="J371" s="28"/>
      <c r="K371" s="29" t="str">
        <f t="shared" si="51"/>
        <v/>
      </c>
      <c r="L371" s="25"/>
      <c r="M371" s="29" t="str">
        <f t="shared" si="52"/>
        <v/>
      </c>
      <c r="N371" s="28"/>
      <c r="O371" s="29" t="str">
        <f t="shared" si="53"/>
        <v/>
      </c>
      <c r="P371" s="29" t="str">
        <f t="shared" si="54"/>
        <v/>
      </c>
      <c r="Q371" s="24" t="str">
        <f t="shared" si="55"/>
        <v/>
      </c>
      <c r="R371" s="25"/>
      <c r="S371" s="27"/>
      <c r="T371" s="24" t="str">
        <f t="shared" si="56"/>
        <v/>
      </c>
      <c r="U371" s="24" t="str">
        <f t="shared" si="57"/>
        <v/>
      </c>
      <c r="V371" s="24">
        <f>IF(OR(U371="",D371=""),0,IF(SUMPRODUCT(--(U$4:U371=U371))&gt;1,1,0))</f>
        <v>0</v>
      </c>
      <c r="W371" s="24">
        <f t="shared" si="58"/>
        <v>0</v>
      </c>
      <c r="X371" s="24">
        <f t="shared" si="59"/>
        <v>0</v>
      </c>
    </row>
    <row r="372" spans="1:24" x14ac:dyDescent="0.25">
      <c r="A372" s="24">
        <v>369</v>
      </c>
      <c r="B372" s="25"/>
      <c r="C372" s="26" t="str">
        <f t="shared" si="50"/>
        <v/>
      </c>
      <c r="D372" s="25"/>
      <c r="E372" s="27"/>
      <c r="F372" s="28"/>
      <c r="G372" s="28"/>
      <c r="H372" s="25"/>
      <c r="I372" s="25"/>
      <c r="J372" s="28"/>
      <c r="K372" s="29" t="str">
        <f t="shared" si="51"/>
        <v/>
      </c>
      <c r="L372" s="25"/>
      <c r="M372" s="29" t="str">
        <f t="shared" si="52"/>
        <v/>
      </c>
      <c r="N372" s="28"/>
      <c r="O372" s="29" t="str">
        <f t="shared" si="53"/>
        <v/>
      </c>
      <c r="P372" s="29" t="str">
        <f t="shared" si="54"/>
        <v/>
      </c>
      <c r="Q372" s="24" t="str">
        <f t="shared" si="55"/>
        <v/>
      </c>
      <c r="R372" s="25"/>
      <c r="S372" s="27"/>
      <c r="T372" s="24" t="str">
        <f t="shared" si="56"/>
        <v/>
      </c>
      <c r="U372" s="24" t="str">
        <f t="shared" si="57"/>
        <v/>
      </c>
      <c r="V372" s="24">
        <f>IF(OR(U372="",D372=""),0,IF(SUMPRODUCT(--(U$4:U372=U372))&gt;1,1,0))</f>
        <v>0</v>
      </c>
      <c r="W372" s="24">
        <f t="shared" si="58"/>
        <v>0</v>
      </c>
      <c r="X372" s="24">
        <f t="shared" si="59"/>
        <v>0</v>
      </c>
    </row>
    <row r="373" spans="1:24" x14ac:dyDescent="0.25">
      <c r="A373" s="24">
        <v>370</v>
      </c>
      <c r="B373" s="25"/>
      <c r="C373" s="26" t="str">
        <f t="shared" si="50"/>
        <v/>
      </c>
      <c r="D373" s="25"/>
      <c r="E373" s="27"/>
      <c r="F373" s="28"/>
      <c r="G373" s="28"/>
      <c r="H373" s="25"/>
      <c r="I373" s="25"/>
      <c r="J373" s="28"/>
      <c r="K373" s="29" t="str">
        <f t="shared" si="51"/>
        <v/>
      </c>
      <c r="L373" s="25"/>
      <c r="M373" s="29" t="str">
        <f t="shared" si="52"/>
        <v/>
      </c>
      <c r="N373" s="28"/>
      <c r="O373" s="29" t="str">
        <f t="shared" si="53"/>
        <v/>
      </c>
      <c r="P373" s="29" t="str">
        <f t="shared" si="54"/>
        <v/>
      </c>
      <c r="Q373" s="24" t="str">
        <f t="shared" si="55"/>
        <v/>
      </c>
      <c r="R373" s="25"/>
      <c r="S373" s="27"/>
      <c r="T373" s="24" t="str">
        <f t="shared" si="56"/>
        <v/>
      </c>
      <c r="U373" s="24" t="str">
        <f t="shared" si="57"/>
        <v/>
      </c>
      <c r="V373" s="24">
        <f>IF(OR(U373="",D373=""),0,IF(SUMPRODUCT(--(U$4:U373=U373))&gt;1,1,0))</f>
        <v>0</v>
      </c>
      <c r="W373" s="24">
        <f t="shared" si="58"/>
        <v>0</v>
      </c>
      <c r="X373" s="24">
        <f t="shared" si="59"/>
        <v>0</v>
      </c>
    </row>
    <row r="374" spans="1:24" x14ac:dyDescent="0.25">
      <c r="A374" s="24">
        <v>371</v>
      </c>
      <c r="B374" s="25"/>
      <c r="C374" s="26" t="str">
        <f t="shared" si="50"/>
        <v/>
      </c>
      <c r="D374" s="25"/>
      <c r="E374" s="27"/>
      <c r="F374" s="28"/>
      <c r="G374" s="28"/>
      <c r="H374" s="25"/>
      <c r="I374" s="25"/>
      <c r="J374" s="28"/>
      <c r="K374" s="29" t="str">
        <f t="shared" si="51"/>
        <v/>
      </c>
      <c r="L374" s="25"/>
      <c r="M374" s="29" t="str">
        <f t="shared" si="52"/>
        <v/>
      </c>
      <c r="N374" s="28"/>
      <c r="O374" s="29" t="str">
        <f t="shared" si="53"/>
        <v/>
      </c>
      <c r="P374" s="29" t="str">
        <f t="shared" si="54"/>
        <v/>
      </c>
      <c r="Q374" s="24" t="str">
        <f t="shared" si="55"/>
        <v/>
      </c>
      <c r="R374" s="25"/>
      <c r="S374" s="27"/>
      <c r="T374" s="24" t="str">
        <f t="shared" si="56"/>
        <v/>
      </c>
      <c r="U374" s="24" t="str">
        <f t="shared" si="57"/>
        <v/>
      </c>
      <c r="V374" s="24">
        <f>IF(OR(U374="",D374=""),0,IF(SUMPRODUCT(--(U$4:U374=U374))&gt;1,1,0))</f>
        <v>0</v>
      </c>
      <c r="W374" s="24">
        <f t="shared" si="58"/>
        <v>0</v>
      </c>
      <c r="X374" s="24">
        <f t="shared" si="59"/>
        <v>0</v>
      </c>
    </row>
    <row r="375" spans="1:24" x14ac:dyDescent="0.25">
      <c r="A375" s="24">
        <v>372</v>
      </c>
      <c r="B375" s="25"/>
      <c r="C375" s="26" t="str">
        <f t="shared" si="50"/>
        <v/>
      </c>
      <c r="D375" s="25"/>
      <c r="E375" s="27"/>
      <c r="F375" s="28"/>
      <c r="G375" s="28"/>
      <c r="H375" s="25"/>
      <c r="I375" s="25"/>
      <c r="J375" s="28"/>
      <c r="K375" s="29" t="str">
        <f t="shared" si="51"/>
        <v/>
      </c>
      <c r="L375" s="25"/>
      <c r="M375" s="29" t="str">
        <f t="shared" si="52"/>
        <v/>
      </c>
      <c r="N375" s="28"/>
      <c r="O375" s="29" t="str">
        <f t="shared" si="53"/>
        <v/>
      </c>
      <c r="P375" s="29" t="str">
        <f t="shared" si="54"/>
        <v/>
      </c>
      <c r="Q375" s="24" t="str">
        <f t="shared" si="55"/>
        <v/>
      </c>
      <c r="R375" s="25"/>
      <c r="S375" s="27"/>
      <c r="T375" s="24" t="str">
        <f t="shared" si="56"/>
        <v/>
      </c>
      <c r="U375" s="24" t="str">
        <f t="shared" si="57"/>
        <v/>
      </c>
      <c r="V375" s="24">
        <f>IF(OR(U375="",D375=""),0,IF(SUMPRODUCT(--(U$4:U375=U375))&gt;1,1,0))</f>
        <v>0</v>
      </c>
      <c r="W375" s="24">
        <f t="shared" si="58"/>
        <v>0</v>
      </c>
      <c r="X375" s="24">
        <f t="shared" si="59"/>
        <v>0</v>
      </c>
    </row>
    <row r="376" spans="1:24" x14ac:dyDescent="0.25">
      <c r="A376" s="24">
        <v>373</v>
      </c>
      <c r="B376" s="25"/>
      <c r="C376" s="26" t="str">
        <f t="shared" si="50"/>
        <v/>
      </c>
      <c r="D376" s="25"/>
      <c r="E376" s="27"/>
      <c r="F376" s="28"/>
      <c r="G376" s="28"/>
      <c r="H376" s="25"/>
      <c r="I376" s="25"/>
      <c r="J376" s="28"/>
      <c r="K376" s="29" t="str">
        <f t="shared" si="51"/>
        <v/>
      </c>
      <c r="L376" s="25"/>
      <c r="M376" s="29" t="str">
        <f t="shared" si="52"/>
        <v/>
      </c>
      <c r="N376" s="28"/>
      <c r="O376" s="29" t="str">
        <f t="shared" si="53"/>
        <v/>
      </c>
      <c r="P376" s="29" t="str">
        <f t="shared" si="54"/>
        <v/>
      </c>
      <c r="Q376" s="24" t="str">
        <f t="shared" si="55"/>
        <v/>
      </c>
      <c r="R376" s="25"/>
      <c r="S376" s="27"/>
      <c r="T376" s="24" t="str">
        <f t="shared" si="56"/>
        <v/>
      </c>
      <c r="U376" s="24" t="str">
        <f t="shared" si="57"/>
        <v/>
      </c>
      <c r="V376" s="24">
        <f>IF(OR(U376="",D376=""),0,IF(SUMPRODUCT(--(U$4:U376=U376))&gt;1,1,0))</f>
        <v>0</v>
      </c>
      <c r="W376" s="24">
        <f t="shared" si="58"/>
        <v>0</v>
      </c>
      <c r="X376" s="24">
        <f t="shared" si="59"/>
        <v>0</v>
      </c>
    </row>
    <row r="377" spans="1:24" x14ac:dyDescent="0.25">
      <c r="A377" s="24">
        <v>374</v>
      </c>
      <c r="B377" s="25"/>
      <c r="C377" s="26" t="str">
        <f t="shared" si="50"/>
        <v/>
      </c>
      <c r="D377" s="25"/>
      <c r="E377" s="27"/>
      <c r="F377" s="28"/>
      <c r="G377" s="28"/>
      <c r="H377" s="25"/>
      <c r="I377" s="25"/>
      <c r="J377" s="28"/>
      <c r="K377" s="29" t="str">
        <f t="shared" si="51"/>
        <v/>
      </c>
      <c r="L377" s="25"/>
      <c r="M377" s="29" t="str">
        <f t="shared" si="52"/>
        <v/>
      </c>
      <c r="N377" s="28"/>
      <c r="O377" s="29" t="str">
        <f t="shared" si="53"/>
        <v/>
      </c>
      <c r="P377" s="29" t="str">
        <f t="shared" si="54"/>
        <v/>
      </c>
      <c r="Q377" s="24" t="str">
        <f t="shared" si="55"/>
        <v/>
      </c>
      <c r="R377" s="25"/>
      <c r="S377" s="27"/>
      <c r="T377" s="24" t="str">
        <f t="shared" si="56"/>
        <v/>
      </c>
      <c r="U377" s="24" t="str">
        <f t="shared" si="57"/>
        <v/>
      </c>
      <c r="V377" s="24">
        <f>IF(OR(U377="",D377=""),0,IF(SUMPRODUCT(--(U$4:U377=U377))&gt;1,1,0))</f>
        <v>0</v>
      </c>
      <c r="W377" s="24">
        <f t="shared" si="58"/>
        <v>0</v>
      </c>
      <c r="X377" s="24">
        <f t="shared" si="59"/>
        <v>0</v>
      </c>
    </row>
    <row r="378" spans="1:24" x14ac:dyDescent="0.25">
      <c r="A378" s="24">
        <v>375</v>
      </c>
      <c r="B378" s="25"/>
      <c r="C378" s="26" t="str">
        <f t="shared" si="50"/>
        <v/>
      </c>
      <c r="D378" s="25"/>
      <c r="E378" s="27"/>
      <c r="F378" s="28"/>
      <c r="G378" s="28"/>
      <c r="H378" s="25"/>
      <c r="I378" s="25"/>
      <c r="J378" s="28"/>
      <c r="K378" s="29" t="str">
        <f t="shared" si="51"/>
        <v/>
      </c>
      <c r="L378" s="25"/>
      <c r="M378" s="29" t="str">
        <f t="shared" si="52"/>
        <v/>
      </c>
      <c r="N378" s="28"/>
      <c r="O378" s="29" t="str">
        <f t="shared" si="53"/>
        <v/>
      </c>
      <c r="P378" s="29" t="str">
        <f t="shared" si="54"/>
        <v/>
      </c>
      <c r="Q378" s="24" t="str">
        <f t="shared" si="55"/>
        <v/>
      </c>
      <c r="R378" s="25"/>
      <c r="S378" s="27"/>
      <c r="T378" s="24" t="str">
        <f t="shared" si="56"/>
        <v/>
      </c>
      <c r="U378" s="24" t="str">
        <f t="shared" si="57"/>
        <v/>
      </c>
      <c r="V378" s="24">
        <f>IF(OR(U378="",D378=""),0,IF(SUMPRODUCT(--(U$4:U378=U378))&gt;1,1,0))</f>
        <v>0</v>
      </c>
      <c r="W378" s="24">
        <f t="shared" si="58"/>
        <v>0</v>
      </c>
      <c r="X378" s="24">
        <f t="shared" si="59"/>
        <v>0</v>
      </c>
    </row>
    <row r="379" spans="1:24" x14ac:dyDescent="0.25">
      <c r="A379" s="24">
        <v>376</v>
      </c>
      <c r="B379" s="25"/>
      <c r="C379" s="26" t="str">
        <f t="shared" si="50"/>
        <v/>
      </c>
      <c r="D379" s="25"/>
      <c r="E379" s="27"/>
      <c r="F379" s="28"/>
      <c r="G379" s="28"/>
      <c r="H379" s="25"/>
      <c r="I379" s="25"/>
      <c r="J379" s="28"/>
      <c r="K379" s="29" t="str">
        <f t="shared" si="51"/>
        <v/>
      </c>
      <c r="L379" s="25"/>
      <c r="M379" s="29" t="str">
        <f t="shared" si="52"/>
        <v/>
      </c>
      <c r="N379" s="28"/>
      <c r="O379" s="29" t="str">
        <f t="shared" si="53"/>
        <v/>
      </c>
      <c r="P379" s="29" t="str">
        <f t="shared" si="54"/>
        <v/>
      </c>
      <c r="Q379" s="24" t="str">
        <f t="shared" si="55"/>
        <v/>
      </c>
      <c r="R379" s="25"/>
      <c r="S379" s="27"/>
      <c r="T379" s="24" t="str">
        <f t="shared" si="56"/>
        <v/>
      </c>
      <c r="U379" s="24" t="str">
        <f t="shared" si="57"/>
        <v/>
      </c>
      <c r="V379" s="24">
        <f>IF(OR(U379="",D379=""),0,IF(SUMPRODUCT(--(U$4:U379=U379))&gt;1,1,0))</f>
        <v>0</v>
      </c>
      <c r="W379" s="24">
        <f t="shared" si="58"/>
        <v>0</v>
      </c>
      <c r="X379" s="24">
        <f t="shared" si="59"/>
        <v>0</v>
      </c>
    </row>
    <row r="380" spans="1:24" x14ac:dyDescent="0.25">
      <c r="A380" s="24">
        <v>377</v>
      </c>
      <c r="B380" s="25"/>
      <c r="C380" s="26" t="str">
        <f t="shared" si="50"/>
        <v/>
      </c>
      <c r="D380" s="25"/>
      <c r="E380" s="27"/>
      <c r="F380" s="28"/>
      <c r="G380" s="28"/>
      <c r="H380" s="25"/>
      <c r="I380" s="25"/>
      <c r="J380" s="28"/>
      <c r="K380" s="29" t="str">
        <f t="shared" si="51"/>
        <v/>
      </c>
      <c r="L380" s="25"/>
      <c r="M380" s="29" t="str">
        <f t="shared" si="52"/>
        <v/>
      </c>
      <c r="N380" s="28"/>
      <c r="O380" s="29" t="str">
        <f t="shared" si="53"/>
        <v/>
      </c>
      <c r="P380" s="29" t="str">
        <f t="shared" si="54"/>
        <v/>
      </c>
      <c r="Q380" s="24" t="str">
        <f t="shared" si="55"/>
        <v/>
      </c>
      <c r="R380" s="25"/>
      <c r="S380" s="27"/>
      <c r="T380" s="24" t="str">
        <f t="shared" si="56"/>
        <v/>
      </c>
      <c r="U380" s="24" t="str">
        <f t="shared" si="57"/>
        <v/>
      </c>
      <c r="V380" s="24">
        <f>IF(OR(U380="",D380=""),0,IF(SUMPRODUCT(--(U$4:U380=U380))&gt;1,1,0))</f>
        <v>0</v>
      </c>
      <c r="W380" s="24">
        <f t="shared" si="58"/>
        <v>0</v>
      </c>
      <c r="X380" s="24">
        <f t="shared" si="59"/>
        <v>0</v>
      </c>
    </row>
    <row r="381" spans="1:24" x14ac:dyDescent="0.25">
      <c r="A381" s="24">
        <v>378</v>
      </c>
      <c r="B381" s="25"/>
      <c r="C381" s="26" t="str">
        <f t="shared" si="50"/>
        <v/>
      </c>
      <c r="D381" s="25"/>
      <c r="E381" s="27"/>
      <c r="F381" s="28"/>
      <c r="G381" s="28"/>
      <c r="H381" s="25"/>
      <c r="I381" s="25"/>
      <c r="J381" s="28"/>
      <c r="K381" s="29" t="str">
        <f t="shared" si="51"/>
        <v/>
      </c>
      <c r="L381" s="25"/>
      <c r="M381" s="29" t="str">
        <f t="shared" si="52"/>
        <v/>
      </c>
      <c r="N381" s="28"/>
      <c r="O381" s="29" t="str">
        <f t="shared" si="53"/>
        <v/>
      </c>
      <c r="P381" s="29" t="str">
        <f t="shared" si="54"/>
        <v/>
      </c>
      <c r="Q381" s="24" t="str">
        <f t="shared" si="55"/>
        <v/>
      </c>
      <c r="R381" s="25"/>
      <c r="S381" s="27"/>
      <c r="T381" s="24" t="str">
        <f t="shared" si="56"/>
        <v/>
      </c>
      <c r="U381" s="24" t="str">
        <f t="shared" si="57"/>
        <v/>
      </c>
      <c r="V381" s="24">
        <f>IF(OR(U381="",D381=""),0,IF(SUMPRODUCT(--(U$4:U381=U381))&gt;1,1,0))</f>
        <v>0</v>
      </c>
      <c r="W381" s="24">
        <f t="shared" si="58"/>
        <v>0</v>
      </c>
      <c r="X381" s="24">
        <f t="shared" si="59"/>
        <v>0</v>
      </c>
    </row>
    <row r="382" spans="1:24" x14ac:dyDescent="0.25">
      <c r="A382" s="24">
        <v>379</v>
      </c>
      <c r="B382" s="25"/>
      <c r="C382" s="26" t="str">
        <f t="shared" si="50"/>
        <v/>
      </c>
      <c r="D382" s="25"/>
      <c r="E382" s="27"/>
      <c r="F382" s="28"/>
      <c r="G382" s="28"/>
      <c r="H382" s="25"/>
      <c r="I382" s="25"/>
      <c r="J382" s="28"/>
      <c r="K382" s="29" t="str">
        <f t="shared" si="51"/>
        <v/>
      </c>
      <c r="L382" s="25"/>
      <c r="M382" s="29" t="str">
        <f t="shared" si="52"/>
        <v/>
      </c>
      <c r="N382" s="28"/>
      <c r="O382" s="29" t="str">
        <f t="shared" si="53"/>
        <v/>
      </c>
      <c r="P382" s="29" t="str">
        <f t="shared" si="54"/>
        <v/>
      </c>
      <c r="Q382" s="24" t="str">
        <f t="shared" si="55"/>
        <v/>
      </c>
      <c r="R382" s="25"/>
      <c r="S382" s="27"/>
      <c r="T382" s="24" t="str">
        <f t="shared" si="56"/>
        <v/>
      </c>
      <c r="U382" s="24" t="str">
        <f t="shared" si="57"/>
        <v/>
      </c>
      <c r="V382" s="24">
        <f>IF(OR(U382="",D382=""),0,IF(SUMPRODUCT(--(U$4:U382=U382))&gt;1,1,0))</f>
        <v>0</v>
      </c>
      <c r="W382" s="24">
        <f t="shared" si="58"/>
        <v>0</v>
      </c>
      <c r="X382" s="24">
        <f t="shared" si="59"/>
        <v>0</v>
      </c>
    </row>
    <row r="383" spans="1:24" x14ac:dyDescent="0.25">
      <c r="A383" s="24">
        <v>380</v>
      </c>
      <c r="B383" s="25"/>
      <c r="C383" s="26" t="str">
        <f t="shared" si="50"/>
        <v/>
      </c>
      <c r="D383" s="25"/>
      <c r="E383" s="27"/>
      <c r="F383" s="28"/>
      <c r="G383" s="28"/>
      <c r="H383" s="25"/>
      <c r="I383" s="25"/>
      <c r="J383" s="28"/>
      <c r="K383" s="29" t="str">
        <f t="shared" si="51"/>
        <v/>
      </c>
      <c r="L383" s="25"/>
      <c r="M383" s="29" t="str">
        <f t="shared" si="52"/>
        <v/>
      </c>
      <c r="N383" s="28"/>
      <c r="O383" s="29" t="str">
        <f t="shared" si="53"/>
        <v/>
      </c>
      <c r="P383" s="29" t="str">
        <f t="shared" si="54"/>
        <v/>
      </c>
      <c r="Q383" s="24" t="str">
        <f t="shared" si="55"/>
        <v/>
      </c>
      <c r="R383" s="25"/>
      <c r="S383" s="27"/>
      <c r="T383" s="24" t="str">
        <f t="shared" si="56"/>
        <v/>
      </c>
      <c r="U383" s="24" t="str">
        <f t="shared" si="57"/>
        <v/>
      </c>
      <c r="V383" s="24">
        <f>IF(OR(U383="",D383=""),0,IF(SUMPRODUCT(--(U$4:U383=U383))&gt;1,1,0))</f>
        <v>0</v>
      </c>
      <c r="W383" s="24">
        <f t="shared" si="58"/>
        <v>0</v>
      </c>
      <c r="X383" s="24">
        <f t="shared" si="59"/>
        <v>0</v>
      </c>
    </row>
    <row r="384" spans="1:24" x14ac:dyDescent="0.25">
      <c r="A384" s="24">
        <v>381</v>
      </c>
      <c r="B384" s="25"/>
      <c r="C384" s="26" t="str">
        <f t="shared" si="50"/>
        <v/>
      </c>
      <c r="D384" s="25"/>
      <c r="E384" s="27"/>
      <c r="F384" s="28"/>
      <c r="G384" s="28"/>
      <c r="H384" s="25"/>
      <c r="I384" s="25"/>
      <c r="J384" s="28"/>
      <c r="K384" s="29" t="str">
        <f t="shared" si="51"/>
        <v/>
      </c>
      <c r="L384" s="25"/>
      <c r="M384" s="29" t="str">
        <f t="shared" si="52"/>
        <v/>
      </c>
      <c r="N384" s="28"/>
      <c r="O384" s="29" t="str">
        <f t="shared" si="53"/>
        <v/>
      </c>
      <c r="P384" s="29" t="str">
        <f t="shared" si="54"/>
        <v/>
      </c>
      <c r="Q384" s="24" t="str">
        <f t="shared" si="55"/>
        <v/>
      </c>
      <c r="R384" s="25"/>
      <c r="S384" s="27"/>
      <c r="T384" s="24" t="str">
        <f t="shared" si="56"/>
        <v/>
      </c>
      <c r="U384" s="24" t="str">
        <f t="shared" si="57"/>
        <v/>
      </c>
      <c r="V384" s="24">
        <f>IF(OR(U384="",D384=""),0,IF(SUMPRODUCT(--(U$4:U384=U384))&gt;1,1,0))</f>
        <v>0</v>
      </c>
      <c r="W384" s="24">
        <f t="shared" si="58"/>
        <v>0</v>
      </c>
      <c r="X384" s="24">
        <f t="shared" si="59"/>
        <v>0</v>
      </c>
    </row>
    <row r="385" spans="1:24" x14ac:dyDescent="0.25">
      <c r="A385" s="24">
        <v>382</v>
      </c>
      <c r="B385" s="25"/>
      <c r="C385" s="26" t="str">
        <f t="shared" si="50"/>
        <v/>
      </c>
      <c r="D385" s="25"/>
      <c r="E385" s="27"/>
      <c r="F385" s="28"/>
      <c r="G385" s="28"/>
      <c r="H385" s="25"/>
      <c r="I385" s="25"/>
      <c r="J385" s="28"/>
      <c r="K385" s="29" t="str">
        <f t="shared" si="51"/>
        <v/>
      </c>
      <c r="L385" s="25"/>
      <c r="M385" s="29" t="str">
        <f t="shared" si="52"/>
        <v/>
      </c>
      <c r="N385" s="28"/>
      <c r="O385" s="29" t="str">
        <f t="shared" si="53"/>
        <v/>
      </c>
      <c r="P385" s="29" t="str">
        <f t="shared" si="54"/>
        <v/>
      </c>
      <c r="Q385" s="24" t="str">
        <f t="shared" si="55"/>
        <v/>
      </c>
      <c r="R385" s="25"/>
      <c r="S385" s="27"/>
      <c r="T385" s="24" t="str">
        <f t="shared" si="56"/>
        <v/>
      </c>
      <c r="U385" s="24" t="str">
        <f t="shared" si="57"/>
        <v/>
      </c>
      <c r="V385" s="24">
        <f>IF(OR(U385="",D385=""),0,IF(SUMPRODUCT(--(U$4:U385=U385))&gt;1,1,0))</f>
        <v>0</v>
      </c>
      <c r="W385" s="24">
        <f t="shared" si="58"/>
        <v>0</v>
      </c>
      <c r="X385" s="24">
        <f t="shared" si="59"/>
        <v>0</v>
      </c>
    </row>
    <row r="386" spans="1:24" x14ac:dyDescent="0.25">
      <c r="A386" s="24">
        <v>383</v>
      </c>
      <c r="B386" s="25"/>
      <c r="C386" s="26" t="str">
        <f t="shared" si="50"/>
        <v/>
      </c>
      <c r="D386" s="25"/>
      <c r="E386" s="27"/>
      <c r="F386" s="28"/>
      <c r="G386" s="28"/>
      <c r="H386" s="25"/>
      <c r="I386" s="25"/>
      <c r="J386" s="28"/>
      <c r="K386" s="29" t="str">
        <f t="shared" si="51"/>
        <v/>
      </c>
      <c r="L386" s="25"/>
      <c r="M386" s="29" t="str">
        <f t="shared" si="52"/>
        <v/>
      </c>
      <c r="N386" s="28"/>
      <c r="O386" s="29" t="str">
        <f t="shared" si="53"/>
        <v/>
      </c>
      <c r="P386" s="29" t="str">
        <f t="shared" si="54"/>
        <v/>
      </c>
      <c r="Q386" s="24" t="str">
        <f t="shared" si="55"/>
        <v/>
      </c>
      <c r="R386" s="25"/>
      <c r="S386" s="27"/>
      <c r="T386" s="24" t="str">
        <f t="shared" si="56"/>
        <v/>
      </c>
      <c r="U386" s="24" t="str">
        <f t="shared" si="57"/>
        <v/>
      </c>
      <c r="V386" s="24">
        <f>IF(OR(U386="",D386=""),0,IF(SUMPRODUCT(--(U$4:U386=U386))&gt;1,1,0))</f>
        <v>0</v>
      </c>
      <c r="W386" s="24">
        <f t="shared" si="58"/>
        <v>0</v>
      </c>
      <c r="X386" s="24">
        <f t="shared" si="59"/>
        <v>0</v>
      </c>
    </row>
    <row r="387" spans="1:24" x14ac:dyDescent="0.25">
      <c r="A387" s="24">
        <v>384</v>
      </c>
      <c r="B387" s="25"/>
      <c r="C387" s="26" t="str">
        <f t="shared" si="50"/>
        <v/>
      </c>
      <c r="D387" s="25"/>
      <c r="E387" s="27"/>
      <c r="F387" s="28"/>
      <c r="G387" s="28"/>
      <c r="H387" s="25"/>
      <c r="I387" s="25"/>
      <c r="J387" s="28"/>
      <c r="K387" s="29" t="str">
        <f t="shared" si="51"/>
        <v/>
      </c>
      <c r="L387" s="25"/>
      <c r="M387" s="29" t="str">
        <f t="shared" si="52"/>
        <v/>
      </c>
      <c r="N387" s="28"/>
      <c r="O387" s="29" t="str">
        <f t="shared" si="53"/>
        <v/>
      </c>
      <c r="P387" s="29" t="str">
        <f t="shared" si="54"/>
        <v/>
      </c>
      <c r="Q387" s="24" t="str">
        <f t="shared" si="55"/>
        <v/>
      </c>
      <c r="R387" s="25"/>
      <c r="S387" s="27"/>
      <c r="T387" s="24" t="str">
        <f t="shared" si="56"/>
        <v/>
      </c>
      <c r="U387" s="24" t="str">
        <f t="shared" si="57"/>
        <v/>
      </c>
      <c r="V387" s="24">
        <f>IF(OR(U387="",D387=""),0,IF(SUMPRODUCT(--(U$4:U387=U387))&gt;1,1,0))</f>
        <v>0</v>
      </c>
      <c r="W387" s="24">
        <f t="shared" si="58"/>
        <v>0</v>
      </c>
      <c r="X387" s="24">
        <f t="shared" si="59"/>
        <v>0</v>
      </c>
    </row>
    <row r="388" spans="1:24" x14ac:dyDescent="0.25">
      <c r="A388" s="24">
        <v>385</v>
      </c>
      <c r="B388" s="25"/>
      <c r="C388" s="26" t="str">
        <f t="shared" ref="C388:C451" si="60">IF(B388="","",IFERROR(INDEX(SpaceNames,MATCH(B388,SpaceCodes,0))&amp;"",""))</f>
        <v/>
      </c>
      <c r="D388" s="25"/>
      <c r="E388" s="27"/>
      <c r="F388" s="28"/>
      <c r="G388" s="28"/>
      <c r="H388" s="25"/>
      <c r="I388" s="25"/>
      <c r="J388" s="28"/>
      <c r="K388" s="29" t="str">
        <f t="shared" ref="K388:K451" si="61">IF(U388="","",IF(V388=1,0,IF(I388="يدوي",IF(J388&lt;&gt;"",J388*IF(H388="",1,H388),""),IF(AND(F388&lt;&gt;"",G388&lt;&gt;""),F388*G388*IF(H388="",1,H388),""))))</f>
        <v/>
      </c>
      <c r="L388" s="25"/>
      <c r="M388" s="29" t="str">
        <f t="shared" ref="M388:M403" si="62">IF(U388="","",IF(OR(X388=0,B388="",D388=""),0,IF(E388="",0,SUMIFS(OP_Area,OP_Space,B388,OP_Wall,D388,OP_DedFin,"نعم",OP_Target,E388))+IF(W388=1,SUMIFS(OP_Area,OP_Space,B388,OP_Wall,D388,OP_DedFin,"نعم",OP_Target,""),0)))</f>
        <v/>
      </c>
      <c r="N388" s="28"/>
      <c r="O388" s="29" t="str">
        <f t="shared" ref="O388:O451" si="63">IF(OR(U388="",K388=""),"",N(M388)+N(N388))</f>
        <v/>
      </c>
      <c r="P388" s="29" t="str">
        <f t="shared" ref="P388:P451" si="64">IF(OR(U388="",K388=""),"",K388-O388)</f>
        <v/>
      </c>
      <c r="Q388" s="24" t="str">
        <f t="shared" ref="Q388:Q403" si="65">IF(E388="","",IFERROR(IF(INDEX(WallUnit,MATCH(E388,WallMat,0))="","م²",INDEX(WallUnit,MATCH(E388,WallMat,0))),"م²"))</f>
        <v/>
      </c>
      <c r="R388" s="25"/>
      <c r="S388" s="27"/>
      <c r="T388" s="24" t="str">
        <f t="shared" ref="T388:T451" si="66">IF(U388="","",IF(V388=1,"تكرار — غير محتسب",IF(B388="","ناقص بيانات: كود الفراغ",IF(COUNTIF(SpaceCodes,B388)=0,"ناقص بيانات: الفراغ غير مسجل",IF(D388="","ناقص بيانات: كود الحائط",IF(E388="","ناقص بيانات: الخامة",IF(AND(K388="",I388="يدوي"),"ناقص قياس: أدخل المساحة المباشرة",IF(AND(K388="",J388&lt;&gt;""),"ناقص قياس: اختر «يدوي» أو أدخل الطول والارتفاع",IF(K388="","ناقص قياس",IF(O388&gt;K388+0.000001,"خطأ خصم: الخصم أكبر من الإجمالي",IF(R388="نعم","يحتاج مراجعة","مكتمل")))))))))))</f>
        <v/>
      </c>
      <c r="U388" s="24" t="str">
        <f t="shared" ref="U388:U403" si="67">IF(COUNTA(B388,D388:J388,N388)=0,"",B388&amp;"|"&amp;D388&amp;"|"&amp;E388)</f>
        <v/>
      </c>
      <c r="V388" s="24">
        <f>IF(OR(U388="",D388=""),0,IF(SUMPRODUCT(--(U$4:U388=U388))&gt;1,1,0))</f>
        <v>0</v>
      </c>
      <c r="W388" s="24">
        <f t="shared" ref="W388:W403" si="68">IF(OR(U388="",B388="",D388=""),0,COUNTIFS(WL_Space,B388,WL_Wall,D388,WL_Dup,0))</f>
        <v>0</v>
      </c>
      <c r="X388" s="24">
        <f t="shared" ref="X388:X403" si="69">IF(OR(U388="",V388=1,L388="لا"),0,1)</f>
        <v>0</v>
      </c>
    </row>
    <row r="389" spans="1:24" x14ac:dyDescent="0.25">
      <c r="A389" s="24">
        <v>386</v>
      </c>
      <c r="B389" s="25"/>
      <c r="C389" s="26" t="str">
        <f t="shared" si="60"/>
        <v/>
      </c>
      <c r="D389" s="25"/>
      <c r="E389" s="27"/>
      <c r="F389" s="28"/>
      <c r="G389" s="28"/>
      <c r="H389" s="25"/>
      <c r="I389" s="25"/>
      <c r="J389" s="28"/>
      <c r="K389" s="29" t="str">
        <f t="shared" si="61"/>
        <v/>
      </c>
      <c r="L389" s="25"/>
      <c r="M389" s="29" t="str">
        <f t="shared" si="62"/>
        <v/>
      </c>
      <c r="N389" s="28"/>
      <c r="O389" s="29" t="str">
        <f t="shared" si="63"/>
        <v/>
      </c>
      <c r="P389" s="29" t="str">
        <f t="shared" si="64"/>
        <v/>
      </c>
      <c r="Q389" s="24" t="str">
        <f t="shared" si="65"/>
        <v/>
      </c>
      <c r="R389" s="25"/>
      <c r="S389" s="27"/>
      <c r="T389" s="24" t="str">
        <f t="shared" si="66"/>
        <v/>
      </c>
      <c r="U389" s="24" t="str">
        <f t="shared" si="67"/>
        <v/>
      </c>
      <c r="V389" s="24">
        <f>IF(OR(U389="",D389=""),0,IF(SUMPRODUCT(--(U$4:U389=U389))&gt;1,1,0))</f>
        <v>0</v>
      </c>
      <c r="W389" s="24">
        <f t="shared" si="68"/>
        <v>0</v>
      </c>
      <c r="X389" s="24">
        <f t="shared" si="69"/>
        <v>0</v>
      </c>
    </row>
    <row r="390" spans="1:24" x14ac:dyDescent="0.25">
      <c r="A390" s="24">
        <v>387</v>
      </c>
      <c r="B390" s="25"/>
      <c r="C390" s="26" t="str">
        <f t="shared" si="60"/>
        <v/>
      </c>
      <c r="D390" s="25"/>
      <c r="E390" s="27"/>
      <c r="F390" s="28"/>
      <c r="G390" s="28"/>
      <c r="H390" s="25"/>
      <c r="I390" s="25"/>
      <c r="J390" s="28"/>
      <c r="K390" s="29" t="str">
        <f t="shared" si="61"/>
        <v/>
      </c>
      <c r="L390" s="25"/>
      <c r="M390" s="29" t="str">
        <f t="shared" si="62"/>
        <v/>
      </c>
      <c r="N390" s="28"/>
      <c r="O390" s="29" t="str">
        <f t="shared" si="63"/>
        <v/>
      </c>
      <c r="P390" s="29" t="str">
        <f t="shared" si="64"/>
        <v/>
      </c>
      <c r="Q390" s="24" t="str">
        <f t="shared" si="65"/>
        <v/>
      </c>
      <c r="R390" s="25"/>
      <c r="S390" s="27"/>
      <c r="T390" s="24" t="str">
        <f t="shared" si="66"/>
        <v/>
      </c>
      <c r="U390" s="24" t="str">
        <f t="shared" si="67"/>
        <v/>
      </c>
      <c r="V390" s="24">
        <f>IF(OR(U390="",D390=""),0,IF(SUMPRODUCT(--(U$4:U390=U390))&gt;1,1,0))</f>
        <v>0</v>
      </c>
      <c r="W390" s="24">
        <f t="shared" si="68"/>
        <v>0</v>
      </c>
      <c r="X390" s="24">
        <f t="shared" si="69"/>
        <v>0</v>
      </c>
    </row>
    <row r="391" spans="1:24" x14ac:dyDescent="0.25">
      <c r="A391" s="24">
        <v>388</v>
      </c>
      <c r="B391" s="25"/>
      <c r="C391" s="26" t="str">
        <f t="shared" si="60"/>
        <v/>
      </c>
      <c r="D391" s="25"/>
      <c r="E391" s="27"/>
      <c r="F391" s="28"/>
      <c r="G391" s="28"/>
      <c r="H391" s="25"/>
      <c r="I391" s="25"/>
      <c r="J391" s="28"/>
      <c r="K391" s="29" t="str">
        <f t="shared" si="61"/>
        <v/>
      </c>
      <c r="L391" s="25"/>
      <c r="M391" s="29" t="str">
        <f t="shared" si="62"/>
        <v/>
      </c>
      <c r="N391" s="28"/>
      <c r="O391" s="29" t="str">
        <f t="shared" si="63"/>
        <v/>
      </c>
      <c r="P391" s="29" t="str">
        <f t="shared" si="64"/>
        <v/>
      </c>
      <c r="Q391" s="24" t="str">
        <f t="shared" si="65"/>
        <v/>
      </c>
      <c r="R391" s="25"/>
      <c r="S391" s="27"/>
      <c r="T391" s="24" t="str">
        <f t="shared" si="66"/>
        <v/>
      </c>
      <c r="U391" s="24" t="str">
        <f t="shared" si="67"/>
        <v/>
      </c>
      <c r="V391" s="24">
        <f>IF(OR(U391="",D391=""),0,IF(SUMPRODUCT(--(U$4:U391=U391))&gt;1,1,0))</f>
        <v>0</v>
      </c>
      <c r="W391" s="24">
        <f t="shared" si="68"/>
        <v>0</v>
      </c>
      <c r="X391" s="24">
        <f t="shared" si="69"/>
        <v>0</v>
      </c>
    </row>
    <row r="392" spans="1:24" x14ac:dyDescent="0.25">
      <c r="A392" s="24">
        <v>389</v>
      </c>
      <c r="B392" s="25"/>
      <c r="C392" s="26" t="str">
        <f t="shared" si="60"/>
        <v/>
      </c>
      <c r="D392" s="25"/>
      <c r="E392" s="27"/>
      <c r="F392" s="28"/>
      <c r="G392" s="28"/>
      <c r="H392" s="25"/>
      <c r="I392" s="25"/>
      <c r="J392" s="28"/>
      <c r="K392" s="29" t="str">
        <f t="shared" si="61"/>
        <v/>
      </c>
      <c r="L392" s="25"/>
      <c r="M392" s="29" t="str">
        <f t="shared" si="62"/>
        <v/>
      </c>
      <c r="N392" s="28"/>
      <c r="O392" s="29" t="str">
        <f t="shared" si="63"/>
        <v/>
      </c>
      <c r="P392" s="29" t="str">
        <f t="shared" si="64"/>
        <v/>
      </c>
      <c r="Q392" s="24" t="str">
        <f t="shared" si="65"/>
        <v/>
      </c>
      <c r="R392" s="25"/>
      <c r="S392" s="27"/>
      <c r="T392" s="24" t="str">
        <f t="shared" si="66"/>
        <v/>
      </c>
      <c r="U392" s="24" t="str">
        <f t="shared" si="67"/>
        <v/>
      </c>
      <c r="V392" s="24">
        <f>IF(OR(U392="",D392=""),0,IF(SUMPRODUCT(--(U$4:U392=U392))&gt;1,1,0))</f>
        <v>0</v>
      </c>
      <c r="W392" s="24">
        <f t="shared" si="68"/>
        <v>0</v>
      </c>
      <c r="X392" s="24">
        <f t="shared" si="69"/>
        <v>0</v>
      </c>
    </row>
    <row r="393" spans="1:24" x14ac:dyDescent="0.25">
      <c r="A393" s="24">
        <v>390</v>
      </c>
      <c r="B393" s="25"/>
      <c r="C393" s="26" t="str">
        <f t="shared" si="60"/>
        <v/>
      </c>
      <c r="D393" s="25"/>
      <c r="E393" s="27"/>
      <c r="F393" s="28"/>
      <c r="G393" s="28"/>
      <c r="H393" s="25"/>
      <c r="I393" s="25"/>
      <c r="J393" s="28"/>
      <c r="K393" s="29" t="str">
        <f t="shared" si="61"/>
        <v/>
      </c>
      <c r="L393" s="25"/>
      <c r="M393" s="29" t="str">
        <f t="shared" si="62"/>
        <v/>
      </c>
      <c r="N393" s="28"/>
      <c r="O393" s="29" t="str">
        <f t="shared" si="63"/>
        <v/>
      </c>
      <c r="P393" s="29" t="str">
        <f t="shared" si="64"/>
        <v/>
      </c>
      <c r="Q393" s="24" t="str">
        <f t="shared" si="65"/>
        <v/>
      </c>
      <c r="R393" s="25"/>
      <c r="S393" s="27"/>
      <c r="T393" s="24" t="str">
        <f t="shared" si="66"/>
        <v/>
      </c>
      <c r="U393" s="24" t="str">
        <f t="shared" si="67"/>
        <v/>
      </c>
      <c r="V393" s="24">
        <f>IF(OR(U393="",D393=""),0,IF(SUMPRODUCT(--(U$4:U393=U393))&gt;1,1,0))</f>
        <v>0</v>
      </c>
      <c r="W393" s="24">
        <f t="shared" si="68"/>
        <v>0</v>
      </c>
      <c r="X393" s="24">
        <f t="shared" si="69"/>
        <v>0</v>
      </c>
    </row>
    <row r="394" spans="1:24" x14ac:dyDescent="0.25">
      <c r="A394" s="24">
        <v>391</v>
      </c>
      <c r="B394" s="25"/>
      <c r="C394" s="26" t="str">
        <f t="shared" si="60"/>
        <v/>
      </c>
      <c r="D394" s="25"/>
      <c r="E394" s="27"/>
      <c r="F394" s="28"/>
      <c r="G394" s="28"/>
      <c r="H394" s="25"/>
      <c r="I394" s="25"/>
      <c r="J394" s="28"/>
      <c r="K394" s="29" t="str">
        <f t="shared" si="61"/>
        <v/>
      </c>
      <c r="L394" s="25"/>
      <c r="M394" s="29" t="str">
        <f t="shared" si="62"/>
        <v/>
      </c>
      <c r="N394" s="28"/>
      <c r="O394" s="29" t="str">
        <f t="shared" si="63"/>
        <v/>
      </c>
      <c r="P394" s="29" t="str">
        <f t="shared" si="64"/>
        <v/>
      </c>
      <c r="Q394" s="24" t="str">
        <f t="shared" si="65"/>
        <v/>
      </c>
      <c r="R394" s="25"/>
      <c r="S394" s="27"/>
      <c r="T394" s="24" t="str">
        <f t="shared" si="66"/>
        <v/>
      </c>
      <c r="U394" s="24" t="str">
        <f t="shared" si="67"/>
        <v/>
      </c>
      <c r="V394" s="24">
        <f>IF(OR(U394="",D394=""),0,IF(SUMPRODUCT(--(U$4:U394=U394))&gt;1,1,0))</f>
        <v>0</v>
      </c>
      <c r="W394" s="24">
        <f t="shared" si="68"/>
        <v>0</v>
      </c>
      <c r="X394" s="24">
        <f t="shared" si="69"/>
        <v>0</v>
      </c>
    </row>
    <row r="395" spans="1:24" x14ac:dyDescent="0.25">
      <c r="A395" s="24">
        <v>392</v>
      </c>
      <c r="B395" s="25"/>
      <c r="C395" s="26" t="str">
        <f t="shared" si="60"/>
        <v/>
      </c>
      <c r="D395" s="25"/>
      <c r="E395" s="27"/>
      <c r="F395" s="28"/>
      <c r="G395" s="28"/>
      <c r="H395" s="25"/>
      <c r="I395" s="25"/>
      <c r="J395" s="28"/>
      <c r="K395" s="29" t="str">
        <f t="shared" si="61"/>
        <v/>
      </c>
      <c r="L395" s="25"/>
      <c r="M395" s="29" t="str">
        <f t="shared" si="62"/>
        <v/>
      </c>
      <c r="N395" s="28"/>
      <c r="O395" s="29" t="str">
        <f t="shared" si="63"/>
        <v/>
      </c>
      <c r="P395" s="29" t="str">
        <f t="shared" si="64"/>
        <v/>
      </c>
      <c r="Q395" s="24" t="str">
        <f t="shared" si="65"/>
        <v/>
      </c>
      <c r="R395" s="25"/>
      <c r="S395" s="27"/>
      <c r="T395" s="24" t="str">
        <f t="shared" si="66"/>
        <v/>
      </c>
      <c r="U395" s="24" t="str">
        <f t="shared" si="67"/>
        <v/>
      </c>
      <c r="V395" s="24">
        <f>IF(OR(U395="",D395=""),0,IF(SUMPRODUCT(--(U$4:U395=U395))&gt;1,1,0))</f>
        <v>0</v>
      </c>
      <c r="W395" s="24">
        <f t="shared" si="68"/>
        <v>0</v>
      </c>
      <c r="X395" s="24">
        <f t="shared" si="69"/>
        <v>0</v>
      </c>
    </row>
    <row r="396" spans="1:24" x14ac:dyDescent="0.25">
      <c r="A396" s="24">
        <v>393</v>
      </c>
      <c r="B396" s="25"/>
      <c r="C396" s="26" t="str">
        <f t="shared" si="60"/>
        <v/>
      </c>
      <c r="D396" s="25"/>
      <c r="E396" s="27"/>
      <c r="F396" s="28"/>
      <c r="G396" s="28"/>
      <c r="H396" s="25"/>
      <c r="I396" s="25"/>
      <c r="J396" s="28"/>
      <c r="K396" s="29" t="str">
        <f t="shared" si="61"/>
        <v/>
      </c>
      <c r="L396" s="25"/>
      <c r="M396" s="29" t="str">
        <f t="shared" si="62"/>
        <v/>
      </c>
      <c r="N396" s="28"/>
      <c r="O396" s="29" t="str">
        <f t="shared" si="63"/>
        <v/>
      </c>
      <c r="P396" s="29" t="str">
        <f t="shared" si="64"/>
        <v/>
      </c>
      <c r="Q396" s="24" t="str">
        <f t="shared" si="65"/>
        <v/>
      </c>
      <c r="R396" s="25"/>
      <c r="S396" s="27"/>
      <c r="T396" s="24" t="str">
        <f t="shared" si="66"/>
        <v/>
      </c>
      <c r="U396" s="24" t="str">
        <f t="shared" si="67"/>
        <v/>
      </c>
      <c r="V396" s="24">
        <f>IF(OR(U396="",D396=""),0,IF(SUMPRODUCT(--(U$4:U396=U396))&gt;1,1,0))</f>
        <v>0</v>
      </c>
      <c r="W396" s="24">
        <f t="shared" si="68"/>
        <v>0</v>
      </c>
      <c r="X396" s="24">
        <f t="shared" si="69"/>
        <v>0</v>
      </c>
    </row>
    <row r="397" spans="1:24" x14ac:dyDescent="0.25">
      <c r="A397" s="24">
        <v>394</v>
      </c>
      <c r="B397" s="25"/>
      <c r="C397" s="26" t="str">
        <f t="shared" si="60"/>
        <v/>
      </c>
      <c r="D397" s="25"/>
      <c r="E397" s="27"/>
      <c r="F397" s="28"/>
      <c r="G397" s="28"/>
      <c r="H397" s="25"/>
      <c r="I397" s="25"/>
      <c r="J397" s="28"/>
      <c r="K397" s="29" t="str">
        <f t="shared" si="61"/>
        <v/>
      </c>
      <c r="L397" s="25"/>
      <c r="M397" s="29" t="str">
        <f t="shared" si="62"/>
        <v/>
      </c>
      <c r="N397" s="28"/>
      <c r="O397" s="29" t="str">
        <f t="shared" si="63"/>
        <v/>
      </c>
      <c r="P397" s="29" t="str">
        <f t="shared" si="64"/>
        <v/>
      </c>
      <c r="Q397" s="24" t="str">
        <f t="shared" si="65"/>
        <v/>
      </c>
      <c r="R397" s="25"/>
      <c r="S397" s="27"/>
      <c r="T397" s="24" t="str">
        <f t="shared" si="66"/>
        <v/>
      </c>
      <c r="U397" s="24" t="str">
        <f t="shared" si="67"/>
        <v/>
      </c>
      <c r="V397" s="24">
        <f>IF(OR(U397="",D397=""),0,IF(SUMPRODUCT(--(U$4:U397=U397))&gt;1,1,0))</f>
        <v>0</v>
      </c>
      <c r="W397" s="24">
        <f t="shared" si="68"/>
        <v>0</v>
      </c>
      <c r="X397" s="24">
        <f t="shared" si="69"/>
        <v>0</v>
      </c>
    </row>
    <row r="398" spans="1:24" x14ac:dyDescent="0.25">
      <c r="A398" s="24">
        <v>395</v>
      </c>
      <c r="B398" s="25"/>
      <c r="C398" s="26" t="str">
        <f t="shared" si="60"/>
        <v/>
      </c>
      <c r="D398" s="25"/>
      <c r="E398" s="27"/>
      <c r="F398" s="28"/>
      <c r="G398" s="28"/>
      <c r="H398" s="25"/>
      <c r="I398" s="25"/>
      <c r="J398" s="28"/>
      <c r="K398" s="29" t="str">
        <f t="shared" si="61"/>
        <v/>
      </c>
      <c r="L398" s="25"/>
      <c r="M398" s="29" t="str">
        <f t="shared" si="62"/>
        <v/>
      </c>
      <c r="N398" s="28"/>
      <c r="O398" s="29" t="str">
        <f t="shared" si="63"/>
        <v/>
      </c>
      <c r="P398" s="29" t="str">
        <f t="shared" si="64"/>
        <v/>
      </c>
      <c r="Q398" s="24" t="str">
        <f t="shared" si="65"/>
        <v/>
      </c>
      <c r="R398" s="25"/>
      <c r="S398" s="27"/>
      <c r="T398" s="24" t="str">
        <f t="shared" si="66"/>
        <v/>
      </c>
      <c r="U398" s="24" t="str">
        <f t="shared" si="67"/>
        <v/>
      </c>
      <c r="V398" s="24">
        <f>IF(OR(U398="",D398=""),0,IF(SUMPRODUCT(--(U$4:U398=U398))&gt;1,1,0))</f>
        <v>0</v>
      </c>
      <c r="W398" s="24">
        <f t="shared" si="68"/>
        <v>0</v>
      </c>
      <c r="X398" s="24">
        <f t="shared" si="69"/>
        <v>0</v>
      </c>
    </row>
    <row r="399" spans="1:24" x14ac:dyDescent="0.25">
      <c r="A399" s="24">
        <v>396</v>
      </c>
      <c r="B399" s="25"/>
      <c r="C399" s="26" t="str">
        <f t="shared" si="60"/>
        <v/>
      </c>
      <c r="D399" s="25"/>
      <c r="E399" s="27"/>
      <c r="F399" s="28"/>
      <c r="G399" s="28"/>
      <c r="H399" s="25"/>
      <c r="I399" s="25"/>
      <c r="J399" s="28"/>
      <c r="K399" s="29" t="str">
        <f t="shared" si="61"/>
        <v/>
      </c>
      <c r="L399" s="25"/>
      <c r="M399" s="29" t="str">
        <f t="shared" si="62"/>
        <v/>
      </c>
      <c r="N399" s="28"/>
      <c r="O399" s="29" t="str">
        <f t="shared" si="63"/>
        <v/>
      </c>
      <c r="P399" s="29" t="str">
        <f t="shared" si="64"/>
        <v/>
      </c>
      <c r="Q399" s="24" t="str">
        <f t="shared" si="65"/>
        <v/>
      </c>
      <c r="R399" s="25"/>
      <c r="S399" s="27"/>
      <c r="T399" s="24" t="str">
        <f t="shared" si="66"/>
        <v/>
      </c>
      <c r="U399" s="24" t="str">
        <f t="shared" si="67"/>
        <v/>
      </c>
      <c r="V399" s="24">
        <f>IF(OR(U399="",D399=""),0,IF(SUMPRODUCT(--(U$4:U399=U399))&gt;1,1,0))</f>
        <v>0</v>
      </c>
      <c r="W399" s="24">
        <f t="shared" si="68"/>
        <v>0</v>
      </c>
      <c r="X399" s="24">
        <f t="shared" si="69"/>
        <v>0</v>
      </c>
    </row>
    <row r="400" spans="1:24" x14ac:dyDescent="0.25">
      <c r="A400" s="24">
        <v>397</v>
      </c>
      <c r="B400" s="25"/>
      <c r="C400" s="26" t="str">
        <f t="shared" si="60"/>
        <v/>
      </c>
      <c r="D400" s="25"/>
      <c r="E400" s="27"/>
      <c r="F400" s="28"/>
      <c r="G400" s="28"/>
      <c r="H400" s="25"/>
      <c r="I400" s="25"/>
      <c r="J400" s="28"/>
      <c r="K400" s="29" t="str">
        <f t="shared" si="61"/>
        <v/>
      </c>
      <c r="L400" s="25"/>
      <c r="M400" s="29" t="str">
        <f t="shared" si="62"/>
        <v/>
      </c>
      <c r="N400" s="28"/>
      <c r="O400" s="29" t="str">
        <f t="shared" si="63"/>
        <v/>
      </c>
      <c r="P400" s="29" t="str">
        <f t="shared" si="64"/>
        <v/>
      </c>
      <c r="Q400" s="24" t="str">
        <f t="shared" si="65"/>
        <v/>
      </c>
      <c r="R400" s="25"/>
      <c r="S400" s="27"/>
      <c r="T400" s="24" t="str">
        <f t="shared" si="66"/>
        <v/>
      </c>
      <c r="U400" s="24" t="str">
        <f t="shared" si="67"/>
        <v/>
      </c>
      <c r="V400" s="24">
        <f>IF(OR(U400="",D400=""),0,IF(SUMPRODUCT(--(U$4:U400=U400))&gt;1,1,0))</f>
        <v>0</v>
      </c>
      <c r="W400" s="24">
        <f t="shared" si="68"/>
        <v>0</v>
      </c>
      <c r="X400" s="24">
        <f t="shared" si="69"/>
        <v>0</v>
      </c>
    </row>
    <row r="401" spans="1:24" x14ac:dyDescent="0.25">
      <c r="A401" s="24">
        <v>398</v>
      </c>
      <c r="B401" s="25"/>
      <c r="C401" s="26" t="str">
        <f t="shared" si="60"/>
        <v/>
      </c>
      <c r="D401" s="25"/>
      <c r="E401" s="27"/>
      <c r="F401" s="28"/>
      <c r="G401" s="28"/>
      <c r="H401" s="25"/>
      <c r="I401" s="25"/>
      <c r="J401" s="28"/>
      <c r="K401" s="29" t="str">
        <f t="shared" si="61"/>
        <v/>
      </c>
      <c r="L401" s="25"/>
      <c r="M401" s="29" t="str">
        <f t="shared" si="62"/>
        <v/>
      </c>
      <c r="N401" s="28"/>
      <c r="O401" s="29" t="str">
        <f t="shared" si="63"/>
        <v/>
      </c>
      <c r="P401" s="29" t="str">
        <f t="shared" si="64"/>
        <v/>
      </c>
      <c r="Q401" s="24" t="str">
        <f t="shared" si="65"/>
        <v/>
      </c>
      <c r="R401" s="25"/>
      <c r="S401" s="27"/>
      <c r="T401" s="24" t="str">
        <f t="shared" si="66"/>
        <v/>
      </c>
      <c r="U401" s="24" t="str">
        <f t="shared" si="67"/>
        <v/>
      </c>
      <c r="V401" s="24">
        <f>IF(OR(U401="",D401=""),0,IF(SUMPRODUCT(--(U$4:U401=U401))&gt;1,1,0))</f>
        <v>0</v>
      </c>
      <c r="W401" s="24">
        <f t="shared" si="68"/>
        <v>0</v>
      </c>
      <c r="X401" s="24">
        <f t="shared" si="69"/>
        <v>0</v>
      </c>
    </row>
    <row r="402" spans="1:24" x14ac:dyDescent="0.25">
      <c r="A402" s="24">
        <v>399</v>
      </c>
      <c r="B402" s="25"/>
      <c r="C402" s="26" t="str">
        <f t="shared" si="60"/>
        <v/>
      </c>
      <c r="D402" s="25"/>
      <c r="E402" s="27"/>
      <c r="F402" s="28"/>
      <c r="G402" s="28"/>
      <c r="H402" s="25"/>
      <c r="I402" s="25"/>
      <c r="J402" s="28"/>
      <c r="K402" s="29" t="str">
        <f t="shared" si="61"/>
        <v/>
      </c>
      <c r="L402" s="25"/>
      <c r="M402" s="29" t="str">
        <f t="shared" si="62"/>
        <v/>
      </c>
      <c r="N402" s="28"/>
      <c r="O402" s="29" t="str">
        <f t="shared" si="63"/>
        <v/>
      </c>
      <c r="P402" s="29" t="str">
        <f t="shared" si="64"/>
        <v/>
      </c>
      <c r="Q402" s="24" t="str">
        <f t="shared" si="65"/>
        <v/>
      </c>
      <c r="R402" s="25"/>
      <c r="S402" s="27"/>
      <c r="T402" s="24" t="str">
        <f t="shared" si="66"/>
        <v/>
      </c>
      <c r="U402" s="24" t="str">
        <f t="shared" si="67"/>
        <v/>
      </c>
      <c r="V402" s="24">
        <f>IF(OR(U402="",D402=""),0,IF(SUMPRODUCT(--(U$4:U402=U402))&gt;1,1,0))</f>
        <v>0</v>
      </c>
      <c r="W402" s="24">
        <f t="shared" si="68"/>
        <v>0</v>
      </c>
      <c r="X402" s="24">
        <f t="shared" si="69"/>
        <v>0</v>
      </c>
    </row>
    <row r="403" spans="1:24" x14ac:dyDescent="0.25">
      <c r="A403" s="24">
        <v>400</v>
      </c>
      <c r="B403" s="25"/>
      <c r="C403" s="26" t="str">
        <f t="shared" si="60"/>
        <v/>
      </c>
      <c r="D403" s="25"/>
      <c r="E403" s="27"/>
      <c r="F403" s="28"/>
      <c r="G403" s="28"/>
      <c r="H403" s="25"/>
      <c r="I403" s="25"/>
      <c r="J403" s="28"/>
      <c r="K403" s="29" t="str">
        <f t="shared" si="61"/>
        <v/>
      </c>
      <c r="L403" s="25"/>
      <c r="M403" s="29" t="str">
        <f t="shared" si="62"/>
        <v/>
      </c>
      <c r="N403" s="28"/>
      <c r="O403" s="29" t="str">
        <f t="shared" si="63"/>
        <v/>
      </c>
      <c r="P403" s="29" t="str">
        <f t="shared" si="64"/>
        <v/>
      </c>
      <c r="Q403" s="24" t="str">
        <f t="shared" si="65"/>
        <v/>
      </c>
      <c r="R403" s="25"/>
      <c r="S403" s="27"/>
      <c r="T403" s="24" t="str">
        <f t="shared" si="66"/>
        <v/>
      </c>
      <c r="U403" s="24" t="str">
        <f t="shared" si="67"/>
        <v/>
      </c>
      <c r="V403" s="24">
        <f>IF(OR(U403="",D403=""),0,IF(SUMPRODUCT(--(U$4:U403=U403))&gt;1,1,0))</f>
        <v>0</v>
      </c>
      <c r="W403" s="24">
        <f t="shared" si="68"/>
        <v>0</v>
      </c>
      <c r="X403" s="24">
        <f t="shared" si="69"/>
        <v>0</v>
      </c>
    </row>
  </sheetData>
  <sheetProtection sheet="1" formatCells="0" formatColumns="0" formatRows="0" sort="0" autoFilter="0"/>
  <autoFilter ref="A3:T403"/>
  <mergeCells count="2">
    <mergeCell ref="A1:T1"/>
    <mergeCell ref="A2:J2"/>
  </mergeCells>
  <conditionalFormatting sqref="T4:T403">
    <cfRule type="expression" dxfId="29" priority="1" stopIfTrue="1">
      <formula>OR($T4="مكتمل",$T4="مسجل")</formula>
    </cfRule>
    <cfRule type="expression" dxfId="28" priority="2" stopIfTrue="1">
      <formula>LEFT($T4,4)="ناقص"</formula>
    </cfRule>
    <cfRule type="expression" dxfId="27" priority="3" stopIfTrue="1">
      <formula>LEN($T4)&gt;0</formula>
    </cfRule>
  </conditionalFormatting>
  <conditionalFormatting sqref="J4:J403">
    <cfRule type="expression" dxfId="26" priority="4">
      <formula>AND($J4&lt;&gt;"",$I4&lt;&gt;"يدوي")</formula>
    </cfRule>
  </conditionalFormatting>
  <conditionalFormatting sqref="F4:G403">
    <cfRule type="expression" dxfId="25" priority="5">
      <formula>AND(F4&lt;&gt;"",$I4="يدوي")</formula>
    </cfRule>
  </conditionalFormatting>
  <dataValidations count="10">
    <dataValidation type="list" errorStyle="warning" allowBlank="1" showErrorMessage="1" errorTitle="قيمة غير موجودة بالقائمة" error="هذا الكود غير موجود في «سجل الفراغات». يفضل تسجيل الفراغ أولًا." sqref="B4:B403">
      <formula1>SpaceCodes</formula1>
    </dataValidation>
    <dataValidation type="list" allowBlank="1" showErrorMessage="1" errorTitle="قيمة غير موجودة بالقائمة" error="اختر من القائمة. لإضافة خامة/بند جديد أضفه أولًا في ورقة القوائم." sqref="E4:E403">
      <formula1>WallMat</formula1>
    </dataValidation>
    <dataValidation type="decimal" operator="greaterThanOrEqual" allowBlank="1" showErrorMessage="1" errorTitle="قيمة غير صحيحة" error="أدخل رقمًا موجبًا فقط (بالمتر)." sqref="F4:F403">
      <formula1>0</formula1>
    </dataValidation>
    <dataValidation type="decimal" operator="greaterThanOrEqual" allowBlank="1" showErrorMessage="1" errorTitle="قيمة غير صحيحة" error="أدخل رقمًا موجبًا فقط (بالمتر)." sqref="G4:G403">
      <formula1>0</formula1>
    </dataValidation>
    <dataValidation type="decimal" operator="greaterThanOrEqual" allowBlank="1" showErrorMessage="1" errorTitle="قيمة غير صحيحة" error="أدخل رقمًا موجبًا فقط (بالمتر)." sqref="H4:H403">
      <formula1>0</formula1>
    </dataValidation>
    <dataValidation type="decimal" operator="greaterThanOrEqual" allowBlank="1" showErrorMessage="1" errorTitle="قيمة غير صحيحة" error="أدخل رقمًا موجبًا فقط (بالمتر)." sqref="J4:J403">
      <formula1>0</formula1>
    </dataValidation>
    <dataValidation type="decimal" operator="greaterThanOrEqual" allowBlank="1" showErrorMessage="1" errorTitle="قيمة غير صحيحة" error="أدخل رقمًا موجبًا فقط (بالمتر)." sqref="N4:N403">
      <formula1>0</formula1>
    </dataValidation>
    <dataValidation type="list" allowBlank="1" showInputMessage="1" showErrorMessage="1" errorTitle="قيمة غير موجودة بالقائمة" error="اختر: تلقائي أو يدوي." promptTitle="تنبيه" prompt="تلقائي = الطول × الارتفاع × التكرار. يدوي = المساحة المباشرة × التكرار. المساحة المباشرة لا تُستخدم إلا مع «يدوي»." sqref="I4:I403">
      <formula1>"تلقائي,يدوي"</formula1>
    </dataValidation>
    <dataValidation type="list" allowBlank="1" showInputMessage="1" showErrorMessage="1" errorTitle="قيمة غير موجودة بالقائمة" error="اختر قيمة من القائمة المنسدلة." promptTitle="تنبيه" prompt="«لا» = لا تُخصم أي فتحة من هذا السجل (حسب طريقة الحصر المعتمدة لهذا البند). الفارغ = نعم." sqref="L4:L403">
      <formula1>YesNo</formula1>
    </dataValidation>
    <dataValidation type="list" allowBlank="1" showErrorMessage="1" errorTitle="قيمة غير موجودة بالقائمة" error="اختر قيمة من القائمة المنسدلة." sqref="R4:R403">
      <formula1>YesNo</formula1>
    </dataValidation>
  </dataValidations>
  <pageMargins left="0.4" right="0.4" top="0.5" bottom="0.5"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W303"/>
  <sheetViews>
    <sheetView rightToLeft="1" workbookViewId="0">
      <pane ySplit="3" topLeftCell="A4" activePane="bottomLeft" state="frozen"/>
      <selection pane="bottomLeft"/>
    </sheetView>
  </sheetViews>
  <sheetFormatPr defaultRowHeight="15" x14ac:dyDescent="0.25"/>
  <cols>
    <col min="1" max="1" width="5" style="34" customWidth="1"/>
    <col min="2" max="2" width="11" style="34" customWidth="1"/>
    <col min="3" max="3" width="12" style="34" customWidth="1"/>
    <col min="4" max="4" width="18" style="34" customWidth="1"/>
    <col min="5" max="5" width="11" style="34" customWidth="1"/>
    <col min="6" max="6" width="18" style="34" customWidth="1"/>
    <col min="7" max="9" width="9" style="34" customWidth="1"/>
    <col min="10" max="11" width="12" style="34" customWidth="1"/>
    <col min="12" max="12" width="24" style="34" customWidth="1"/>
    <col min="13" max="14" width="10" style="34" customWidth="1"/>
    <col min="15" max="17" width="13" style="34" customWidth="1"/>
    <col min="18" max="18" width="10" style="34" customWidth="1"/>
    <col min="19" max="19" width="28" style="34" customWidth="1"/>
    <col min="20" max="20" width="34" style="34" customWidth="1"/>
    <col min="21" max="21" width="8" style="34" hidden="1" customWidth="1"/>
    <col min="22" max="23" width="6" style="34" hidden="1" customWidth="1"/>
  </cols>
  <sheetData>
    <row r="1" spans="1:23" ht="30" customHeight="1" x14ac:dyDescent="0.25">
      <c r="A1" s="52" t="s">
        <v>89</v>
      </c>
      <c r="B1" s="51"/>
      <c r="C1" s="51"/>
      <c r="D1" s="51"/>
      <c r="E1" s="51"/>
      <c r="F1" s="51"/>
      <c r="G1" s="51"/>
      <c r="H1" s="51"/>
      <c r="I1" s="51"/>
      <c r="J1" s="51"/>
      <c r="K1" s="51"/>
      <c r="L1" s="51"/>
      <c r="M1" s="51"/>
      <c r="N1" s="51"/>
      <c r="O1" s="51"/>
      <c r="P1" s="51"/>
      <c r="Q1" s="51"/>
      <c r="R1" s="51"/>
      <c r="S1" s="51"/>
      <c r="T1" s="51"/>
    </row>
    <row r="2" spans="1:23" ht="24" customHeight="1" x14ac:dyDescent="0.25">
      <c r="A2" s="53" t="s">
        <v>90</v>
      </c>
      <c r="B2" s="54"/>
      <c r="C2" s="54"/>
      <c r="D2" s="54"/>
      <c r="E2" s="54"/>
      <c r="F2" s="54"/>
      <c r="G2" s="54"/>
      <c r="H2" s="54"/>
      <c r="I2" s="55"/>
      <c r="J2" s="10">
        <f>SUBTOTAL(109,J$4:J$303)</f>
        <v>0</v>
      </c>
      <c r="K2" s="30"/>
      <c r="L2" s="30"/>
      <c r="M2" s="30"/>
      <c r="N2" s="30"/>
      <c r="O2" s="10">
        <f>SUBTOTAL(109,O$4:O$303)</f>
        <v>0</v>
      </c>
      <c r="P2" s="10">
        <f>SUBTOTAL(109,P$4:P$303)</f>
        <v>0</v>
      </c>
      <c r="Q2" s="10">
        <f>SUBTOTAL(109,Q$4:Q$303)</f>
        <v>0</v>
      </c>
      <c r="R2" s="30"/>
      <c r="S2" s="30"/>
      <c r="T2" s="10" t="str">
        <f>"غير مكتمل: "&amp;(COUNTIF(T$4:T$303,"?*")-COUNTIF(T$4:T$303,"مكتمل"))</f>
        <v>غير مكتمل: 0</v>
      </c>
    </row>
    <row r="3" spans="1:23" ht="48" customHeight="1" x14ac:dyDescent="0.25">
      <c r="A3" s="32" t="s">
        <v>52</v>
      </c>
      <c r="B3" s="32" t="s">
        <v>91</v>
      </c>
      <c r="C3" s="32" t="s">
        <v>60</v>
      </c>
      <c r="D3" s="32" t="s">
        <v>54</v>
      </c>
      <c r="E3" s="32" t="s">
        <v>92</v>
      </c>
      <c r="F3" s="32" t="s">
        <v>93</v>
      </c>
      <c r="G3" s="32" t="s">
        <v>64</v>
      </c>
      <c r="H3" s="32" t="s">
        <v>94</v>
      </c>
      <c r="I3" s="32" t="s">
        <v>95</v>
      </c>
      <c r="J3" s="32" t="s">
        <v>96</v>
      </c>
      <c r="K3" s="32" t="s">
        <v>97</v>
      </c>
      <c r="L3" s="32" t="s">
        <v>98</v>
      </c>
      <c r="M3" s="32" t="s">
        <v>99</v>
      </c>
      <c r="N3" s="32" t="s">
        <v>100</v>
      </c>
      <c r="O3" s="32" t="s">
        <v>101</v>
      </c>
      <c r="P3" s="32" t="s">
        <v>102</v>
      </c>
      <c r="Q3" s="32" t="s">
        <v>103</v>
      </c>
      <c r="R3" s="32" t="s">
        <v>71</v>
      </c>
      <c r="S3" s="32" t="s">
        <v>56</v>
      </c>
      <c r="T3" s="32" t="s">
        <v>57</v>
      </c>
      <c r="U3" s="32" t="s">
        <v>104</v>
      </c>
      <c r="V3" s="32" t="s">
        <v>73</v>
      </c>
      <c r="W3" s="32" t="s">
        <v>105</v>
      </c>
    </row>
    <row r="4" spans="1:23" x14ac:dyDescent="0.25">
      <c r="A4" s="8">
        <v>1</v>
      </c>
      <c r="B4" s="9"/>
      <c r="C4" s="9"/>
      <c r="D4" s="33" t="str">
        <f t="shared" ref="D4:D67" si="0">IF(C4="","",IFERROR(INDEX(SpaceNames,MATCH(C4,SpaceCodes,0))&amp;"",""))</f>
        <v/>
      </c>
      <c r="E4" s="9"/>
      <c r="F4" s="31"/>
      <c r="G4" s="11"/>
      <c r="H4" s="11"/>
      <c r="I4" s="9"/>
      <c r="J4" s="12" t="str">
        <f t="shared" ref="J4:J67" si="1">IF(W4=0,"",IF(V4=1,0,IF(AND(G4&lt;&gt;"",H4&lt;&gt;""),G4*H4*IF(I4="",1,I4),"")))</f>
        <v/>
      </c>
      <c r="K4" s="9"/>
      <c r="L4" s="31"/>
      <c r="M4" s="9"/>
      <c r="N4" s="9"/>
      <c r="O4" s="12" t="str">
        <f t="shared" ref="O4:O67" si="2">IF(OR(W4=0,J4=""),"",IF(OR(K4&lt;&gt;"نعم",C4="",E4=""),0,IF(L4&lt;&gt;"",IF(COUNTIFS(WL_Space,C4,WL_Wall,E4,WL_Mat,L4,WL_DedOn,1)&gt;0,J4,0),IF(AND(COUNTIFS(WL_Space,C4,WL_Wall,E4,WL_Dup,0)=1,COUNTIFS(WL_Space,C4,WL_Wall,E4,WL_DedOn,1)=1),J4,0))))</f>
        <v/>
      </c>
      <c r="P4" s="12" t="str">
        <f t="shared" ref="P4:P67" si="3">IF(OR(W4=0,J4=""),"",IF(OR(M4&lt;&gt;"نعم",C4="",E4=""),0,J4*SUMIFS(PL_FacesEff,PL_Space,C4,PL_Wall,E4)))</f>
        <v/>
      </c>
      <c r="Q4" s="12" t="str">
        <f t="shared" ref="Q4:Q67" si="4">IF(W4=0,"",IF(OR(N4&lt;&gt;"نعم",C4=""),0,IF(COUNTIFS(LN_Space,C4,LN_AutoEff,1)&gt;0,U4,0)))</f>
        <v/>
      </c>
      <c r="R4" s="9"/>
      <c r="S4" s="31"/>
      <c r="T4" s="8" t="str">
        <f t="shared" ref="T4:T67" si="5">IF(W4=0,"",IF(B4="","ناقص بيانات: كود الفتحة",IF(V4=1,"تكرار كود الفتحة — غير محتسب",IF(C4="","ناقص بيانات: كود الفراغ",IF(COUNTIF(SpaceCodes,C4)=0,"ناقص بيانات: الفراغ غير مسجل",IF(E4="","ناقص بيانات: كود الحائط",IF(J4="","ناقص قياس",IF(AND(K4="",M4="",N4=""),"ناقص بيانات: حدد خيارات الخصم (نعم/لا)",IF(AND(K4="نعم",N(O4)=0,L4="",COUNTIFS(WL_Space,C4,WL_Wall,E4,WL_Dup,0)&gt;1),"تنبيه خصم: للحائط أكثر من خامة — حدد الخامة المخصوم منها",IF(AND(K4="نعم",N(O4)=0,IF(L4="",COUNTIFS(WL_Space,C4,WL_Wall,E4,WL_Dup,0),COUNTIFS(WL_Space,C4,WL_Wall,E4,WL_Mat,L4,WL_Dup,0))&gt;0),"تنبيه خصم: خصم الفتحات موقوف («لا») في سجل الحائط",IF(AND(K4="نعم",N(O4)=0),"تنبيه خصم: الحائط/الخامة غير مسجلة في حصر الحوائط",IF(AND(M4="نعم",N(P4)=0),"تنبيه خصم: الحائط غير مسجل في حصر اللياسة",IF(AND(N4="نعم",N(Q4)=0),"تنبيه خصم: لا يوجد سجل وزرات بخصم تلقائي للفراغ",IF(R4="نعم","يحتاج مراجعة","مكتمل"))))))))))))))</f>
        <v/>
      </c>
      <c r="U4" s="8">
        <f t="shared" ref="U4:U67" si="6">IF(OR(W4=0,V4=1,G4=""),0,G4*IF(I4="",1,I4))</f>
        <v>0</v>
      </c>
      <c r="V4" s="8">
        <f>IF(B4="",0,IF(SUMPRODUCT(--(B$4:B4=B4))&gt;1,1,0))</f>
        <v>0</v>
      </c>
      <c r="W4" s="8">
        <f t="shared" ref="W4:W67" si="7">IF(COUNTA(B4:C4,E4:I4,K4:N4)=0,0,1)</f>
        <v>0</v>
      </c>
    </row>
    <row r="5" spans="1:23" x14ac:dyDescent="0.25">
      <c r="A5" s="8">
        <v>2</v>
      </c>
      <c r="B5" s="9"/>
      <c r="C5" s="9"/>
      <c r="D5" s="33" t="str">
        <f t="shared" si="0"/>
        <v/>
      </c>
      <c r="E5" s="9"/>
      <c r="F5" s="31"/>
      <c r="G5" s="11"/>
      <c r="H5" s="11"/>
      <c r="I5" s="9"/>
      <c r="J5" s="12" t="str">
        <f t="shared" si="1"/>
        <v/>
      </c>
      <c r="K5" s="9"/>
      <c r="L5" s="31"/>
      <c r="M5" s="9"/>
      <c r="N5" s="9"/>
      <c r="O5" s="12" t="str">
        <f t="shared" si="2"/>
        <v/>
      </c>
      <c r="P5" s="12" t="str">
        <f t="shared" si="3"/>
        <v/>
      </c>
      <c r="Q5" s="12" t="str">
        <f t="shared" si="4"/>
        <v/>
      </c>
      <c r="R5" s="9"/>
      <c r="S5" s="31"/>
      <c r="T5" s="8" t="str">
        <f t="shared" si="5"/>
        <v/>
      </c>
      <c r="U5" s="8">
        <f t="shared" si="6"/>
        <v>0</v>
      </c>
      <c r="V5" s="8">
        <f>IF(B5="",0,IF(SUMPRODUCT(--(B$4:B5=B5))&gt;1,1,0))</f>
        <v>0</v>
      </c>
      <c r="W5" s="8">
        <f t="shared" si="7"/>
        <v>0</v>
      </c>
    </row>
    <row r="6" spans="1:23" x14ac:dyDescent="0.25">
      <c r="A6" s="8">
        <v>3</v>
      </c>
      <c r="B6" s="9"/>
      <c r="C6" s="9"/>
      <c r="D6" s="33" t="str">
        <f t="shared" si="0"/>
        <v/>
      </c>
      <c r="E6" s="9"/>
      <c r="F6" s="31"/>
      <c r="G6" s="11"/>
      <c r="H6" s="11"/>
      <c r="I6" s="9"/>
      <c r="J6" s="12" t="str">
        <f t="shared" si="1"/>
        <v/>
      </c>
      <c r="K6" s="9"/>
      <c r="L6" s="31"/>
      <c r="M6" s="9"/>
      <c r="N6" s="9"/>
      <c r="O6" s="12" t="str">
        <f t="shared" si="2"/>
        <v/>
      </c>
      <c r="P6" s="12" t="str">
        <f t="shared" si="3"/>
        <v/>
      </c>
      <c r="Q6" s="12" t="str">
        <f t="shared" si="4"/>
        <v/>
      </c>
      <c r="R6" s="9"/>
      <c r="S6" s="31"/>
      <c r="T6" s="8" t="str">
        <f t="shared" si="5"/>
        <v/>
      </c>
      <c r="U6" s="8">
        <f t="shared" si="6"/>
        <v>0</v>
      </c>
      <c r="V6" s="8">
        <f>IF(B6="",0,IF(SUMPRODUCT(--(B$4:B6=B6))&gt;1,1,0))</f>
        <v>0</v>
      </c>
      <c r="W6" s="8">
        <f t="shared" si="7"/>
        <v>0</v>
      </c>
    </row>
    <row r="7" spans="1:23" x14ac:dyDescent="0.25">
      <c r="A7" s="8">
        <v>4</v>
      </c>
      <c r="B7" s="9"/>
      <c r="C7" s="9"/>
      <c r="D7" s="33" t="str">
        <f t="shared" si="0"/>
        <v/>
      </c>
      <c r="E7" s="9"/>
      <c r="F7" s="31"/>
      <c r="G7" s="11"/>
      <c r="H7" s="11"/>
      <c r="I7" s="9"/>
      <c r="J7" s="12" t="str">
        <f t="shared" si="1"/>
        <v/>
      </c>
      <c r="K7" s="9"/>
      <c r="L7" s="31"/>
      <c r="M7" s="9"/>
      <c r="N7" s="9"/>
      <c r="O7" s="12" t="str">
        <f t="shared" si="2"/>
        <v/>
      </c>
      <c r="P7" s="12" t="str">
        <f t="shared" si="3"/>
        <v/>
      </c>
      <c r="Q7" s="12" t="str">
        <f t="shared" si="4"/>
        <v/>
      </c>
      <c r="R7" s="9"/>
      <c r="S7" s="31"/>
      <c r="T7" s="8" t="str">
        <f t="shared" si="5"/>
        <v/>
      </c>
      <c r="U7" s="8">
        <f t="shared" si="6"/>
        <v>0</v>
      </c>
      <c r="V7" s="8">
        <f>IF(B7="",0,IF(SUMPRODUCT(--(B$4:B7=B7))&gt;1,1,0))</f>
        <v>0</v>
      </c>
      <c r="W7" s="8">
        <f t="shared" si="7"/>
        <v>0</v>
      </c>
    </row>
    <row r="8" spans="1:23" x14ac:dyDescent="0.25">
      <c r="A8" s="8">
        <v>5</v>
      </c>
      <c r="B8" s="9"/>
      <c r="C8" s="9"/>
      <c r="D8" s="33" t="str">
        <f t="shared" si="0"/>
        <v/>
      </c>
      <c r="E8" s="9"/>
      <c r="F8" s="31"/>
      <c r="G8" s="11"/>
      <c r="H8" s="11"/>
      <c r="I8" s="9"/>
      <c r="J8" s="12" t="str">
        <f t="shared" si="1"/>
        <v/>
      </c>
      <c r="K8" s="9"/>
      <c r="L8" s="31"/>
      <c r="M8" s="9"/>
      <c r="N8" s="9"/>
      <c r="O8" s="12" t="str">
        <f t="shared" si="2"/>
        <v/>
      </c>
      <c r="P8" s="12" t="str">
        <f t="shared" si="3"/>
        <v/>
      </c>
      <c r="Q8" s="12" t="str">
        <f t="shared" si="4"/>
        <v/>
      </c>
      <c r="R8" s="9"/>
      <c r="S8" s="31"/>
      <c r="T8" s="8" t="str">
        <f t="shared" si="5"/>
        <v/>
      </c>
      <c r="U8" s="8">
        <f t="shared" si="6"/>
        <v>0</v>
      </c>
      <c r="V8" s="8">
        <f>IF(B8="",0,IF(SUMPRODUCT(--(B$4:B8=B8))&gt;1,1,0))</f>
        <v>0</v>
      </c>
      <c r="W8" s="8">
        <f t="shared" si="7"/>
        <v>0</v>
      </c>
    </row>
    <row r="9" spans="1:23" x14ac:dyDescent="0.25">
      <c r="A9" s="8">
        <v>6</v>
      </c>
      <c r="B9" s="9"/>
      <c r="C9" s="9"/>
      <c r="D9" s="33" t="str">
        <f t="shared" si="0"/>
        <v/>
      </c>
      <c r="E9" s="9"/>
      <c r="F9" s="31"/>
      <c r="G9" s="11"/>
      <c r="H9" s="11"/>
      <c r="I9" s="9"/>
      <c r="J9" s="12" t="str">
        <f t="shared" si="1"/>
        <v/>
      </c>
      <c r="K9" s="9"/>
      <c r="L9" s="31"/>
      <c r="M9" s="9"/>
      <c r="N9" s="9"/>
      <c r="O9" s="12" t="str">
        <f t="shared" si="2"/>
        <v/>
      </c>
      <c r="P9" s="12" t="str">
        <f t="shared" si="3"/>
        <v/>
      </c>
      <c r="Q9" s="12" t="str">
        <f t="shared" si="4"/>
        <v/>
      </c>
      <c r="R9" s="9"/>
      <c r="S9" s="31"/>
      <c r="T9" s="8" t="str">
        <f t="shared" si="5"/>
        <v/>
      </c>
      <c r="U9" s="8">
        <f t="shared" si="6"/>
        <v>0</v>
      </c>
      <c r="V9" s="8">
        <f>IF(B9="",0,IF(SUMPRODUCT(--(B$4:B9=B9))&gt;1,1,0))</f>
        <v>0</v>
      </c>
      <c r="W9" s="8">
        <f t="shared" si="7"/>
        <v>0</v>
      </c>
    </row>
    <row r="10" spans="1:23" x14ac:dyDescent="0.25">
      <c r="A10" s="8">
        <v>7</v>
      </c>
      <c r="B10" s="9"/>
      <c r="C10" s="9"/>
      <c r="D10" s="33" t="str">
        <f t="shared" si="0"/>
        <v/>
      </c>
      <c r="E10" s="9"/>
      <c r="F10" s="31"/>
      <c r="G10" s="11"/>
      <c r="H10" s="11"/>
      <c r="I10" s="9"/>
      <c r="J10" s="12" t="str">
        <f t="shared" si="1"/>
        <v/>
      </c>
      <c r="K10" s="9"/>
      <c r="L10" s="31"/>
      <c r="M10" s="9"/>
      <c r="N10" s="9"/>
      <c r="O10" s="12" t="str">
        <f t="shared" si="2"/>
        <v/>
      </c>
      <c r="P10" s="12" t="str">
        <f t="shared" si="3"/>
        <v/>
      </c>
      <c r="Q10" s="12" t="str">
        <f t="shared" si="4"/>
        <v/>
      </c>
      <c r="R10" s="9"/>
      <c r="S10" s="31"/>
      <c r="T10" s="8" t="str">
        <f t="shared" si="5"/>
        <v/>
      </c>
      <c r="U10" s="8">
        <f t="shared" si="6"/>
        <v>0</v>
      </c>
      <c r="V10" s="8">
        <f>IF(B10="",0,IF(SUMPRODUCT(--(B$4:B10=B10))&gt;1,1,0))</f>
        <v>0</v>
      </c>
      <c r="W10" s="8">
        <f t="shared" si="7"/>
        <v>0</v>
      </c>
    </row>
    <row r="11" spans="1:23" x14ac:dyDescent="0.25">
      <c r="A11" s="8">
        <v>8</v>
      </c>
      <c r="B11" s="9"/>
      <c r="C11" s="9"/>
      <c r="D11" s="33" t="str">
        <f t="shared" si="0"/>
        <v/>
      </c>
      <c r="E11" s="9"/>
      <c r="F11" s="31"/>
      <c r="G11" s="11"/>
      <c r="H11" s="11"/>
      <c r="I11" s="9"/>
      <c r="J11" s="12" t="str">
        <f t="shared" si="1"/>
        <v/>
      </c>
      <c r="K11" s="9"/>
      <c r="L11" s="31"/>
      <c r="M11" s="9"/>
      <c r="N11" s="9"/>
      <c r="O11" s="12" t="str">
        <f t="shared" si="2"/>
        <v/>
      </c>
      <c r="P11" s="12" t="str">
        <f t="shared" si="3"/>
        <v/>
      </c>
      <c r="Q11" s="12" t="str">
        <f t="shared" si="4"/>
        <v/>
      </c>
      <c r="R11" s="9"/>
      <c r="S11" s="31"/>
      <c r="T11" s="8" t="str">
        <f t="shared" si="5"/>
        <v/>
      </c>
      <c r="U11" s="8">
        <f t="shared" si="6"/>
        <v>0</v>
      </c>
      <c r="V11" s="8">
        <f>IF(B11="",0,IF(SUMPRODUCT(--(B$4:B11=B11))&gt;1,1,0))</f>
        <v>0</v>
      </c>
      <c r="W11" s="8">
        <f t="shared" si="7"/>
        <v>0</v>
      </c>
    </row>
    <row r="12" spans="1:23" x14ac:dyDescent="0.25">
      <c r="A12" s="8">
        <v>9</v>
      </c>
      <c r="B12" s="9"/>
      <c r="C12" s="9"/>
      <c r="D12" s="33" t="str">
        <f t="shared" si="0"/>
        <v/>
      </c>
      <c r="E12" s="9"/>
      <c r="F12" s="31"/>
      <c r="G12" s="11"/>
      <c r="H12" s="11"/>
      <c r="I12" s="9"/>
      <c r="J12" s="12" t="str">
        <f t="shared" si="1"/>
        <v/>
      </c>
      <c r="K12" s="9"/>
      <c r="L12" s="31"/>
      <c r="M12" s="9"/>
      <c r="N12" s="9"/>
      <c r="O12" s="12" t="str">
        <f t="shared" si="2"/>
        <v/>
      </c>
      <c r="P12" s="12" t="str">
        <f t="shared" si="3"/>
        <v/>
      </c>
      <c r="Q12" s="12" t="str">
        <f t="shared" si="4"/>
        <v/>
      </c>
      <c r="R12" s="9"/>
      <c r="S12" s="31"/>
      <c r="T12" s="8" t="str">
        <f t="shared" si="5"/>
        <v/>
      </c>
      <c r="U12" s="8">
        <f t="shared" si="6"/>
        <v>0</v>
      </c>
      <c r="V12" s="8">
        <f>IF(B12="",0,IF(SUMPRODUCT(--(B$4:B12=B12))&gt;1,1,0))</f>
        <v>0</v>
      </c>
      <c r="W12" s="8">
        <f t="shared" si="7"/>
        <v>0</v>
      </c>
    </row>
    <row r="13" spans="1:23" x14ac:dyDescent="0.25">
      <c r="A13" s="8">
        <v>10</v>
      </c>
      <c r="B13" s="9"/>
      <c r="C13" s="9"/>
      <c r="D13" s="33" t="str">
        <f t="shared" si="0"/>
        <v/>
      </c>
      <c r="E13" s="9"/>
      <c r="F13" s="31"/>
      <c r="G13" s="11"/>
      <c r="H13" s="11"/>
      <c r="I13" s="9"/>
      <c r="J13" s="12" t="str">
        <f t="shared" si="1"/>
        <v/>
      </c>
      <c r="K13" s="9"/>
      <c r="L13" s="31"/>
      <c r="M13" s="9"/>
      <c r="N13" s="9"/>
      <c r="O13" s="12" t="str">
        <f t="shared" si="2"/>
        <v/>
      </c>
      <c r="P13" s="12" t="str">
        <f t="shared" si="3"/>
        <v/>
      </c>
      <c r="Q13" s="12" t="str">
        <f t="shared" si="4"/>
        <v/>
      </c>
      <c r="R13" s="9"/>
      <c r="S13" s="31"/>
      <c r="T13" s="8" t="str">
        <f t="shared" si="5"/>
        <v/>
      </c>
      <c r="U13" s="8">
        <f t="shared" si="6"/>
        <v>0</v>
      </c>
      <c r="V13" s="8">
        <f>IF(B13="",0,IF(SUMPRODUCT(--(B$4:B13=B13))&gt;1,1,0))</f>
        <v>0</v>
      </c>
      <c r="W13" s="8">
        <f t="shared" si="7"/>
        <v>0</v>
      </c>
    </row>
    <row r="14" spans="1:23" x14ac:dyDescent="0.25">
      <c r="A14" s="8">
        <v>11</v>
      </c>
      <c r="B14" s="9"/>
      <c r="C14" s="9"/>
      <c r="D14" s="33" t="str">
        <f t="shared" si="0"/>
        <v/>
      </c>
      <c r="E14" s="9"/>
      <c r="F14" s="31"/>
      <c r="G14" s="11"/>
      <c r="H14" s="11"/>
      <c r="I14" s="9"/>
      <c r="J14" s="12" t="str">
        <f t="shared" si="1"/>
        <v/>
      </c>
      <c r="K14" s="9"/>
      <c r="L14" s="31"/>
      <c r="M14" s="9"/>
      <c r="N14" s="9"/>
      <c r="O14" s="12" t="str">
        <f t="shared" si="2"/>
        <v/>
      </c>
      <c r="P14" s="12" t="str">
        <f t="shared" si="3"/>
        <v/>
      </c>
      <c r="Q14" s="12" t="str">
        <f t="shared" si="4"/>
        <v/>
      </c>
      <c r="R14" s="9"/>
      <c r="S14" s="31"/>
      <c r="T14" s="8" t="str">
        <f t="shared" si="5"/>
        <v/>
      </c>
      <c r="U14" s="8">
        <f t="shared" si="6"/>
        <v>0</v>
      </c>
      <c r="V14" s="8">
        <f>IF(B14="",0,IF(SUMPRODUCT(--(B$4:B14=B14))&gt;1,1,0))</f>
        <v>0</v>
      </c>
      <c r="W14" s="8">
        <f t="shared" si="7"/>
        <v>0</v>
      </c>
    </row>
    <row r="15" spans="1:23" x14ac:dyDescent="0.25">
      <c r="A15" s="8">
        <v>12</v>
      </c>
      <c r="B15" s="9"/>
      <c r="C15" s="9"/>
      <c r="D15" s="33" t="str">
        <f t="shared" si="0"/>
        <v/>
      </c>
      <c r="E15" s="9"/>
      <c r="F15" s="31"/>
      <c r="G15" s="11"/>
      <c r="H15" s="11"/>
      <c r="I15" s="9"/>
      <c r="J15" s="12" t="str">
        <f t="shared" si="1"/>
        <v/>
      </c>
      <c r="K15" s="9"/>
      <c r="L15" s="31"/>
      <c r="M15" s="9"/>
      <c r="N15" s="9"/>
      <c r="O15" s="12" t="str">
        <f t="shared" si="2"/>
        <v/>
      </c>
      <c r="P15" s="12" t="str">
        <f t="shared" si="3"/>
        <v/>
      </c>
      <c r="Q15" s="12" t="str">
        <f t="shared" si="4"/>
        <v/>
      </c>
      <c r="R15" s="9"/>
      <c r="S15" s="31"/>
      <c r="T15" s="8" t="str">
        <f t="shared" si="5"/>
        <v/>
      </c>
      <c r="U15" s="8">
        <f t="shared" si="6"/>
        <v>0</v>
      </c>
      <c r="V15" s="8">
        <f>IF(B15="",0,IF(SUMPRODUCT(--(B$4:B15=B15))&gt;1,1,0))</f>
        <v>0</v>
      </c>
      <c r="W15" s="8">
        <f t="shared" si="7"/>
        <v>0</v>
      </c>
    </row>
    <row r="16" spans="1:23" x14ac:dyDescent="0.25">
      <c r="A16" s="8">
        <v>13</v>
      </c>
      <c r="B16" s="9"/>
      <c r="C16" s="9"/>
      <c r="D16" s="33" t="str">
        <f t="shared" si="0"/>
        <v/>
      </c>
      <c r="E16" s="9"/>
      <c r="F16" s="31"/>
      <c r="G16" s="11"/>
      <c r="H16" s="11"/>
      <c r="I16" s="9"/>
      <c r="J16" s="12" t="str">
        <f t="shared" si="1"/>
        <v/>
      </c>
      <c r="K16" s="9"/>
      <c r="L16" s="31"/>
      <c r="M16" s="9"/>
      <c r="N16" s="9"/>
      <c r="O16" s="12" t="str">
        <f t="shared" si="2"/>
        <v/>
      </c>
      <c r="P16" s="12" t="str">
        <f t="shared" si="3"/>
        <v/>
      </c>
      <c r="Q16" s="12" t="str">
        <f t="shared" si="4"/>
        <v/>
      </c>
      <c r="R16" s="9"/>
      <c r="S16" s="31"/>
      <c r="T16" s="8" t="str">
        <f t="shared" si="5"/>
        <v/>
      </c>
      <c r="U16" s="8">
        <f t="shared" si="6"/>
        <v>0</v>
      </c>
      <c r="V16" s="8">
        <f>IF(B16="",0,IF(SUMPRODUCT(--(B$4:B16=B16))&gt;1,1,0))</f>
        <v>0</v>
      </c>
      <c r="W16" s="8">
        <f t="shared" si="7"/>
        <v>0</v>
      </c>
    </row>
    <row r="17" spans="1:23" x14ac:dyDescent="0.25">
      <c r="A17" s="8">
        <v>14</v>
      </c>
      <c r="B17" s="9"/>
      <c r="C17" s="9"/>
      <c r="D17" s="33" t="str">
        <f t="shared" si="0"/>
        <v/>
      </c>
      <c r="E17" s="9"/>
      <c r="F17" s="31"/>
      <c r="G17" s="11"/>
      <c r="H17" s="11"/>
      <c r="I17" s="9"/>
      <c r="J17" s="12" t="str">
        <f t="shared" si="1"/>
        <v/>
      </c>
      <c r="K17" s="9"/>
      <c r="L17" s="31"/>
      <c r="M17" s="9"/>
      <c r="N17" s="9"/>
      <c r="O17" s="12" t="str">
        <f t="shared" si="2"/>
        <v/>
      </c>
      <c r="P17" s="12" t="str">
        <f t="shared" si="3"/>
        <v/>
      </c>
      <c r="Q17" s="12" t="str">
        <f t="shared" si="4"/>
        <v/>
      </c>
      <c r="R17" s="9"/>
      <c r="S17" s="31"/>
      <c r="T17" s="8" t="str">
        <f t="shared" si="5"/>
        <v/>
      </c>
      <c r="U17" s="8">
        <f t="shared" si="6"/>
        <v>0</v>
      </c>
      <c r="V17" s="8">
        <f>IF(B17="",0,IF(SUMPRODUCT(--(B$4:B17=B17))&gt;1,1,0))</f>
        <v>0</v>
      </c>
      <c r="W17" s="8">
        <f t="shared" si="7"/>
        <v>0</v>
      </c>
    </row>
    <row r="18" spans="1:23" x14ac:dyDescent="0.25">
      <c r="A18" s="8">
        <v>15</v>
      </c>
      <c r="B18" s="9"/>
      <c r="C18" s="9"/>
      <c r="D18" s="33" t="str">
        <f t="shared" si="0"/>
        <v/>
      </c>
      <c r="E18" s="9"/>
      <c r="F18" s="31"/>
      <c r="G18" s="11"/>
      <c r="H18" s="11"/>
      <c r="I18" s="9"/>
      <c r="J18" s="12" t="str">
        <f t="shared" si="1"/>
        <v/>
      </c>
      <c r="K18" s="9"/>
      <c r="L18" s="31"/>
      <c r="M18" s="9"/>
      <c r="N18" s="9"/>
      <c r="O18" s="12" t="str">
        <f t="shared" si="2"/>
        <v/>
      </c>
      <c r="P18" s="12" t="str">
        <f t="shared" si="3"/>
        <v/>
      </c>
      <c r="Q18" s="12" t="str">
        <f t="shared" si="4"/>
        <v/>
      </c>
      <c r="R18" s="9"/>
      <c r="S18" s="31"/>
      <c r="T18" s="8" t="str">
        <f t="shared" si="5"/>
        <v/>
      </c>
      <c r="U18" s="8">
        <f t="shared" si="6"/>
        <v>0</v>
      </c>
      <c r="V18" s="8">
        <f>IF(B18="",0,IF(SUMPRODUCT(--(B$4:B18=B18))&gt;1,1,0))</f>
        <v>0</v>
      </c>
      <c r="W18" s="8">
        <f t="shared" si="7"/>
        <v>0</v>
      </c>
    </row>
    <row r="19" spans="1:23" x14ac:dyDescent="0.25">
      <c r="A19" s="8">
        <v>16</v>
      </c>
      <c r="B19" s="9"/>
      <c r="C19" s="9"/>
      <c r="D19" s="33" t="str">
        <f t="shared" si="0"/>
        <v/>
      </c>
      <c r="E19" s="9"/>
      <c r="F19" s="31"/>
      <c r="G19" s="11"/>
      <c r="H19" s="11"/>
      <c r="I19" s="9"/>
      <c r="J19" s="12" t="str">
        <f t="shared" si="1"/>
        <v/>
      </c>
      <c r="K19" s="9"/>
      <c r="L19" s="31"/>
      <c r="M19" s="9"/>
      <c r="N19" s="9"/>
      <c r="O19" s="12" t="str">
        <f t="shared" si="2"/>
        <v/>
      </c>
      <c r="P19" s="12" t="str">
        <f t="shared" si="3"/>
        <v/>
      </c>
      <c r="Q19" s="12" t="str">
        <f t="shared" si="4"/>
        <v/>
      </c>
      <c r="R19" s="9"/>
      <c r="S19" s="31"/>
      <c r="T19" s="8" t="str">
        <f t="shared" si="5"/>
        <v/>
      </c>
      <c r="U19" s="8">
        <f t="shared" si="6"/>
        <v>0</v>
      </c>
      <c r="V19" s="8">
        <f>IF(B19="",0,IF(SUMPRODUCT(--(B$4:B19=B19))&gt;1,1,0))</f>
        <v>0</v>
      </c>
      <c r="W19" s="8">
        <f t="shared" si="7"/>
        <v>0</v>
      </c>
    </row>
    <row r="20" spans="1:23" x14ac:dyDescent="0.25">
      <c r="A20" s="8">
        <v>17</v>
      </c>
      <c r="B20" s="9"/>
      <c r="C20" s="9"/>
      <c r="D20" s="33" t="str">
        <f t="shared" si="0"/>
        <v/>
      </c>
      <c r="E20" s="9"/>
      <c r="F20" s="31"/>
      <c r="G20" s="11"/>
      <c r="H20" s="11"/>
      <c r="I20" s="9"/>
      <c r="J20" s="12" t="str">
        <f t="shared" si="1"/>
        <v/>
      </c>
      <c r="K20" s="9"/>
      <c r="L20" s="31"/>
      <c r="M20" s="9"/>
      <c r="N20" s="9"/>
      <c r="O20" s="12" t="str">
        <f t="shared" si="2"/>
        <v/>
      </c>
      <c r="P20" s="12" t="str">
        <f t="shared" si="3"/>
        <v/>
      </c>
      <c r="Q20" s="12" t="str">
        <f t="shared" si="4"/>
        <v/>
      </c>
      <c r="R20" s="9"/>
      <c r="S20" s="31"/>
      <c r="T20" s="8" t="str">
        <f t="shared" si="5"/>
        <v/>
      </c>
      <c r="U20" s="8">
        <f t="shared" si="6"/>
        <v>0</v>
      </c>
      <c r="V20" s="8">
        <f>IF(B20="",0,IF(SUMPRODUCT(--(B$4:B20=B20))&gt;1,1,0))</f>
        <v>0</v>
      </c>
      <c r="W20" s="8">
        <f t="shared" si="7"/>
        <v>0</v>
      </c>
    </row>
    <row r="21" spans="1:23" x14ac:dyDescent="0.25">
      <c r="A21" s="8">
        <v>18</v>
      </c>
      <c r="B21" s="9"/>
      <c r="C21" s="9"/>
      <c r="D21" s="33" t="str">
        <f t="shared" si="0"/>
        <v/>
      </c>
      <c r="E21" s="9"/>
      <c r="F21" s="31"/>
      <c r="G21" s="11"/>
      <c r="H21" s="11"/>
      <c r="I21" s="9"/>
      <c r="J21" s="12" t="str">
        <f t="shared" si="1"/>
        <v/>
      </c>
      <c r="K21" s="9"/>
      <c r="L21" s="31"/>
      <c r="M21" s="9"/>
      <c r="N21" s="9"/>
      <c r="O21" s="12" t="str">
        <f t="shared" si="2"/>
        <v/>
      </c>
      <c r="P21" s="12" t="str">
        <f t="shared" si="3"/>
        <v/>
      </c>
      <c r="Q21" s="12" t="str">
        <f t="shared" si="4"/>
        <v/>
      </c>
      <c r="R21" s="9"/>
      <c r="S21" s="31"/>
      <c r="T21" s="8" t="str">
        <f t="shared" si="5"/>
        <v/>
      </c>
      <c r="U21" s="8">
        <f t="shared" si="6"/>
        <v>0</v>
      </c>
      <c r="V21" s="8">
        <f>IF(B21="",0,IF(SUMPRODUCT(--(B$4:B21=B21))&gt;1,1,0))</f>
        <v>0</v>
      </c>
      <c r="W21" s="8">
        <f t="shared" si="7"/>
        <v>0</v>
      </c>
    </row>
    <row r="22" spans="1:23" x14ac:dyDescent="0.25">
      <c r="A22" s="8">
        <v>19</v>
      </c>
      <c r="B22" s="9"/>
      <c r="C22" s="9"/>
      <c r="D22" s="33" t="str">
        <f t="shared" si="0"/>
        <v/>
      </c>
      <c r="E22" s="9"/>
      <c r="F22" s="31"/>
      <c r="G22" s="11"/>
      <c r="H22" s="11"/>
      <c r="I22" s="9"/>
      <c r="J22" s="12" t="str">
        <f t="shared" si="1"/>
        <v/>
      </c>
      <c r="K22" s="9"/>
      <c r="L22" s="31"/>
      <c r="M22" s="9"/>
      <c r="N22" s="9"/>
      <c r="O22" s="12" t="str">
        <f t="shared" si="2"/>
        <v/>
      </c>
      <c r="P22" s="12" t="str">
        <f t="shared" si="3"/>
        <v/>
      </c>
      <c r="Q22" s="12" t="str">
        <f t="shared" si="4"/>
        <v/>
      </c>
      <c r="R22" s="9"/>
      <c r="S22" s="31"/>
      <c r="T22" s="8" t="str">
        <f t="shared" si="5"/>
        <v/>
      </c>
      <c r="U22" s="8">
        <f t="shared" si="6"/>
        <v>0</v>
      </c>
      <c r="V22" s="8">
        <f>IF(B22="",0,IF(SUMPRODUCT(--(B$4:B22=B22))&gt;1,1,0))</f>
        <v>0</v>
      </c>
      <c r="W22" s="8">
        <f t="shared" si="7"/>
        <v>0</v>
      </c>
    </row>
    <row r="23" spans="1:23" x14ac:dyDescent="0.25">
      <c r="A23" s="8">
        <v>20</v>
      </c>
      <c r="B23" s="9"/>
      <c r="C23" s="9"/>
      <c r="D23" s="33" t="str">
        <f t="shared" si="0"/>
        <v/>
      </c>
      <c r="E23" s="9"/>
      <c r="F23" s="31"/>
      <c r="G23" s="11"/>
      <c r="H23" s="11"/>
      <c r="I23" s="9"/>
      <c r="J23" s="12" t="str">
        <f t="shared" si="1"/>
        <v/>
      </c>
      <c r="K23" s="9"/>
      <c r="L23" s="31"/>
      <c r="M23" s="9"/>
      <c r="N23" s="9"/>
      <c r="O23" s="12" t="str">
        <f t="shared" si="2"/>
        <v/>
      </c>
      <c r="P23" s="12" t="str">
        <f t="shared" si="3"/>
        <v/>
      </c>
      <c r="Q23" s="12" t="str">
        <f t="shared" si="4"/>
        <v/>
      </c>
      <c r="R23" s="9"/>
      <c r="S23" s="31"/>
      <c r="T23" s="8" t="str">
        <f t="shared" si="5"/>
        <v/>
      </c>
      <c r="U23" s="8">
        <f t="shared" si="6"/>
        <v>0</v>
      </c>
      <c r="V23" s="8">
        <f>IF(B23="",0,IF(SUMPRODUCT(--(B$4:B23=B23))&gt;1,1,0))</f>
        <v>0</v>
      </c>
      <c r="W23" s="8">
        <f t="shared" si="7"/>
        <v>0</v>
      </c>
    </row>
    <row r="24" spans="1:23" x14ac:dyDescent="0.25">
      <c r="A24" s="8">
        <v>21</v>
      </c>
      <c r="B24" s="9"/>
      <c r="C24" s="9"/>
      <c r="D24" s="33" t="str">
        <f t="shared" si="0"/>
        <v/>
      </c>
      <c r="E24" s="9"/>
      <c r="F24" s="31"/>
      <c r="G24" s="11"/>
      <c r="H24" s="11"/>
      <c r="I24" s="9"/>
      <c r="J24" s="12" t="str">
        <f t="shared" si="1"/>
        <v/>
      </c>
      <c r="K24" s="9"/>
      <c r="L24" s="31"/>
      <c r="M24" s="9"/>
      <c r="N24" s="9"/>
      <c r="O24" s="12" t="str">
        <f t="shared" si="2"/>
        <v/>
      </c>
      <c r="P24" s="12" t="str">
        <f t="shared" si="3"/>
        <v/>
      </c>
      <c r="Q24" s="12" t="str">
        <f t="shared" si="4"/>
        <v/>
      </c>
      <c r="R24" s="9"/>
      <c r="S24" s="31"/>
      <c r="T24" s="8" t="str">
        <f t="shared" si="5"/>
        <v/>
      </c>
      <c r="U24" s="8">
        <f t="shared" si="6"/>
        <v>0</v>
      </c>
      <c r="V24" s="8">
        <f>IF(B24="",0,IF(SUMPRODUCT(--(B$4:B24=B24))&gt;1,1,0))</f>
        <v>0</v>
      </c>
      <c r="W24" s="8">
        <f t="shared" si="7"/>
        <v>0</v>
      </c>
    </row>
    <row r="25" spans="1:23" x14ac:dyDescent="0.25">
      <c r="A25" s="8">
        <v>22</v>
      </c>
      <c r="B25" s="9"/>
      <c r="C25" s="9"/>
      <c r="D25" s="33" t="str">
        <f t="shared" si="0"/>
        <v/>
      </c>
      <c r="E25" s="9"/>
      <c r="F25" s="31"/>
      <c r="G25" s="11"/>
      <c r="H25" s="11"/>
      <c r="I25" s="9"/>
      <c r="J25" s="12" t="str">
        <f t="shared" si="1"/>
        <v/>
      </c>
      <c r="K25" s="9"/>
      <c r="L25" s="31"/>
      <c r="M25" s="9"/>
      <c r="N25" s="9"/>
      <c r="O25" s="12" t="str">
        <f t="shared" si="2"/>
        <v/>
      </c>
      <c r="P25" s="12" t="str">
        <f t="shared" si="3"/>
        <v/>
      </c>
      <c r="Q25" s="12" t="str">
        <f t="shared" si="4"/>
        <v/>
      </c>
      <c r="R25" s="9"/>
      <c r="S25" s="31"/>
      <c r="T25" s="8" t="str">
        <f t="shared" si="5"/>
        <v/>
      </c>
      <c r="U25" s="8">
        <f t="shared" si="6"/>
        <v>0</v>
      </c>
      <c r="V25" s="8">
        <f>IF(B25="",0,IF(SUMPRODUCT(--(B$4:B25=B25))&gt;1,1,0))</f>
        <v>0</v>
      </c>
      <c r="W25" s="8">
        <f t="shared" si="7"/>
        <v>0</v>
      </c>
    </row>
    <row r="26" spans="1:23" x14ac:dyDescent="0.25">
      <c r="A26" s="8">
        <v>23</v>
      </c>
      <c r="B26" s="9"/>
      <c r="C26" s="9"/>
      <c r="D26" s="33" t="str">
        <f t="shared" si="0"/>
        <v/>
      </c>
      <c r="E26" s="9"/>
      <c r="F26" s="31"/>
      <c r="G26" s="11"/>
      <c r="H26" s="11"/>
      <c r="I26" s="9"/>
      <c r="J26" s="12" t="str">
        <f t="shared" si="1"/>
        <v/>
      </c>
      <c r="K26" s="9"/>
      <c r="L26" s="31"/>
      <c r="M26" s="9"/>
      <c r="N26" s="9"/>
      <c r="O26" s="12" t="str">
        <f t="shared" si="2"/>
        <v/>
      </c>
      <c r="P26" s="12" t="str">
        <f t="shared" si="3"/>
        <v/>
      </c>
      <c r="Q26" s="12" t="str">
        <f t="shared" si="4"/>
        <v/>
      </c>
      <c r="R26" s="9"/>
      <c r="S26" s="31"/>
      <c r="T26" s="8" t="str">
        <f t="shared" si="5"/>
        <v/>
      </c>
      <c r="U26" s="8">
        <f t="shared" si="6"/>
        <v>0</v>
      </c>
      <c r="V26" s="8">
        <f>IF(B26="",0,IF(SUMPRODUCT(--(B$4:B26=B26))&gt;1,1,0))</f>
        <v>0</v>
      </c>
      <c r="W26" s="8">
        <f t="shared" si="7"/>
        <v>0</v>
      </c>
    </row>
    <row r="27" spans="1:23" x14ac:dyDescent="0.25">
      <c r="A27" s="8">
        <v>24</v>
      </c>
      <c r="B27" s="9"/>
      <c r="C27" s="9"/>
      <c r="D27" s="33" t="str">
        <f t="shared" si="0"/>
        <v/>
      </c>
      <c r="E27" s="9"/>
      <c r="F27" s="31"/>
      <c r="G27" s="11"/>
      <c r="H27" s="11"/>
      <c r="I27" s="9"/>
      <c r="J27" s="12" t="str">
        <f t="shared" si="1"/>
        <v/>
      </c>
      <c r="K27" s="9"/>
      <c r="L27" s="31"/>
      <c r="M27" s="9"/>
      <c r="N27" s="9"/>
      <c r="O27" s="12" t="str">
        <f t="shared" si="2"/>
        <v/>
      </c>
      <c r="P27" s="12" t="str">
        <f t="shared" si="3"/>
        <v/>
      </c>
      <c r="Q27" s="12" t="str">
        <f t="shared" si="4"/>
        <v/>
      </c>
      <c r="R27" s="9"/>
      <c r="S27" s="31"/>
      <c r="T27" s="8" t="str">
        <f t="shared" si="5"/>
        <v/>
      </c>
      <c r="U27" s="8">
        <f t="shared" si="6"/>
        <v>0</v>
      </c>
      <c r="V27" s="8">
        <f>IF(B27="",0,IF(SUMPRODUCT(--(B$4:B27=B27))&gt;1,1,0))</f>
        <v>0</v>
      </c>
      <c r="W27" s="8">
        <f t="shared" si="7"/>
        <v>0</v>
      </c>
    </row>
    <row r="28" spans="1:23" x14ac:dyDescent="0.25">
      <c r="A28" s="8">
        <v>25</v>
      </c>
      <c r="B28" s="9"/>
      <c r="C28" s="9"/>
      <c r="D28" s="33" t="str">
        <f t="shared" si="0"/>
        <v/>
      </c>
      <c r="E28" s="9"/>
      <c r="F28" s="31"/>
      <c r="G28" s="11"/>
      <c r="H28" s="11"/>
      <c r="I28" s="9"/>
      <c r="J28" s="12" t="str">
        <f t="shared" si="1"/>
        <v/>
      </c>
      <c r="K28" s="9"/>
      <c r="L28" s="31"/>
      <c r="M28" s="9"/>
      <c r="N28" s="9"/>
      <c r="O28" s="12" t="str">
        <f t="shared" si="2"/>
        <v/>
      </c>
      <c r="P28" s="12" t="str">
        <f t="shared" si="3"/>
        <v/>
      </c>
      <c r="Q28" s="12" t="str">
        <f t="shared" si="4"/>
        <v/>
      </c>
      <c r="R28" s="9"/>
      <c r="S28" s="31"/>
      <c r="T28" s="8" t="str">
        <f t="shared" si="5"/>
        <v/>
      </c>
      <c r="U28" s="8">
        <f t="shared" si="6"/>
        <v>0</v>
      </c>
      <c r="V28" s="8">
        <f>IF(B28="",0,IF(SUMPRODUCT(--(B$4:B28=B28))&gt;1,1,0))</f>
        <v>0</v>
      </c>
      <c r="W28" s="8">
        <f t="shared" si="7"/>
        <v>0</v>
      </c>
    </row>
    <row r="29" spans="1:23" x14ac:dyDescent="0.25">
      <c r="A29" s="8">
        <v>26</v>
      </c>
      <c r="B29" s="9"/>
      <c r="C29" s="9"/>
      <c r="D29" s="33" t="str">
        <f t="shared" si="0"/>
        <v/>
      </c>
      <c r="E29" s="9"/>
      <c r="F29" s="31"/>
      <c r="G29" s="11"/>
      <c r="H29" s="11"/>
      <c r="I29" s="9"/>
      <c r="J29" s="12" t="str">
        <f t="shared" si="1"/>
        <v/>
      </c>
      <c r="K29" s="9"/>
      <c r="L29" s="31"/>
      <c r="M29" s="9"/>
      <c r="N29" s="9"/>
      <c r="O29" s="12" t="str">
        <f t="shared" si="2"/>
        <v/>
      </c>
      <c r="P29" s="12" t="str">
        <f t="shared" si="3"/>
        <v/>
      </c>
      <c r="Q29" s="12" t="str">
        <f t="shared" si="4"/>
        <v/>
      </c>
      <c r="R29" s="9"/>
      <c r="S29" s="31"/>
      <c r="T29" s="8" t="str">
        <f t="shared" si="5"/>
        <v/>
      </c>
      <c r="U29" s="8">
        <f t="shared" si="6"/>
        <v>0</v>
      </c>
      <c r="V29" s="8">
        <f>IF(B29="",0,IF(SUMPRODUCT(--(B$4:B29=B29))&gt;1,1,0))</f>
        <v>0</v>
      </c>
      <c r="W29" s="8">
        <f t="shared" si="7"/>
        <v>0</v>
      </c>
    </row>
    <row r="30" spans="1:23" x14ac:dyDescent="0.25">
      <c r="A30" s="8">
        <v>27</v>
      </c>
      <c r="B30" s="9"/>
      <c r="C30" s="9"/>
      <c r="D30" s="33" t="str">
        <f t="shared" si="0"/>
        <v/>
      </c>
      <c r="E30" s="9"/>
      <c r="F30" s="31"/>
      <c r="G30" s="11"/>
      <c r="H30" s="11"/>
      <c r="I30" s="9"/>
      <c r="J30" s="12" t="str">
        <f t="shared" si="1"/>
        <v/>
      </c>
      <c r="K30" s="9"/>
      <c r="L30" s="31"/>
      <c r="M30" s="9"/>
      <c r="N30" s="9"/>
      <c r="O30" s="12" t="str">
        <f t="shared" si="2"/>
        <v/>
      </c>
      <c r="P30" s="12" t="str">
        <f t="shared" si="3"/>
        <v/>
      </c>
      <c r="Q30" s="12" t="str">
        <f t="shared" si="4"/>
        <v/>
      </c>
      <c r="R30" s="9"/>
      <c r="S30" s="31"/>
      <c r="T30" s="8" t="str">
        <f t="shared" si="5"/>
        <v/>
      </c>
      <c r="U30" s="8">
        <f t="shared" si="6"/>
        <v>0</v>
      </c>
      <c r="V30" s="8">
        <f>IF(B30="",0,IF(SUMPRODUCT(--(B$4:B30=B30))&gt;1,1,0))</f>
        <v>0</v>
      </c>
      <c r="W30" s="8">
        <f t="shared" si="7"/>
        <v>0</v>
      </c>
    </row>
    <row r="31" spans="1:23" x14ac:dyDescent="0.25">
      <c r="A31" s="8">
        <v>28</v>
      </c>
      <c r="B31" s="9"/>
      <c r="C31" s="9"/>
      <c r="D31" s="33" t="str">
        <f t="shared" si="0"/>
        <v/>
      </c>
      <c r="E31" s="9"/>
      <c r="F31" s="31"/>
      <c r="G31" s="11"/>
      <c r="H31" s="11"/>
      <c r="I31" s="9"/>
      <c r="J31" s="12" t="str">
        <f t="shared" si="1"/>
        <v/>
      </c>
      <c r="K31" s="9"/>
      <c r="L31" s="31"/>
      <c r="M31" s="9"/>
      <c r="N31" s="9"/>
      <c r="O31" s="12" t="str">
        <f t="shared" si="2"/>
        <v/>
      </c>
      <c r="P31" s="12" t="str">
        <f t="shared" si="3"/>
        <v/>
      </c>
      <c r="Q31" s="12" t="str">
        <f t="shared" si="4"/>
        <v/>
      </c>
      <c r="R31" s="9"/>
      <c r="S31" s="31"/>
      <c r="T31" s="8" t="str">
        <f t="shared" si="5"/>
        <v/>
      </c>
      <c r="U31" s="8">
        <f t="shared" si="6"/>
        <v>0</v>
      </c>
      <c r="V31" s="8">
        <f>IF(B31="",0,IF(SUMPRODUCT(--(B$4:B31=B31))&gt;1,1,0))</f>
        <v>0</v>
      </c>
      <c r="W31" s="8">
        <f t="shared" si="7"/>
        <v>0</v>
      </c>
    </row>
    <row r="32" spans="1:23" x14ac:dyDescent="0.25">
      <c r="A32" s="8">
        <v>29</v>
      </c>
      <c r="B32" s="9"/>
      <c r="C32" s="9"/>
      <c r="D32" s="33" t="str">
        <f t="shared" si="0"/>
        <v/>
      </c>
      <c r="E32" s="9"/>
      <c r="F32" s="31"/>
      <c r="G32" s="11"/>
      <c r="H32" s="11"/>
      <c r="I32" s="9"/>
      <c r="J32" s="12" t="str">
        <f t="shared" si="1"/>
        <v/>
      </c>
      <c r="K32" s="9"/>
      <c r="L32" s="31"/>
      <c r="M32" s="9"/>
      <c r="N32" s="9"/>
      <c r="O32" s="12" t="str">
        <f t="shared" si="2"/>
        <v/>
      </c>
      <c r="P32" s="12" t="str">
        <f t="shared" si="3"/>
        <v/>
      </c>
      <c r="Q32" s="12" t="str">
        <f t="shared" si="4"/>
        <v/>
      </c>
      <c r="R32" s="9"/>
      <c r="S32" s="31"/>
      <c r="T32" s="8" t="str">
        <f t="shared" si="5"/>
        <v/>
      </c>
      <c r="U32" s="8">
        <f t="shared" si="6"/>
        <v>0</v>
      </c>
      <c r="V32" s="8">
        <f>IF(B32="",0,IF(SUMPRODUCT(--(B$4:B32=B32))&gt;1,1,0))</f>
        <v>0</v>
      </c>
      <c r="W32" s="8">
        <f t="shared" si="7"/>
        <v>0</v>
      </c>
    </row>
    <row r="33" spans="1:23" x14ac:dyDescent="0.25">
      <c r="A33" s="8">
        <v>30</v>
      </c>
      <c r="B33" s="9"/>
      <c r="C33" s="9"/>
      <c r="D33" s="33" t="str">
        <f t="shared" si="0"/>
        <v/>
      </c>
      <c r="E33" s="9"/>
      <c r="F33" s="31"/>
      <c r="G33" s="11"/>
      <c r="H33" s="11"/>
      <c r="I33" s="9"/>
      <c r="J33" s="12" t="str">
        <f t="shared" si="1"/>
        <v/>
      </c>
      <c r="K33" s="9"/>
      <c r="L33" s="31"/>
      <c r="M33" s="9"/>
      <c r="N33" s="9"/>
      <c r="O33" s="12" t="str">
        <f t="shared" si="2"/>
        <v/>
      </c>
      <c r="P33" s="12" t="str">
        <f t="shared" si="3"/>
        <v/>
      </c>
      <c r="Q33" s="12" t="str">
        <f t="shared" si="4"/>
        <v/>
      </c>
      <c r="R33" s="9"/>
      <c r="S33" s="31"/>
      <c r="T33" s="8" t="str">
        <f t="shared" si="5"/>
        <v/>
      </c>
      <c r="U33" s="8">
        <f t="shared" si="6"/>
        <v>0</v>
      </c>
      <c r="V33" s="8">
        <f>IF(B33="",0,IF(SUMPRODUCT(--(B$4:B33=B33))&gt;1,1,0))</f>
        <v>0</v>
      </c>
      <c r="W33" s="8">
        <f t="shared" si="7"/>
        <v>0</v>
      </c>
    </row>
    <row r="34" spans="1:23" x14ac:dyDescent="0.25">
      <c r="A34" s="8">
        <v>31</v>
      </c>
      <c r="B34" s="9"/>
      <c r="C34" s="9"/>
      <c r="D34" s="33" t="str">
        <f t="shared" si="0"/>
        <v/>
      </c>
      <c r="E34" s="9"/>
      <c r="F34" s="31"/>
      <c r="G34" s="11"/>
      <c r="H34" s="11"/>
      <c r="I34" s="9"/>
      <c r="J34" s="12" t="str">
        <f t="shared" si="1"/>
        <v/>
      </c>
      <c r="K34" s="9"/>
      <c r="L34" s="31"/>
      <c r="M34" s="9"/>
      <c r="N34" s="9"/>
      <c r="O34" s="12" t="str">
        <f t="shared" si="2"/>
        <v/>
      </c>
      <c r="P34" s="12" t="str">
        <f t="shared" si="3"/>
        <v/>
      </c>
      <c r="Q34" s="12" t="str">
        <f t="shared" si="4"/>
        <v/>
      </c>
      <c r="R34" s="9"/>
      <c r="S34" s="31"/>
      <c r="T34" s="8" t="str">
        <f t="shared" si="5"/>
        <v/>
      </c>
      <c r="U34" s="8">
        <f t="shared" si="6"/>
        <v>0</v>
      </c>
      <c r="V34" s="8">
        <f>IF(B34="",0,IF(SUMPRODUCT(--(B$4:B34=B34))&gt;1,1,0))</f>
        <v>0</v>
      </c>
      <c r="W34" s="8">
        <f t="shared" si="7"/>
        <v>0</v>
      </c>
    </row>
    <row r="35" spans="1:23" x14ac:dyDescent="0.25">
      <c r="A35" s="8">
        <v>32</v>
      </c>
      <c r="B35" s="9"/>
      <c r="C35" s="9"/>
      <c r="D35" s="33" t="str">
        <f t="shared" si="0"/>
        <v/>
      </c>
      <c r="E35" s="9"/>
      <c r="F35" s="31"/>
      <c r="G35" s="11"/>
      <c r="H35" s="11"/>
      <c r="I35" s="9"/>
      <c r="J35" s="12" t="str">
        <f t="shared" si="1"/>
        <v/>
      </c>
      <c r="K35" s="9"/>
      <c r="L35" s="31"/>
      <c r="M35" s="9"/>
      <c r="N35" s="9"/>
      <c r="O35" s="12" t="str">
        <f t="shared" si="2"/>
        <v/>
      </c>
      <c r="P35" s="12" t="str">
        <f t="shared" si="3"/>
        <v/>
      </c>
      <c r="Q35" s="12" t="str">
        <f t="shared" si="4"/>
        <v/>
      </c>
      <c r="R35" s="9"/>
      <c r="S35" s="31"/>
      <c r="T35" s="8" t="str">
        <f t="shared" si="5"/>
        <v/>
      </c>
      <c r="U35" s="8">
        <f t="shared" si="6"/>
        <v>0</v>
      </c>
      <c r="V35" s="8">
        <f>IF(B35="",0,IF(SUMPRODUCT(--(B$4:B35=B35))&gt;1,1,0))</f>
        <v>0</v>
      </c>
      <c r="W35" s="8">
        <f t="shared" si="7"/>
        <v>0</v>
      </c>
    </row>
    <row r="36" spans="1:23" x14ac:dyDescent="0.25">
      <c r="A36" s="8">
        <v>33</v>
      </c>
      <c r="B36" s="9"/>
      <c r="C36" s="9"/>
      <c r="D36" s="33" t="str">
        <f t="shared" si="0"/>
        <v/>
      </c>
      <c r="E36" s="9"/>
      <c r="F36" s="31"/>
      <c r="G36" s="11"/>
      <c r="H36" s="11"/>
      <c r="I36" s="9"/>
      <c r="J36" s="12" t="str">
        <f t="shared" si="1"/>
        <v/>
      </c>
      <c r="K36" s="9"/>
      <c r="L36" s="31"/>
      <c r="M36" s="9"/>
      <c r="N36" s="9"/>
      <c r="O36" s="12" t="str">
        <f t="shared" si="2"/>
        <v/>
      </c>
      <c r="P36" s="12" t="str">
        <f t="shared" si="3"/>
        <v/>
      </c>
      <c r="Q36" s="12" t="str">
        <f t="shared" si="4"/>
        <v/>
      </c>
      <c r="R36" s="9"/>
      <c r="S36" s="31"/>
      <c r="T36" s="8" t="str">
        <f t="shared" si="5"/>
        <v/>
      </c>
      <c r="U36" s="8">
        <f t="shared" si="6"/>
        <v>0</v>
      </c>
      <c r="V36" s="8">
        <f>IF(B36="",0,IF(SUMPRODUCT(--(B$4:B36=B36))&gt;1,1,0))</f>
        <v>0</v>
      </c>
      <c r="W36" s="8">
        <f t="shared" si="7"/>
        <v>0</v>
      </c>
    </row>
    <row r="37" spans="1:23" x14ac:dyDescent="0.25">
      <c r="A37" s="8">
        <v>34</v>
      </c>
      <c r="B37" s="9"/>
      <c r="C37" s="9"/>
      <c r="D37" s="33" t="str">
        <f t="shared" si="0"/>
        <v/>
      </c>
      <c r="E37" s="9"/>
      <c r="F37" s="31"/>
      <c r="G37" s="11"/>
      <c r="H37" s="11"/>
      <c r="I37" s="9"/>
      <c r="J37" s="12" t="str">
        <f t="shared" si="1"/>
        <v/>
      </c>
      <c r="K37" s="9"/>
      <c r="L37" s="31"/>
      <c r="M37" s="9"/>
      <c r="N37" s="9"/>
      <c r="O37" s="12" t="str">
        <f t="shared" si="2"/>
        <v/>
      </c>
      <c r="P37" s="12" t="str">
        <f t="shared" si="3"/>
        <v/>
      </c>
      <c r="Q37" s="12" t="str">
        <f t="shared" si="4"/>
        <v/>
      </c>
      <c r="R37" s="9"/>
      <c r="S37" s="31"/>
      <c r="T37" s="8" t="str">
        <f t="shared" si="5"/>
        <v/>
      </c>
      <c r="U37" s="8">
        <f t="shared" si="6"/>
        <v>0</v>
      </c>
      <c r="V37" s="8">
        <f>IF(B37="",0,IF(SUMPRODUCT(--(B$4:B37=B37))&gt;1,1,0))</f>
        <v>0</v>
      </c>
      <c r="W37" s="8">
        <f t="shared" si="7"/>
        <v>0</v>
      </c>
    </row>
    <row r="38" spans="1:23" x14ac:dyDescent="0.25">
      <c r="A38" s="8">
        <v>35</v>
      </c>
      <c r="B38" s="9"/>
      <c r="C38" s="9"/>
      <c r="D38" s="33" t="str">
        <f t="shared" si="0"/>
        <v/>
      </c>
      <c r="E38" s="9"/>
      <c r="F38" s="31"/>
      <c r="G38" s="11"/>
      <c r="H38" s="11"/>
      <c r="I38" s="9"/>
      <c r="J38" s="12" t="str">
        <f t="shared" si="1"/>
        <v/>
      </c>
      <c r="K38" s="9"/>
      <c r="L38" s="31"/>
      <c r="M38" s="9"/>
      <c r="N38" s="9"/>
      <c r="O38" s="12" t="str">
        <f t="shared" si="2"/>
        <v/>
      </c>
      <c r="P38" s="12" t="str">
        <f t="shared" si="3"/>
        <v/>
      </c>
      <c r="Q38" s="12" t="str">
        <f t="shared" si="4"/>
        <v/>
      </c>
      <c r="R38" s="9"/>
      <c r="S38" s="31"/>
      <c r="T38" s="8" t="str">
        <f t="shared" si="5"/>
        <v/>
      </c>
      <c r="U38" s="8">
        <f t="shared" si="6"/>
        <v>0</v>
      </c>
      <c r="V38" s="8">
        <f>IF(B38="",0,IF(SUMPRODUCT(--(B$4:B38=B38))&gt;1,1,0))</f>
        <v>0</v>
      </c>
      <c r="W38" s="8">
        <f t="shared" si="7"/>
        <v>0</v>
      </c>
    </row>
    <row r="39" spans="1:23" x14ac:dyDescent="0.25">
      <c r="A39" s="8">
        <v>36</v>
      </c>
      <c r="B39" s="9"/>
      <c r="C39" s="9"/>
      <c r="D39" s="33" t="str">
        <f t="shared" si="0"/>
        <v/>
      </c>
      <c r="E39" s="9"/>
      <c r="F39" s="31"/>
      <c r="G39" s="11"/>
      <c r="H39" s="11"/>
      <c r="I39" s="9"/>
      <c r="J39" s="12" t="str">
        <f t="shared" si="1"/>
        <v/>
      </c>
      <c r="K39" s="9"/>
      <c r="L39" s="31"/>
      <c r="M39" s="9"/>
      <c r="N39" s="9"/>
      <c r="O39" s="12" t="str">
        <f t="shared" si="2"/>
        <v/>
      </c>
      <c r="P39" s="12" t="str">
        <f t="shared" si="3"/>
        <v/>
      </c>
      <c r="Q39" s="12" t="str">
        <f t="shared" si="4"/>
        <v/>
      </c>
      <c r="R39" s="9"/>
      <c r="S39" s="31"/>
      <c r="T39" s="8" t="str">
        <f t="shared" si="5"/>
        <v/>
      </c>
      <c r="U39" s="8">
        <f t="shared" si="6"/>
        <v>0</v>
      </c>
      <c r="V39" s="8">
        <f>IF(B39="",0,IF(SUMPRODUCT(--(B$4:B39=B39))&gt;1,1,0))</f>
        <v>0</v>
      </c>
      <c r="W39" s="8">
        <f t="shared" si="7"/>
        <v>0</v>
      </c>
    </row>
    <row r="40" spans="1:23" x14ac:dyDescent="0.25">
      <c r="A40" s="8">
        <v>37</v>
      </c>
      <c r="B40" s="9"/>
      <c r="C40" s="9"/>
      <c r="D40" s="33" t="str">
        <f t="shared" si="0"/>
        <v/>
      </c>
      <c r="E40" s="9"/>
      <c r="F40" s="31"/>
      <c r="G40" s="11"/>
      <c r="H40" s="11"/>
      <c r="I40" s="9"/>
      <c r="J40" s="12" t="str">
        <f t="shared" si="1"/>
        <v/>
      </c>
      <c r="K40" s="9"/>
      <c r="L40" s="31"/>
      <c r="M40" s="9"/>
      <c r="N40" s="9"/>
      <c r="O40" s="12" t="str">
        <f t="shared" si="2"/>
        <v/>
      </c>
      <c r="P40" s="12" t="str">
        <f t="shared" si="3"/>
        <v/>
      </c>
      <c r="Q40" s="12" t="str">
        <f t="shared" si="4"/>
        <v/>
      </c>
      <c r="R40" s="9"/>
      <c r="S40" s="31"/>
      <c r="T40" s="8" t="str">
        <f t="shared" si="5"/>
        <v/>
      </c>
      <c r="U40" s="8">
        <f t="shared" si="6"/>
        <v>0</v>
      </c>
      <c r="V40" s="8">
        <f>IF(B40="",0,IF(SUMPRODUCT(--(B$4:B40=B40))&gt;1,1,0))</f>
        <v>0</v>
      </c>
      <c r="W40" s="8">
        <f t="shared" si="7"/>
        <v>0</v>
      </c>
    </row>
    <row r="41" spans="1:23" x14ac:dyDescent="0.25">
      <c r="A41" s="8">
        <v>38</v>
      </c>
      <c r="B41" s="9"/>
      <c r="C41" s="9"/>
      <c r="D41" s="33" t="str">
        <f t="shared" si="0"/>
        <v/>
      </c>
      <c r="E41" s="9"/>
      <c r="F41" s="31"/>
      <c r="G41" s="11"/>
      <c r="H41" s="11"/>
      <c r="I41" s="9"/>
      <c r="J41" s="12" t="str">
        <f t="shared" si="1"/>
        <v/>
      </c>
      <c r="K41" s="9"/>
      <c r="L41" s="31"/>
      <c r="M41" s="9"/>
      <c r="N41" s="9"/>
      <c r="O41" s="12" t="str">
        <f t="shared" si="2"/>
        <v/>
      </c>
      <c r="P41" s="12" t="str">
        <f t="shared" si="3"/>
        <v/>
      </c>
      <c r="Q41" s="12" t="str">
        <f t="shared" si="4"/>
        <v/>
      </c>
      <c r="R41" s="9"/>
      <c r="S41" s="31"/>
      <c r="T41" s="8" t="str">
        <f t="shared" si="5"/>
        <v/>
      </c>
      <c r="U41" s="8">
        <f t="shared" si="6"/>
        <v>0</v>
      </c>
      <c r="V41" s="8">
        <f>IF(B41="",0,IF(SUMPRODUCT(--(B$4:B41=B41))&gt;1,1,0))</f>
        <v>0</v>
      </c>
      <c r="W41" s="8">
        <f t="shared" si="7"/>
        <v>0</v>
      </c>
    </row>
    <row r="42" spans="1:23" x14ac:dyDescent="0.25">
      <c r="A42" s="8">
        <v>39</v>
      </c>
      <c r="B42" s="9"/>
      <c r="C42" s="9"/>
      <c r="D42" s="33" t="str">
        <f t="shared" si="0"/>
        <v/>
      </c>
      <c r="E42" s="9"/>
      <c r="F42" s="31"/>
      <c r="G42" s="11"/>
      <c r="H42" s="11"/>
      <c r="I42" s="9"/>
      <c r="J42" s="12" t="str">
        <f t="shared" si="1"/>
        <v/>
      </c>
      <c r="K42" s="9"/>
      <c r="L42" s="31"/>
      <c r="M42" s="9"/>
      <c r="N42" s="9"/>
      <c r="O42" s="12" t="str">
        <f t="shared" si="2"/>
        <v/>
      </c>
      <c r="P42" s="12" t="str">
        <f t="shared" si="3"/>
        <v/>
      </c>
      <c r="Q42" s="12" t="str">
        <f t="shared" si="4"/>
        <v/>
      </c>
      <c r="R42" s="9"/>
      <c r="S42" s="31"/>
      <c r="T42" s="8" t="str">
        <f t="shared" si="5"/>
        <v/>
      </c>
      <c r="U42" s="8">
        <f t="shared" si="6"/>
        <v>0</v>
      </c>
      <c r="V42" s="8">
        <f>IF(B42="",0,IF(SUMPRODUCT(--(B$4:B42=B42))&gt;1,1,0))</f>
        <v>0</v>
      </c>
      <c r="W42" s="8">
        <f t="shared" si="7"/>
        <v>0</v>
      </c>
    </row>
    <row r="43" spans="1:23" x14ac:dyDescent="0.25">
      <c r="A43" s="8">
        <v>40</v>
      </c>
      <c r="B43" s="9"/>
      <c r="C43" s="9"/>
      <c r="D43" s="33" t="str">
        <f t="shared" si="0"/>
        <v/>
      </c>
      <c r="E43" s="9"/>
      <c r="F43" s="31"/>
      <c r="G43" s="11"/>
      <c r="H43" s="11"/>
      <c r="I43" s="9"/>
      <c r="J43" s="12" t="str">
        <f t="shared" si="1"/>
        <v/>
      </c>
      <c r="K43" s="9"/>
      <c r="L43" s="31"/>
      <c r="M43" s="9"/>
      <c r="N43" s="9"/>
      <c r="O43" s="12" t="str">
        <f t="shared" si="2"/>
        <v/>
      </c>
      <c r="P43" s="12" t="str">
        <f t="shared" si="3"/>
        <v/>
      </c>
      <c r="Q43" s="12" t="str">
        <f t="shared" si="4"/>
        <v/>
      </c>
      <c r="R43" s="9"/>
      <c r="S43" s="31"/>
      <c r="T43" s="8" t="str">
        <f t="shared" si="5"/>
        <v/>
      </c>
      <c r="U43" s="8">
        <f t="shared" si="6"/>
        <v>0</v>
      </c>
      <c r="V43" s="8">
        <f>IF(B43="",0,IF(SUMPRODUCT(--(B$4:B43=B43))&gt;1,1,0))</f>
        <v>0</v>
      </c>
      <c r="W43" s="8">
        <f t="shared" si="7"/>
        <v>0</v>
      </c>
    </row>
    <row r="44" spans="1:23" x14ac:dyDescent="0.25">
      <c r="A44" s="8">
        <v>41</v>
      </c>
      <c r="B44" s="9"/>
      <c r="C44" s="9"/>
      <c r="D44" s="33" t="str">
        <f t="shared" si="0"/>
        <v/>
      </c>
      <c r="E44" s="9"/>
      <c r="F44" s="31"/>
      <c r="G44" s="11"/>
      <c r="H44" s="11"/>
      <c r="I44" s="9"/>
      <c r="J44" s="12" t="str">
        <f t="shared" si="1"/>
        <v/>
      </c>
      <c r="K44" s="9"/>
      <c r="L44" s="31"/>
      <c r="M44" s="9"/>
      <c r="N44" s="9"/>
      <c r="O44" s="12" t="str">
        <f t="shared" si="2"/>
        <v/>
      </c>
      <c r="P44" s="12" t="str">
        <f t="shared" si="3"/>
        <v/>
      </c>
      <c r="Q44" s="12" t="str">
        <f t="shared" si="4"/>
        <v/>
      </c>
      <c r="R44" s="9"/>
      <c r="S44" s="31"/>
      <c r="T44" s="8" t="str">
        <f t="shared" si="5"/>
        <v/>
      </c>
      <c r="U44" s="8">
        <f t="shared" si="6"/>
        <v>0</v>
      </c>
      <c r="V44" s="8">
        <f>IF(B44="",0,IF(SUMPRODUCT(--(B$4:B44=B44))&gt;1,1,0))</f>
        <v>0</v>
      </c>
      <c r="W44" s="8">
        <f t="shared" si="7"/>
        <v>0</v>
      </c>
    </row>
    <row r="45" spans="1:23" x14ac:dyDescent="0.25">
      <c r="A45" s="8">
        <v>42</v>
      </c>
      <c r="B45" s="9"/>
      <c r="C45" s="9"/>
      <c r="D45" s="33" t="str">
        <f t="shared" si="0"/>
        <v/>
      </c>
      <c r="E45" s="9"/>
      <c r="F45" s="31"/>
      <c r="G45" s="11"/>
      <c r="H45" s="11"/>
      <c r="I45" s="9"/>
      <c r="J45" s="12" t="str">
        <f t="shared" si="1"/>
        <v/>
      </c>
      <c r="K45" s="9"/>
      <c r="L45" s="31"/>
      <c r="M45" s="9"/>
      <c r="N45" s="9"/>
      <c r="O45" s="12" t="str">
        <f t="shared" si="2"/>
        <v/>
      </c>
      <c r="P45" s="12" t="str">
        <f t="shared" si="3"/>
        <v/>
      </c>
      <c r="Q45" s="12" t="str">
        <f t="shared" si="4"/>
        <v/>
      </c>
      <c r="R45" s="9"/>
      <c r="S45" s="31"/>
      <c r="T45" s="8" t="str">
        <f t="shared" si="5"/>
        <v/>
      </c>
      <c r="U45" s="8">
        <f t="shared" si="6"/>
        <v>0</v>
      </c>
      <c r="V45" s="8">
        <f>IF(B45="",0,IF(SUMPRODUCT(--(B$4:B45=B45))&gt;1,1,0))</f>
        <v>0</v>
      </c>
      <c r="W45" s="8">
        <f t="shared" si="7"/>
        <v>0</v>
      </c>
    </row>
    <row r="46" spans="1:23" x14ac:dyDescent="0.25">
      <c r="A46" s="8">
        <v>43</v>
      </c>
      <c r="B46" s="9"/>
      <c r="C46" s="9"/>
      <c r="D46" s="33" t="str">
        <f t="shared" si="0"/>
        <v/>
      </c>
      <c r="E46" s="9"/>
      <c r="F46" s="31"/>
      <c r="G46" s="11"/>
      <c r="H46" s="11"/>
      <c r="I46" s="9"/>
      <c r="J46" s="12" t="str">
        <f t="shared" si="1"/>
        <v/>
      </c>
      <c r="K46" s="9"/>
      <c r="L46" s="31"/>
      <c r="M46" s="9"/>
      <c r="N46" s="9"/>
      <c r="O46" s="12" t="str">
        <f t="shared" si="2"/>
        <v/>
      </c>
      <c r="P46" s="12" t="str">
        <f t="shared" si="3"/>
        <v/>
      </c>
      <c r="Q46" s="12" t="str">
        <f t="shared" si="4"/>
        <v/>
      </c>
      <c r="R46" s="9"/>
      <c r="S46" s="31"/>
      <c r="T46" s="8" t="str">
        <f t="shared" si="5"/>
        <v/>
      </c>
      <c r="U46" s="8">
        <f t="shared" si="6"/>
        <v>0</v>
      </c>
      <c r="V46" s="8">
        <f>IF(B46="",0,IF(SUMPRODUCT(--(B$4:B46=B46))&gt;1,1,0))</f>
        <v>0</v>
      </c>
      <c r="W46" s="8">
        <f t="shared" si="7"/>
        <v>0</v>
      </c>
    </row>
    <row r="47" spans="1:23" x14ac:dyDescent="0.25">
      <c r="A47" s="8">
        <v>44</v>
      </c>
      <c r="B47" s="9"/>
      <c r="C47" s="9"/>
      <c r="D47" s="33" t="str">
        <f t="shared" si="0"/>
        <v/>
      </c>
      <c r="E47" s="9"/>
      <c r="F47" s="31"/>
      <c r="G47" s="11"/>
      <c r="H47" s="11"/>
      <c r="I47" s="9"/>
      <c r="J47" s="12" t="str">
        <f t="shared" si="1"/>
        <v/>
      </c>
      <c r="K47" s="9"/>
      <c r="L47" s="31"/>
      <c r="M47" s="9"/>
      <c r="N47" s="9"/>
      <c r="O47" s="12" t="str">
        <f t="shared" si="2"/>
        <v/>
      </c>
      <c r="P47" s="12" t="str">
        <f t="shared" si="3"/>
        <v/>
      </c>
      <c r="Q47" s="12" t="str">
        <f t="shared" si="4"/>
        <v/>
      </c>
      <c r="R47" s="9"/>
      <c r="S47" s="31"/>
      <c r="T47" s="8" t="str">
        <f t="shared" si="5"/>
        <v/>
      </c>
      <c r="U47" s="8">
        <f t="shared" si="6"/>
        <v>0</v>
      </c>
      <c r="V47" s="8">
        <f>IF(B47="",0,IF(SUMPRODUCT(--(B$4:B47=B47))&gt;1,1,0))</f>
        <v>0</v>
      </c>
      <c r="W47" s="8">
        <f t="shared" si="7"/>
        <v>0</v>
      </c>
    </row>
    <row r="48" spans="1:23" x14ac:dyDescent="0.25">
      <c r="A48" s="8">
        <v>45</v>
      </c>
      <c r="B48" s="9"/>
      <c r="C48" s="9"/>
      <c r="D48" s="33" t="str">
        <f t="shared" si="0"/>
        <v/>
      </c>
      <c r="E48" s="9"/>
      <c r="F48" s="31"/>
      <c r="G48" s="11"/>
      <c r="H48" s="11"/>
      <c r="I48" s="9"/>
      <c r="J48" s="12" t="str">
        <f t="shared" si="1"/>
        <v/>
      </c>
      <c r="K48" s="9"/>
      <c r="L48" s="31"/>
      <c r="M48" s="9"/>
      <c r="N48" s="9"/>
      <c r="O48" s="12" t="str">
        <f t="shared" si="2"/>
        <v/>
      </c>
      <c r="P48" s="12" t="str">
        <f t="shared" si="3"/>
        <v/>
      </c>
      <c r="Q48" s="12" t="str">
        <f t="shared" si="4"/>
        <v/>
      </c>
      <c r="R48" s="9"/>
      <c r="S48" s="31"/>
      <c r="T48" s="8" t="str">
        <f t="shared" si="5"/>
        <v/>
      </c>
      <c r="U48" s="8">
        <f t="shared" si="6"/>
        <v>0</v>
      </c>
      <c r="V48" s="8">
        <f>IF(B48="",0,IF(SUMPRODUCT(--(B$4:B48=B48))&gt;1,1,0))</f>
        <v>0</v>
      </c>
      <c r="W48" s="8">
        <f t="shared" si="7"/>
        <v>0</v>
      </c>
    </row>
    <row r="49" spans="1:23" x14ac:dyDescent="0.25">
      <c r="A49" s="8">
        <v>46</v>
      </c>
      <c r="B49" s="9"/>
      <c r="C49" s="9"/>
      <c r="D49" s="33" t="str">
        <f t="shared" si="0"/>
        <v/>
      </c>
      <c r="E49" s="9"/>
      <c r="F49" s="31"/>
      <c r="G49" s="11"/>
      <c r="H49" s="11"/>
      <c r="I49" s="9"/>
      <c r="J49" s="12" t="str">
        <f t="shared" si="1"/>
        <v/>
      </c>
      <c r="K49" s="9"/>
      <c r="L49" s="31"/>
      <c r="M49" s="9"/>
      <c r="N49" s="9"/>
      <c r="O49" s="12" t="str">
        <f t="shared" si="2"/>
        <v/>
      </c>
      <c r="P49" s="12" t="str">
        <f t="shared" si="3"/>
        <v/>
      </c>
      <c r="Q49" s="12" t="str">
        <f t="shared" si="4"/>
        <v/>
      </c>
      <c r="R49" s="9"/>
      <c r="S49" s="31"/>
      <c r="T49" s="8" t="str">
        <f t="shared" si="5"/>
        <v/>
      </c>
      <c r="U49" s="8">
        <f t="shared" si="6"/>
        <v>0</v>
      </c>
      <c r="V49" s="8">
        <f>IF(B49="",0,IF(SUMPRODUCT(--(B$4:B49=B49))&gt;1,1,0))</f>
        <v>0</v>
      </c>
      <c r="W49" s="8">
        <f t="shared" si="7"/>
        <v>0</v>
      </c>
    </row>
    <row r="50" spans="1:23" x14ac:dyDescent="0.25">
      <c r="A50" s="8">
        <v>47</v>
      </c>
      <c r="B50" s="9"/>
      <c r="C50" s="9"/>
      <c r="D50" s="33" t="str">
        <f t="shared" si="0"/>
        <v/>
      </c>
      <c r="E50" s="9"/>
      <c r="F50" s="31"/>
      <c r="G50" s="11"/>
      <c r="H50" s="11"/>
      <c r="I50" s="9"/>
      <c r="J50" s="12" t="str">
        <f t="shared" si="1"/>
        <v/>
      </c>
      <c r="K50" s="9"/>
      <c r="L50" s="31"/>
      <c r="M50" s="9"/>
      <c r="N50" s="9"/>
      <c r="O50" s="12" t="str">
        <f t="shared" si="2"/>
        <v/>
      </c>
      <c r="P50" s="12" t="str">
        <f t="shared" si="3"/>
        <v/>
      </c>
      <c r="Q50" s="12" t="str">
        <f t="shared" si="4"/>
        <v/>
      </c>
      <c r="R50" s="9"/>
      <c r="S50" s="31"/>
      <c r="T50" s="8" t="str">
        <f t="shared" si="5"/>
        <v/>
      </c>
      <c r="U50" s="8">
        <f t="shared" si="6"/>
        <v>0</v>
      </c>
      <c r="V50" s="8">
        <f>IF(B50="",0,IF(SUMPRODUCT(--(B$4:B50=B50))&gt;1,1,0))</f>
        <v>0</v>
      </c>
      <c r="W50" s="8">
        <f t="shared" si="7"/>
        <v>0</v>
      </c>
    </row>
    <row r="51" spans="1:23" x14ac:dyDescent="0.25">
      <c r="A51" s="8">
        <v>48</v>
      </c>
      <c r="B51" s="9"/>
      <c r="C51" s="9"/>
      <c r="D51" s="33" t="str">
        <f t="shared" si="0"/>
        <v/>
      </c>
      <c r="E51" s="9"/>
      <c r="F51" s="31"/>
      <c r="G51" s="11"/>
      <c r="H51" s="11"/>
      <c r="I51" s="9"/>
      <c r="J51" s="12" t="str">
        <f t="shared" si="1"/>
        <v/>
      </c>
      <c r="K51" s="9"/>
      <c r="L51" s="31"/>
      <c r="M51" s="9"/>
      <c r="N51" s="9"/>
      <c r="O51" s="12" t="str">
        <f t="shared" si="2"/>
        <v/>
      </c>
      <c r="P51" s="12" t="str">
        <f t="shared" si="3"/>
        <v/>
      </c>
      <c r="Q51" s="12" t="str">
        <f t="shared" si="4"/>
        <v/>
      </c>
      <c r="R51" s="9"/>
      <c r="S51" s="31"/>
      <c r="T51" s="8" t="str">
        <f t="shared" si="5"/>
        <v/>
      </c>
      <c r="U51" s="8">
        <f t="shared" si="6"/>
        <v>0</v>
      </c>
      <c r="V51" s="8">
        <f>IF(B51="",0,IF(SUMPRODUCT(--(B$4:B51=B51))&gt;1,1,0))</f>
        <v>0</v>
      </c>
      <c r="W51" s="8">
        <f t="shared" si="7"/>
        <v>0</v>
      </c>
    </row>
    <row r="52" spans="1:23" x14ac:dyDescent="0.25">
      <c r="A52" s="8">
        <v>49</v>
      </c>
      <c r="B52" s="9"/>
      <c r="C52" s="9"/>
      <c r="D52" s="33" t="str">
        <f t="shared" si="0"/>
        <v/>
      </c>
      <c r="E52" s="9"/>
      <c r="F52" s="31"/>
      <c r="G52" s="11"/>
      <c r="H52" s="11"/>
      <c r="I52" s="9"/>
      <c r="J52" s="12" t="str">
        <f t="shared" si="1"/>
        <v/>
      </c>
      <c r="K52" s="9"/>
      <c r="L52" s="31"/>
      <c r="M52" s="9"/>
      <c r="N52" s="9"/>
      <c r="O52" s="12" t="str">
        <f t="shared" si="2"/>
        <v/>
      </c>
      <c r="P52" s="12" t="str">
        <f t="shared" si="3"/>
        <v/>
      </c>
      <c r="Q52" s="12" t="str">
        <f t="shared" si="4"/>
        <v/>
      </c>
      <c r="R52" s="9"/>
      <c r="S52" s="31"/>
      <c r="T52" s="8" t="str">
        <f t="shared" si="5"/>
        <v/>
      </c>
      <c r="U52" s="8">
        <f t="shared" si="6"/>
        <v>0</v>
      </c>
      <c r="V52" s="8">
        <f>IF(B52="",0,IF(SUMPRODUCT(--(B$4:B52=B52))&gt;1,1,0))</f>
        <v>0</v>
      </c>
      <c r="W52" s="8">
        <f t="shared" si="7"/>
        <v>0</v>
      </c>
    </row>
    <row r="53" spans="1:23" x14ac:dyDescent="0.25">
      <c r="A53" s="8">
        <v>50</v>
      </c>
      <c r="B53" s="9"/>
      <c r="C53" s="9"/>
      <c r="D53" s="33" t="str">
        <f t="shared" si="0"/>
        <v/>
      </c>
      <c r="E53" s="9"/>
      <c r="F53" s="31"/>
      <c r="G53" s="11"/>
      <c r="H53" s="11"/>
      <c r="I53" s="9"/>
      <c r="J53" s="12" t="str">
        <f t="shared" si="1"/>
        <v/>
      </c>
      <c r="K53" s="9"/>
      <c r="L53" s="31"/>
      <c r="M53" s="9"/>
      <c r="N53" s="9"/>
      <c r="O53" s="12" t="str">
        <f t="shared" si="2"/>
        <v/>
      </c>
      <c r="P53" s="12" t="str">
        <f t="shared" si="3"/>
        <v/>
      </c>
      <c r="Q53" s="12" t="str">
        <f t="shared" si="4"/>
        <v/>
      </c>
      <c r="R53" s="9"/>
      <c r="S53" s="31"/>
      <c r="T53" s="8" t="str">
        <f t="shared" si="5"/>
        <v/>
      </c>
      <c r="U53" s="8">
        <f t="shared" si="6"/>
        <v>0</v>
      </c>
      <c r="V53" s="8">
        <f>IF(B53="",0,IF(SUMPRODUCT(--(B$4:B53=B53))&gt;1,1,0))</f>
        <v>0</v>
      </c>
      <c r="W53" s="8">
        <f t="shared" si="7"/>
        <v>0</v>
      </c>
    </row>
    <row r="54" spans="1:23" x14ac:dyDescent="0.25">
      <c r="A54" s="8">
        <v>51</v>
      </c>
      <c r="B54" s="9"/>
      <c r="C54" s="9"/>
      <c r="D54" s="33" t="str">
        <f t="shared" si="0"/>
        <v/>
      </c>
      <c r="E54" s="9"/>
      <c r="F54" s="31"/>
      <c r="G54" s="11"/>
      <c r="H54" s="11"/>
      <c r="I54" s="9"/>
      <c r="J54" s="12" t="str">
        <f t="shared" si="1"/>
        <v/>
      </c>
      <c r="K54" s="9"/>
      <c r="L54" s="31"/>
      <c r="M54" s="9"/>
      <c r="N54" s="9"/>
      <c r="O54" s="12" t="str">
        <f t="shared" si="2"/>
        <v/>
      </c>
      <c r="P54" s="12" t="str">
        <f t="shared" si="3"/>
        <v/>
      </c>
      <c r="Q54" s="12" t="str">
        <f t="shared" si="4"/>
        <v/>
      </c>
      <c r="R54" s="9"/>
      <c r="S54" s="31"/>
      <c r="T54" s="8" t="str">
        <f t="shared" si="5"/>
        <v/>
      </c>
      <c r="U54" s="8">
        <f t="shared" si="6"/>
        <v>0</v>
      </c>
      <c r="V54" s="8">
        <f>IF(B54="",0,IF(SUMPRODUCT(--(B$4:B54=B54))&gt;1,1,0))</f>
        <v>0</v>
      </c>
      <c r="W54" s="8">
        <f t="shared" si="7"/>
        <v>0</v>
      </c>
    </row>
    <row r="55" spans="1:23" x14ac:dyDescent="0.25">
      <c r="A55" s="8">
        <v>52</v>
      </c>
      <c r="B55" s="9"/>
      <c r="C55" s="9"/>
      <c r="D55" s="33" t="str">
        <f t="shared" si="0"/>
        <v/>
      </c>
      <c r="E55" s="9"/>
      <c r="F55" s="31"/>
      <c r="G55" s="11"/>
      <c r="H55" s="11"/>
      <c r="I55" s="9"/>
      <c r="J55" s="12" t="str">
        <f t="shared" si="1"/>
        <v/>
      </c>
      <c r="K55" s="9"/>
      <c r="L55" s="31"/>
      <c r="M55" s="9"/>
      <c r="N55" s="9"/>
      <c r="O55" s="12" t="str">
        <f t="shared" si="2"/>
        <v/>
      </c>
      <c r="P55" s="12" t="str">
        <f t="shared" si="3"/>
        <v/>
      </c>
      <c r="Q55" s="12" t="str">
        <f t="shared" si="4"/>
        <v/>
      </c>
      <c r="R55" s="9"/>
      <c r="S55" s="31"/>
      <c r="T55" s="8" t="str">
        <f t="shared" si="5"/>
        <v/>
      </c>
      <c r="U55" s="8">
        <f t="shared" si="6"/>
        <v>0</v>
      </c>
      <c r="V55" s="8">
        <f>IF(B55="",0,IF(SUMPRODUCT(--(B$4:B55=B55))&gt;1,1,0))</f>
        <v>0</v>
      </c>
      <c r="W55" s="8">
        <f t="shared" si="7"/>
        <v>0</v>
      </c>
    </row>
    <row r="56" spans="1:23" x14ac:dyDescent="0.25">
      <c r="A56" s="8">
        <v>53</v>
      </c>
      <c r="B56" s="9"/>
      <c r="C56" s="9"/>
      <c r="D56" s="33" t="str">
        <f t="shared" si="0"/>
        <v/>
      </c>
      <c r="E56" s="9"/>
      <c r="F56" s="31"/>
      <c r="G56" s="11"/>
      <c r="H56" s="11"/>
      <c r="I56" s="9"/>
      <c r="J56" s="12" t="str">
        <f t="shared" si="1"/>
        <v/>
      </c>
      <c r="K56" s="9"/>
      <c r="L56" s="31"/>
      <c r="M56" s="9"/>
      <c r="N56" s="9"/>
      <c r="O56" s="12" t="str">
        <f t="shared" si="2"/>
        <v/>
      </c>
      <c r="P56" s="12" t="str">
        <f t="shared" si="3"/>
        <v/>
      </c>
      <c r="Q56" s="12" t="str">
        <f t="shared" si="4"/>
        <v/>
      </c>
      <c r="R56" s="9"/>
      <c r="S56" s="31"/>
      <c r="T56" s="8" t="str">
        <f t="shared" si="5"/>
        <v/>
      </c>
      <c r="U56" s="8">
        <f t="shared" si="6"/>
        <v>0</v>
      </c>
      <c r="V56" s="8">
        <f>IF(B56="",0,IF(SUMPRODUCT(--(B$4:B56=B56))&gt;1,1,0))</f>
        <v>0</v>
      </c>
      <c r="W56" s="8">
        <f t="shared" si="7"/>
        <v>0</v>
      </c>
    </row>
    <row r="57" spans="1:23" x14ac:dyDescent="0.25">
      <c r="A57" s="8">
        <v>54</v>
      </c>
      <c r="B57" s="9"/>
      <c r="C57" s="9"/>
      <c r="D57" s="33" t="str">
        <f t="shared" si="0"/>
        <v/>
      </c>
      <c r="E57" s="9"/>
      <c r="F57" s="31"/>
      <c r="G57" s="11"/>
      <c r="H57" s="11"/>
      <c r="I57" s="9"/>
      <c r="J57" s="12" t="str">
        <f t="shared" si="1"/>
        <v/>
      </c>
      <c r="K57" s="9"/>
      <c r="L57" s="31"/>
      <c r="M57" s="9"/>
      <c r="N57" s="9"/>
      <c r="O57" s="12" t="str">
        <f t="shared" si="2"/>
        <v/>
      </c>
      <c r="P57" s="12" t="str">
        <f t="shared" si="3"/>
        <v/>
      </c>
      <c r="Q57" s="12" t="str">
        <f t="shared" si="4"/>
        <v/>
      </c>
      <c r="R57" s="9"/>
      <c r="S57" s="31"/>
      <c r="T57" s="8" t="str">
        <f t="shared" si="5"/>
        <v/>
      </c>
      <c r="U57" s="8">
        <f t="shared" si="6"/>
        <v>0</v>
      </c>
      <c r="V57" s="8">
        <f>IF(B57="",0,IF(SUMPRODUCT(--(B$4:B57=B57))&gt;1,1,0))</f>
        <v>0</v>
      </c>
      <c r="W57" s="8">
        <f t="shared" si="7"/>
        <v>0</v>
      </c>
    </row>
    <row r="58" spans="1:23" x14ac:dyDescent="0.25">
      <c r="A58" s="8">
        <v>55</v>
      </c>
      <c r="B58" s="9"/>
      <c r="C58" s="9"/>
      <c r="D58" s="33" t="str">
        <f t="shared" si="0"/>
        <v/>
      </c>
      <c r="E58" s="9"/>
      <c r="F58" s="31"/>
      <c r="G58" s="11"/>
      <c r="H58" s="11"/>
      <c r="I58" s="9"/>
      <c r="J58" s="12" t="str">
        <f t="shared" si="1"/>
        <v/>
      </c>
      <c r="K58" s="9"/>
      <c r="L58" s="31"/>
      <c r="M58" s="9"/>
      <c r="N58" s="9"/>
      <c r="O58" s="12" t="str">
        <f t="shared" si="2"/>
        <v/>
      </c>
      <c r="P58" s="12" t="str">
        <f t="shared" si="3"/>
        <v/>
      </c>
      <c r="Q58" s="12" t="str">
        <f t="shared" si="4"/>
        <v/>
      </c>
      <c r="R58" s="9"/>
      <c r="S58" s="31"/>
      <c r="T58" s="8" t="str">
        <f t="shared" si="5"/>
        <v/>
      </c>
      <c r="U58" s="8">
        <f t="shared" si="6"/>
        <v>0</v>
      </c>
      <c r="V58" s="8">
        <f>IF(B58="",0,IF(SUMPRODUCT(--(B$4:B58=B58))&gt;1,1,0))</f>
        <v>0</v>
      </c>
      <c r="W58" s="8">
        <f t="shared" si="7"/>
        <v>0</v>
      </c>
    </row>
    <row r="59" spans="1:23" x14ac:dyDescent="0.25">
      <c r="A59" s="8">
        <v>56</v>
      </c>
      <c r="B59" s="9"/>
      <c r="C59" s="9"/>
      <c r="D59" s="33" t="str">
        <f t="shared" si="0"/>
        <v/>
      </c>
      <c r="E59" s="9"/>
      <c r="F59" s="31"/>
      <c r="G59" s="11"/>
      <c r="H59" s="11"/>
      <c r="I59" s="9"/>
      <c r="J59" s="12" t="str">
        <f t="shared" si="1"/>
        <v/>
      </c>
      <c r="K59" s="9"/>
      <c r="L59" s="31"/>
      <c r="M59" s="9"/>
      <c r="N59" s="9"/>
      <c r="O59" s="12" t="str">
        <f t="shared" si="2"/>
        <v/>
      </c>
      <c r="P59" s="12" t="str">
        <f t="shared" si="3"/>
        <v/>
      </c>
      <c r="Q59" s="12" t="str">
        <f t="shared" si="4"/>
        <v/>
      </c>
      <c r="R59" s="9"/>
      <c r="S59" s="31"/>
      <c r="T59" s="8" t="str">
        <f t="shared" si="5"/>
        <v/>
      </c>
      <c r="U59" s="8">
        <f t="shared" si="6"/>
        <v>0</v>
      </c>
      <c r="V59" s="8">
        <f>IF(B59="",0,IF(SUMPRODUCT(--(B$4:B59=B59))&gt;1,1,0))</f>
        <v>0</v>
      </c>
      <c r="W59" s="8">
        <f t="shared" si="7"/>
        <v>0</v>
      </c>
    </row>
    <row r="60" spans="1:23" x14ac:dyDescent="0.25">
      <c r="A60" s="8">
        <v>57</v>
      </c>
      <c r="B60" s="9"/>
      <c r="C60" s="9"/>
      <c r="D60" s="33" t="str">
        <f t="shared" si="0"/>
        <v/>
      </c>
      <c r="E60" s="9"/>
      <c r="F60" s="31"/>
      <c r="G60" s="11"/>
      <c r="H60" s="11"/>
      <c r="I60" s="9"/>
      <c r="J60" s="12" t="str">
        <f t="shared" si="1"/>
        <v/>
      </c>
      <c r="K60" s="9"/>
      <c r="L60" s="31"/>
      <c r="M60" s="9"/>
      <c r="N60" s="9"/>
      <c r="O60" s="12" t="str">
        <f t="shared" si="2"/>
        <v/>
      </c>
      <c r="P60" s="12" t="str">
        <f t="shared" si="3"/>
        <v/>
      </c>
      <c r="Q60" s="12" t="str">
        <f t="shared" si="4"/>
        <v/>
      </c>
      <c r="R60" s="9"/>
      <c r="S60" s="31"/>
      <c r="T60" s="8" t="str">
        <f t="shared" si="5"/>
        <v/>
      </c>
      <c r="U60" s="8">
        <f t="shared" si="6"/>
        <v>0</v>
      </c>
      <c r="V60" s="8">
        <f>IF(B60="",0,IF(SUMPRODUCT(--(B$4:B60=B60))&gt;1,1,0))</f>
        <v>0</v>
      </c>
      <c r="W60" s="8">
        <f t="shared" si="7"/>
        <v>0</v>
      </c>
    </row>
    <row r="61" spans="1:23" x14ac:dyDescent="0.25">
      <c r="A61" s="8">
        <v>58</v>
      </c>
      <c r="B61" s="9"/>
      <c r="C61" s="9"/>
      <c r="D61" s="33" t="str">
        <f t="shared" si="0"/>
        <v/>
      </c>
      <c r="E61" s="9"/>
      <c r="F61" s="31"/>
      <c r="G61" s="11"/>
      <c r="H61" s="11"/>
      <c r="I61" s="9"/>
      <c r="J61" s="12" t="str">
        <f t="shared" si="1"/>
        <v/>
      </c>
      <c r="K61" s="9"/>
      <c r="L61" s="31"/>
      <c r="M61" s="9"/>
      <c r="N61" s="9"/>
      <c r="O61" s="12" t="str">
        <f t="shared" si="2"/>
        <v/>
      </c>
      <c r="P61" s="12" t="str">
        <f t="shared" si="3"/>
        <v/>
      </c>
      <c r="Q61" s="12" t="str">
        <f t="shared" si="4"/>
        <v/>
      </c>
      <c r="R61" s="9"/>
      <c r="S61" s="31"/>
      <c r="T61" s="8" t="str">
        <f t="shared" si="5"/>
        <v/>
      </c>
      <c r="U61" s="8">
        <f t="shared" si="6"/>
        <v>0</v>
      </c>
      <c r="V61" s="8">
        <f>IF(B61="",0,IF(SUMPRODUCT(--(B$4:B61=B61))&gt;1,1,0))</f>
        <v>0</v>
      </c>
      <c r="W61" s="8">
        <f t="shared" si="7"/>
        <v>0</v>
      </c>
    </row>
    <row r="62" spans="1:23" x14ac:dyDescent="0.25">
      <c r="A62" s="8">
        <v>59</v>
      </c>
      <c r="B62" s="9"/>
      <c r="C62" s="9"/>
      <c r="D62" s="33" t="str">
        <f t="shared" si="0"/>
        <v/>
      </c>
      <c r="E62" s="9"/>
      <c r="F62" s="31"/>
      <c r="G62" s="11"/>
      <c r="H62" s="11"/>
      <c r="I62" s="9"/>
      <c r="J62" s="12" t="str">
        <f t="shared" si="1"/>
        <v/>
      </c>
      <c r="K62" s="9"/>
      <c r="L62" s="31"/>
      <c r="M62" s="9"/>
      <c r="N62" s="9"/>
      <c r="O62" s="12" t="str">
        <f t="shared" si="2"/>
        <v/>
      </c>
      <c r="P62" s="12" t="str">
        <f t="shared" si="3"/>
        <v/>
      </c>
      <c r="Q62" s="12" t="str">
        <f t="shared" si="4"/>
        <v/>
      </c>
      <c r="R62" s="9"/>
      <c r="S62" s="31"/>
      <c r="T62" s="8" t="str">
        <f t="shared" si="5"/>
        <v/>
      </c>
      <c r="U62" s="8">
        <f t="shared" si="6"/>
        <v>0</v>
      </c>
      <c r="V62" s="8">
        <f>IF(B62="",0,IF(SUMPRODUCT(--(B$4:B62=B62))&gt;1,1,0))</f>
        <v>0</v>
      </c>
      <c r="W62" s="8">
        <f t="shared" si="7"/>
        <v>0</v>
      </c>
    </row>
    <row r="63" spans="1:23" x14ac:dyDescent="0.25">
      <c r="A63" s="8">
        <v>60</v>
      </c>
      <c r="B63" s="9"/>
      <c r="C63" s="9"/>
      <c r="D63" s="33" t="str">
        <f t="shared" si="0"/>
        <v/>
      </c>
      <c r="E63" s="9"/>
      <c r="F63" s="31"/>
      <c r="G63" s="11"/>
      <c r="H63" s="11"/>
      <c r="I63" s="9"/>
      <c r="J63" s="12" t="str">
        <f t="shared" si="1"/>
        <v/>
      </c>
      <c r="K63" s="9"/>
      <c r="L63" s="31"/>
      <c r="M63" s="9"/>
      <c r="N63" s="9"/>
      <c r="O63" s="12" t="str">
        <f t="shared" si="2"/>
        <v/>
      </c>
      <c r="P63" s="12" t="str">
        <f t="shared" si="3"/>
        <v/>
      </c>
      <c r="Q63" s="12" t="str">
        <f t="shared" si="4"/>
        <v/>
      </c>
      <c r="R63" s="9"/>
      <c r="S63" s="31"/>
      <c r="T63" s="8" t="str">
        <f t="shared" si="5"/>
        <v/>
      </c>
      <c r="U63" s="8">
        <f t="shared" si="6"/>
        <v>0</v>
      </c>
      <c r="V63" s="8">
        <f>IF(B63="",0,IF(SUMPRODUCT(--(B$4:B63=B63))&gt;1,1,0))</f>
        <v>0</v>
      </c>
      <c r="W63" s="8">
        <f t="shared" si="7"/>
        <v>0</v>
      </c>
    </row>
    <row r="64" spans="1:23" x14ac:dyDescent="0.25">
      <c r="A64" s="8">
        <v>61</v>
      </c>
      <c r="B64" s="9"/>
      <c r="C64" s="9"/>
      <c r="D64" s="33" t="str">
        <f t="shared" si="0"/>
        <v/>
      </c>
      <c r="E64" s="9"/>
      <c r="F64" s="31"/>
      <c r="G64" s="11"/>
      <c r="H64" s="11"/>
      <c r="I64" s="9"/>
      <c r="J64" s="12" t="str">
        <f t="shared" si="1"/>
        <v/>
      </c>
      <c r="K64" s="9"/>
      <c r="L64" s="31"/>
      <c r="M64" s="9"/>
      <c r="N64" s="9"/>
      <c r="O64" s="12" t="str">
        <f t="shared" si="2"/>
        <v/>
      </c>
      <c r="P64" s="12" t="str">
        <f t="shared" si="3"/>
        <v/>
      </c>
      <c r="Q64" s="12" t="str">
        <f t="shared" si="4"/>
        <v/>
      </c>
      <c r="R64" s="9"/>
      <c r="S64" s="31"/>
      <c r="T64" s="8" t="str">
        <f t="shared" si="5"/>
        <v/>
      </c>
      <c r="U64" s="8">
        <f t="shared" si="6"/>
        <v>0</v>
      </c>
      <c r="V64" s="8">
        <f>IF(B64="",0,IF(SUMPRODUCT(--(B$4:B64=B64))&gt;1,1,0))</f>
        <v>0</v>
      </c>
      <c r="W64" s="8">
        <f t="shared" si="7"/>
        <v>0</v>
      </c>
    </row>
    <row r="65" spans="1:23" x14ac:dyDescent="0.25">
      <c r="A65" s="8">
        <v>62</v>
      </c>
      <c r="B65" s="9"/>
      <c r="C65" s="9"/>
      <c r="D65" s="33" t="str">
        <f t="shared" si="0"/>
        <v/>
      </c>
      <c r="E65" s="9"/>
      <c r="F65" s="31"/>
      <c r="G65" s="11"/>
      <c r="H65" s="11"/>
      <c r="I65" s="9"/>
      <c r="J65" s="12" t="str">
        <f t="shared" si="1"/>
        <v/>
      </c>
      <c r="K65" s="9"/>
      <c r="L65" s="31"/>
      <c r="M65" s="9"/>
      <c r="N65" s="9"/>
      <c r="O65" s="12" t="str">
        <f t="shared" si="2"/>
        <v/>
      </c>
      <c r="P65" s="12" t="str">
        <f t="shared" si="3"/>
        <v/>
      </c>
      <c r="Q65" s="12" t="str">
        <f t="shared" si="4"/>
        <v/>
      </c>
      <c r="R65" s="9"/>
      <c r="S65" s="31"/>
      <c r="T65" s="8" t="str">
        <f t="shared" si="5"/>
        <v/>
      </c>
      <c r="U65" s="8">
        <f t="shared" si="6"/>
        <v>0</v>
      </c>
      <c r="V65" s="8">
        <f>IF(B65="",0,IF(SUMPRODUCT(--(B$4:B65=B65))&gt;1,1,0))</f>
        <v>0</v>
      </c>
      <c r="W65" s="8">
        <f t="shared" si="7"/>
        <v>0</v>
      </c>
    </row>
    <row r="66" spans="1:23" x14ac:dyDescent="0.25">
      <c r="A66" s="8">
        <v>63</v>
      </c>
      <c r="B66" s="9"/>
      <c r="C66" s="9"/>
      <c r="D66" s="33" t="str">
        <f t="shared" si="0"/>
        <v/>
      </c>
      <c r="E66" s="9"/>
      <c r="F66" s="31"/>
      <c r="G66" s="11"/>
      <c r="H66" s="11"/>
      <c r="I66" s="9"/>
      <c r="J66" s="12" t="str">
        <f t="shared" si="1"/>
        <v/>
      </c>
      <c r="K66" s="9"/>
      <c r="L66" s="31"/>
      <c r="M66" s="9"/>
      <c r="N66" s="9"/>
      <c r="O66" s="12" t="str">
        <f t="shared" si="2"/>
        <v/>
      </c>
      <c r="P66" s="12" t="str">
        <f t="shared" si="3"/>
        <v/>
      </c>
      <c r="Q66" s="12" t="str">
        <f t="shared" si="4"/>
        <v/>
      </c>
      <c r="R66" s="9"/>
      <c r="S66" s="31"/>
      <c r="T66" s="8" t="str">
        <f t="shared" si="5"/>
        <v/>
      </c>
      <c r="U66" s="8">
        <f t="shared" si="6"/>
        <v>0</v>
      </c>
      <c r="V66" s="8">
        <f>IF(B66="",0,IF(SUMPRODUCT(--(B$4:B66=B66))&gt;1,1,0))</f>
        <v>0</v>
      </c>
      <c r="W66" s="8">
        <f t="shared" si="7"/>
        <v>0</v>
      </c>
    </row>
    <row r="67" spans="1:23" x14ac:dyDescent="0.25">
      <c r="A67" s="8">
        <v>64</v>
      </c>
      <c r="B67" s="9"/>
      <c r="C67" s="9"/>
      <c r="D67" s="33" t="str">
        <f t="shared" si="0"/>
        <v/>
      </c>
      <c r="E67" s="9"/>
      <c r="F67" s="31"/>
      <c r="G67" s="11"/>
      <c r="H67" s="11"/>
      <c r="I67" s="9"/>
      <c r="J67" s="12" t="str">
        <f t="shared" si="1"/>
        <v/>
      </c>
      <c r="K67" s="9"/>
      <c r="L67" s="31"/>
      <c r="M67" s="9"/>
      <c r="N67" s="9"/>
      <c r="O67" s="12" t="str">
        <f t="shared" si="2"/>
        <v/>
      </c>
      <c r="P67" s="12" t="str">
        <f t="shared" si="3"/>
        <v/>
      </c>
      <c r="Q67" s="12" t="str">
        <f t="shared" si="4"/>
        <v/>
      </c>
      <c r="R67" s="9"/>
      <c r="S67" s="31"/>
      <c r="T67" s="8" t="str">
        <f t="shared" si="5"/>
        <v/>
      </c>
      <c r="U67" s="8">
        <f t="shared" si="6"/>
        <v>0</v>
      </c>
      <c r="V67" s="8">
        <f>IF(B67="",0,IF(SUMPRODUCT(--(B$4:B67=B67))&gt;1,1,0))</f>
        <v>0</v>
      </c>
      <c r="W67" s="8">
        <f t="shared" si="7"/>
        <v>0</v>
      </c>
    </row>
    <row r="68" spans="1:23" x14ac:dyDescent="0.25">
      <c r="A68" s="8">
        <v>65</v>
      </c>
      <c r="B68" s="9"/>
      <c r="C68" s="9"/>
      <c r="D68" s="33" t="str">
        <f t="shared" ref="D68:D131" si="8">IF(C68="","",IFERROR(INDEX(SpaceNames,MATCH(C68,SpaceCodes,0))&amp;"",""))</f>
        <v/>
      </c>
      <c r="E68" s="9"/>
      <c r="F68" s="31"/>
      <c r="G68" s="11"/>
      <c r="H68" s="11"/>
      <c r="I68" s="9"/>
      <c r="J68" s="12" t="str">
        <f t="shared" ref="J68:J131" si="9">IF(W68=0,"",IF(V68=1,0,IF(AND(G68&lt;&gt;"",H68&lt;&gt;""),G68*H68*IF(I68="",1,I68),"")))</f>
        <v/>
      </c>
      <c r="K68" s="9"/>
      <c r="L68" s="31"/>
      <c r="M68" s="9"/>
      <c r="N68" s="9"/>
      <c r="O68" s="12" t="str">
        <f t="shared" ref="O68:O131" si="10">IF(OR(W68=0,J68=""),"",IF(OR(K68&lt;&gt;"نعم",C68="",E68=""),0,IF(L68&lt;&gt;"",IF(COUNTIFS(WL_Space,C68,WL_Wall,E68,WL_Mat,L68,WL_DedOn,1)&gt;0,J68,0),IF(AND(COUNTIFS(WL_Space,C68,WL_Wall,E68,WL_Dup,0)=1,COUNTIFS(WL_Space,C68,WL_Wall,E68,WL_DedOn,1)=1),J68,0))))</f>
        <v/>
      </c>
      <c r="P68" s="12" t="str">
        <f t="shared" ref="P68:P131" si="11">IF(OR(W68=0,J68=""),"",IF(OR(M68&lt;&gt;"نعم",C68="",E68=""),0,J68*SUMIFS(PL_FacesEff,PL_Space,C68,PL_Wall,E68)))</f>
        <v/>
      </c>
      <c r="Q68" s="12" t="str">
        <f t="shared" ref="Q68:Q131" si="12">IF(W68=0,"",IF(OR(N68&lt;&gt;"نعم",C68=""),0,IF(COUNTIFS(LN_Space,C68,LN_AutoEff,1)&gt;0,U68,0)))</f>
        <v/>
      </c>
      <c r="R68" s="9"/>
      <c r="S68" s="31"/>
      <c r="T68" s="8" t="str">
        <f t="shared" ref="T68:T131" si="13">IF(W68=0,"",IF(B68="","ناقص بيانات: كود الفتحة",IF(V68=1,"تكرار كود الفتحة — غير محتسب",IF(C68="","ناقص بيانات: كود الفراغ",IF(COUNTIF(SpaceCodes,C68)=0,"ناقص بيانات: الفراغ غير مسجل",IF(E68="","ناقص بيانات: كود الحائط",IF(J68="","ناقص قياس",IF(AND(K68="",M68="",N68=""),"ناقص بيانات: حدد خيارات الخصم (نعم/لا)",IF(AND(K68="نعم",N(O68)=0,L68="",COUNTIFS(WL_Space,C68,WL_Wall,E68,WL_Dup,0)&gt;1),"تنبيه خصم: للحائط أكثر من خامة — حدد الخامة المخصوم منها",IF(AND(K68="نعم",N(O68)=0,IF(L68="",COUNTIFS(WL_Space,C68,WL_Wall,E68,WL_Dup,0),COUNTIFS(WL_Space,C68,WL_Wall,E68,WL_Mat,L68,WL_Dup,0))&gt;0),"تنبيه خصم: خصم الفتحات موقوف («لا») في سجل الحائط",IF(AND(K68="نعم",N(O68)=0),"تنبيه خصم: الحائط/الخامة غير مسجلة في حصر الحوائط",IF(AND(M68="نعم",N(P68)=0),"تنبيه خصم: الحائط غير مسجل في حصر اللياسة",IF(AND(N68="نعم",N(Q68)=0),"تنبيه خصم: لا يوجد سجل وزرات بخصم تلقائي للفراغ",IF(R68="نعم","يحتاج مراجعة","مكتمل"))))))))))))))</f>
        <v/>
      </c>
      <c r="U68" s="8">
        <f t="shared" ref="U68:U131" si="14">IF(OR(W68=0,V68=1,G68=""),0,G68*IF(I68="",1,I68))</f>
        <v>0</v>
      </c>
      <c r="V68" s="8">
        <f>IF(B68="",0,IF(SUMPRODUCT(--(B$4:B68=B68))&gt;1,1,0))</f>
        <v>0</v>
      </c>
      <c r="W68" s="8">
        <f t="shared" ref="W68:W131" si="15">IF(COUNTA(B68:C68,E68:I68,K68:N68)=0,0,1)</f>
        <v>0</v>
      </c>
    </row>
    <row r="69" spans="1:23" x14ac:dyDescent="0.25">
      <c r="A69" s="8">
        <v>66</v>
      </c>
      <c r="B69" s="9"/>
      <c r="C69" s="9"/>
      <c r="D69" s="33" t="str">
        <f t="shared" si="8"/>
        <v/>
      </c>
      <c r="E69" s="9"/>
      <c r="F69" s="31"/>
      <c r="G69" s="11"/>
      <c r="H69" s="11"/>
      <c r="I69" s="9"/>
      <c r="J69" s="12" t="str">
        <f t="shared" si="9"/>
        <v/>
      </c>
      <c r="K69" s="9"/>
      <c r="L69" s="31"/>
      <c r="M69" s="9"/>
      <c r="N69" s="9"/>
      <c r="O69" s="12" t="str">
        <f t="shared" si="10"/>
        <v/>
      </c>
      <c r="P69" s="12" t="str">
        <f t="shared" si="11"/>
        <v/>
      </c>
      <c r="Q69" s="12" t="str">
        <f t="shared" si="12"/>
        <v/>
      </c>
      <c r="R69" s="9"/>
      <c r="S69" s="31"/>
      <c r="T69" s="8" t="str">
        <f t="shared" si="13"/>
        <v/>
      </c>
      <c r="U69" s="8">
        <f t="shared" si="14"/>
        <v>0</v>
      </c>
      <c r="V69" s="8">
        <f>IF(B69="",0,IF(SUMPRODUCT(--(B$4:B69=B69))&gt;1,1,0))</f>
        <v>0</v>
      </c>
      <c r="W69" s="8">
        <f t="shared" si="15"/>
        <v>0</v>
      </c>
    </row>
    <row r="70" spans="1:23" x14ac:dyDescent="0.25">
      <c r="A70" s="8">
        <v>67</v>
      </c>
      <c r="B70" s="9"/>
      <c r="C70" s="9"/>
      <c r="D70" s="33" t="str">
        <f t="shared" si="8"/>
        <v/>
      </c>
      <c r="E70" s="9"/>
      <c r="F70" s="31"/>
      <c r="G70" s="11"/>
      <c r="H70" s="11"/>
      <c r="I70" s="9"/>
      <c r="J70" s="12" t="str">
        <f t="shared" si="9"/>
        <v/>
      </c>
      <c r="K70" s="9"/>
      <c r="L70" s="31"/>
      <c r="M70" s="9"/>
      <c r="N70" s="9"/>
      <c r="O70" s="12" t="str">
        <f t="shared" si="10"/>
        <v/>
      </c>
      <c r="P70" s="12" t="str">
        <f t="shared" si="11"/>
        <v/>
      </c>
      <c r="Q70" s="12" t="str">
        <f t="shared" si="12"/>
        <v/>
      </c>
      <c r="R70" s="9"/>
      <c r="S70" s="31"/>
      <c r="T70" s="8" t="str">
        <f t="shared" si="13"/>
        <v/>
      </c>
      <c r="U70" s="8">
        <f t="shared" si="14"/>
        <v>0</v>
      </c>
      <c r="V70" s="8">
        <f>IF(B70="",0,IF(SUMPRODUCT(--(B$4:B70=B70))&gt;1,1,0))</f>
        <v>0</v>
      </c>
      <c r="W70" s="8">
        <f t="shared" si="15"/>
        <v>0</v>
      </c>
    </row>
    <row r="71" spans="1:23" x14ac:dyDescent="0.25">
      <c r="A71" s="8">
        <v>68</v>
      </c>
      <c r="B71" s="9"/>
      <c r="C71" s="9"/>
      <c r="D71" s="33" t="str">
        <f t="shared" si="8"/>
        <v/>
      </c>
      <c r="E71" s="9"/>
      <c r="F71" s="31"/>
      <c r="G71" s="11"/>
      <c r="H71" s="11"/>
      <c r="I71" s="9"/>
      <c r="J71" s="12" t="str">
        <f t="shared" si="9"/>
        <v/>
      </c>
      <c r="K71" s="9"/>
      <c r="L71" s="31"/>
      <c r="M71" s="9"/>
      <c r="N71" s="9"/>
      <c r="O71" s="12" t="str">
        <f t="shared" si="10"/>
        <v/>
      </c>
      <c r="P71" s="12" t="str">
        <f t="shared" si="11"/>
        <v/>
      </c>
      <c r="Q71" s="12" t="str">
        <f t="shared" si="12"/>
        <v/>
      </c>
      <c r="R71" s="9"/>
      <c r="S71" s="31"/>
      <c r="T71" s="8" t="str">
        <f t="shared" si="13"/>
        <v/>
      </c>
      <c r="U71" s="8">
        <f t="shared" si="14"/>
        <v>0</v>
      </c>
      <c r="V71" s="8">
        <f>IF(B71="",0,IF(SUMPRODUCT(--(B$4:B71=B71))&gt;1,1,0))</f>
        <v>0</v>
      </c>
      <c r="W71" s="8">
        <f t="shared" si="15"/>
        <v>0</v>
      </c>
    </row>
    <row r="72" spans="1:23" x14ac:dyDescent="0.25">
      <c r="A72" s="8">
        <v>69</v>
      </c>
      <c r="B72" s="9"/>
      <c r="C72" s="9"/>
      <c r="D72" s="33" t="str">
        <f t="shared" si="8"/>
        <v/>
      </c>
      <c r="E72" s="9"/>
      <c r="F72" s="31"/>
      <c r="G72" s="11"/>
      <c r="H72" s="11"/>
      <c r="I72" s="9"/>
      <c r="J72" s="12" t="str">
        <f t="shared" si="9"/>
        <v/>
      </c>
      <c r="K72" s="9"/>
      <c r="L72" s="31"/>
      <c r="M72" s="9"/>
      <c r="N72" s="9"/>
      <c r="O72" s="12" t="str">
        <f t="shared" si="10"/>
        <v/>
      </c>
      <c r="P72" s="12" t="str">
        <f t="shared" si="11"/>
        <v/>
      </c>
      <c r="Q72" s="12" t="str">
        <f t="shared" si="12"/>
        <v/>
      </c>
      <c r="R72" s="9"/>
      <c r="S72" s="31"/>
      <c r="T72" s="8" t="str">
        <f t="shared" si="13"/>
        <v/>
      </c>
      <c r="U72" s="8">
        <f t="shared" si="14"/>
        <v>0</v>
      </c>
      <c r="V72" s="8">
        <f>IF(B72="",0,IF(SUMPRODUCT(--(B$4:B72=B72))&gt;1,1,0))</f>
        <v>0</v>
      </c>
      <c r="W72" s="8">
        <f t="shared" si="15"/>
        <v>0</v>
      </c>
    </row>
    <row r="73" spans="1:23" x14ac:dyDescent="0.25">
      <c r="A73" s="8">
        <v>70</v>
      </c>
      <c r="B73" s="9"/>
      <c r="C73" s="9"/>
      <c r="D73" s="33" t="str">
        <f t="shared" si="8"/>
        <v/>
      </c>
      <c r="E73" s="9"/>
      <c r="F73" s="31"/>
      <c r="G73" s="11"/>
      <c r="H73" s="11"/>
      <c r="I73" s="9"/>
      <c r="J73" s="12" t="str">
        <f t="shared" si="9"/>
        <v/>
      </c>
      <c r="K73" s="9"/>
      <c r="L73" s="31"/>
      <c r="M73" s="9"/>
      <c r="N73" s="9"/>
      <c r="O73" s="12" t="str">
        <f t="shared" si="10"/>
        <v/>
      </c>
      <c r="P73" s="12" t="str">
        <f t="shared" si="11"/>
        <v/>
      </c>
      <c r="Q73" s="12" t="str">
        <f t="shared" si="12"/>
        <v/>
      </c>
      <c r="R73" s="9"/>
      <c r="S73" s="31"/>
      <c r="T73" s="8" t="str">
        <f t="shared" si="13"/>
        <v/>
      </c>
      <c r="U73" s="8">
        <f t="shared" si="14"/>
        <v>0</v>
      </c>
      <c r="V73" s="8">
        <f>IF(B73="",0,IF(SUMPRODUCT(--(B$4:B73=B73))&gt;1,1,0))</f>
        <v>0</v>
      </c>
      <c r="W73" s="8">
        <f t="shared" si="15"/>
        <v>0</v>
      </c>
    </row>
    <row r="74" spans="1:23" x14ac:dyDescent="0.25">
      <c r="A74" s="8">
        <v>71</v>
      </c>
      <c r="B74" s="9"/>
      <c r="C74" s="9"/>
      <c r="D74" s="33" t="str">
        <f t="shared" si="8"/>
        <v/>
      </c>
      <c r="E74" s="9"/>
      <c r="F74" s="31"/>
      <c r="G74" s="11"/>
      <c r="H74" s="11"/>
      <c r="I74" s="9"/>
      <c r="J74" s="12" t="str">
        <f t="shared" si="9"/>
        <v/>
      </c>
      <c r="K74" s="9"/>
      <c r="L74" s="31"/>
      <c r="M74" s="9"/>
      <c r="N74" s="9"/>
      <c r="O74" s="12" t="str">
        <f t="shared" si="10"/>
        <v/>
      </c>
      <c r="P74" s="12" t="str">
        <f t="shared" si="11"/>
        <v/>
      </c>
      <c r="Q74" s="12" t="str">
        <f t="shared" si="12"/>
        <v/>
      </c>
      <c r="R74" s="9"/>
      <c r="S74" s="31"/>
      <c r="T74" s="8" t="str">
        <f t="shared" si="13"/>
        <v/>
      </c>
      <c r="U74" s="8">
        <f t="shared" si="14"/>
        <v>0</v>
      </c>
      <c r="V74" s="8">
        <f>IF(B74="",0,IF(SUMPRODUCT(--(B$4:B74=B74))&gt;1,1,0))</f>
        <v>0</v>
      </c>
      <c r="W74" s="8">
        <f t="shared" si="15"/>
        <v>0</v>
      </c>
    </row>
    <row r="75" spans="1:23" x14ac:dyDescent="0.25">
      <c r="A75" s="8">
        <v>72</v>
      </c>
      <c r="B75" s="9"/>
      <c r="C75" s="9"/>
      <c r="D75" s="33" t="str">
        <f t="shared" si="8"/>
        <v/>
      </c>
      <c r="E75" s="9"/>
      <c r="F75" s="31"/>
      <c r="G75" s="11"/>
      <c r="H75" s="11"/>
      <c r="I75" s="9"/>
      <c r="J75" s="12" t="str">
        <f t="shared" si="9"/>
        <v/>
      </c>
      <c r="K75" s="9"/>
      <c r="L75" s="31"/>
      <c r="M75" s="9"/>
      <c r="N75" s="9"/>
      <c r="O75" s="12" t="str">
        <f t="shared" si="10"/>
        <v/>
      </c>
      <c r="P75" s="12" t="str">
        <f t="shared" si="11"/>
        <v/>
      </c>
      <c r="Q75" s="12" t="str">
        <f t="shared" si="12"/>
        <v/>
      </c>
      <c r="R75" s="9"/>
      <c r="S75" s="31"/>
      <c r="T75" s="8" t="str">
        <f t="shared" si="13"/>
        <v/>
      </c>
      <c r="U75" s="8">
        <f t="shared" si="14"/>
        <v>0</v>
      </c>
      <c r="V75" s="8">
        <f>IF(B75="",0,IF(SUMPRODUCT(--(B$4:B75=B75))&gt;1,1,0))</f>
        <v>0</v>
      </c>
      <c r="W75" s="8">
        <f t="shared" si="15"/>
        <v>0</v>
      </c>
    </row>
    <row r="76" spans="1:23" x14ac:dyDescent="0.25">
      <c r="A76" s="8">
        <v>73</v>
      </c>
      <c r="B76" s="9"/>
      <c r="C76" s="9"/>
      <c r="D76" s="33" t="str">
        <f t="shared" si="8"/>
        <v/>
      </c>
      <c r="E76" s="9"/>
      <c r="F76" s="31"/>
      <c r="G76" s="11"/>
      <c r="H76" s="11"/>
      <c r="I76" s="9"/>
      <c r="J76" s="12" t="str">
        <f t="shared" si="9"/>
        <v/>
      </c>
      <c r="K76" s="9"/>
      <c r="L76" s="31"/>
      <c r="M76" s="9"/>
      <c r="N76" s="9"/>
      <c r="O76" s="12" t="str">
        <f t="shared" si="10"/>
        <v/>
      </c>
      <c r="P76" s="12" t="str">
        <f t="shared" si="11"/>
        <v/>
      </c>
      <c r="Q76" s="12" t="str">
        <f t="shared" si="12"/>
        <v/>
      </c>
      <c r="R76" s="9"/>
      <c r="S76" s="31"/>
      <c r="T76" s="8" t="str">
        <f t="shared" si="13"/>
        <v/>
      </c>
      <c r="U76" s="8">
        <f t="shared" si="14"/>
        <v>0</v>
      </c>
      <c r="V76" s="8">
        <f>IF(B76="",0,IF(SUMPRODUCT(--(B$4:B76=B76))&gt;1,1,0))</f>
        <v>0</v>
      </c>
      <c r="W76" s="8">
        <f t="shared" si="15"/>
        <v>0</v>
      </c>
    </row>
    <row r="77" spans="1:23" x14ac:dyDescent="0.25">
      <c r="A77" s="8">
        <v>74</v>
      </c>
      <c r="B77" s="9"/>
      <c r="C77" s="9"/>
      <c r="D77" s="33" t="str">
        <f t="shared" si="8"/>
        <v/>
      </c>
      <c r="E77" s="9"/>
      <c r="F77" s="31"/>
      <c r="G77" s="11"/>
      <c r="H77" s="11"/>
      <c r="I77" s="9"/>
      <c r="J77" s="12" t="str">
        <f t="shared" si="9"/>
        <v/>
      </c>
      <c r="K77" s="9"/>
      <c r="L77" s="31"/>
      <c r="M77" s="9"/>
      <c r="N77" s="9"/>
      <c r="O77" s="12" t="str">
        <f t="shared" si="10"/>
        <v/>
      </c>
      <c r="P77" s="12" t="str">
        <f t="shared" si="11"/>
        <v/>
      </c>
      <c r="Q77" s="12" t="str">
        <f t="shared" si="12"/>
        <v/>
      </c>
      <c r="R77" s="9"/>
      <c r="S77" s="31"/>
      <c r="T77" s="8" t="str">
        <f t="shared" si="13"/>
        <v/>
      </c>
      <c r="U77" s="8">
        <f t="shared" si="14"/>
        <v>0</v>
      </c>
      <c r="V77" s="8">
        <f>IF(B77="",0,IF(SUMPRODUCT(--(B$4:B77=B77))&gt;1,1,0))</f>
        <v>0</v>
      </c>
      <c r="W77" s="8">
        <f t="shared" si="15"/>
        <v>0</v>
      </c>
    </row>
    <row r="78" spans="1:23" x14ac:dyDescent="0.25">
      <c r="A78" s="8">
        <v>75</v>
      </c>
      <c r="B78" s="9"/>
      <c r="C78" s="9"/>
      <c r="D78" s="33" t="str">
        <f t="shared" si="8"/>
        <v/>
      </c>
      <c r="E78" s="9"/>
      <c r="F78" s="31"/>
      <c r="G78" s="11"/>
      <c r="H78" s="11"/>
      <c r="I78" s="9"/>
      <c r="J78" s="12" t="str">
        <f t="shared" si="9"/>
        <v/>
      </c>
      <c r="K78" s="9"/>
      <c r="L78" s="31"/>
      <c r="M78" s="9"/>
      <c r="N78" s="9"/>
      <c r="O78" s="12" t="str">
        <f t="shared" si="10"/>
        <v/>
      </c>
      <c r="P78" s="12" t="str">
        <f t="shared" si="11"/>
        <v/>
      </c>
      <c r="Q78" s="12" t="str">
        <f t="shared" si="12"/>
        <v/>
      </c>
      <c r="R78" s="9"/>
      <c r="S78" s="31"/>
      <c r="T78" s="8" t="str">
        <f t="shared" si="13"/>
        <v/>
      </c>
      <c r="U78" s="8">
        <f t="shared" si="14"/>
        <v>0</v>
      </c>
      <c r="V78" s="8">
        <f>IF(B78="",0,IF(SUMPRODUCT(--(B$4:B78=B78))&gt;1,1,0))</f>
        <v>0</v>
      </c>
      <c r="W78" s="8">
        <f t="shared" si="15"/>
        <v>0</v>
      </c>
    </row>
    <row r="79" spans="1:23" x14ac:dyDescent="0.25">
      <c r="A79" s="8">
        <v>76</v>
      </c>
      <c r="B79" s="9"/>
      <c r="C79" s="9"/>
      <c r="D79" s="33" t="str">
        <f t="shared" si="8"/>
        <v/>
      </c>
      <c r="E79" s="9"/>
      <c r="F79" s="31"/>
      <c r="G79" s="11"/>
      <c r="H79" s="11"/>
      <c r="I79" s="9"/>
      <c r="J79" s="12" t="str">
        <f t="shared" si="9"/>
        <v/>
      </c>
      <c r="K79" s="9"/>
      <c r="L79" s="31"/>
      <c r="M79" s="9"/>
      <c r="N79" s="9"/>
      <c r="O79" s="12" t="str">
        <f t="shared" si="10"/>
        <v/>
      </c>
      <c r="P79" s="12" t="str">
        <f t="shared" si="11"/>
        <v/>
      </c>
      <c r="Q79" s="12" t="str">
        <f t="shared" si="12"/>
        <v/>
      </c>
      <c r="R79" s="9"/>
      <c r="S79" s="31"/>
      <c r="T79" s="8" t="str">
        <f t="shared" si="13"/>
        <v/>
      </c>
      <c r="U79" s="8">
        <f t="shared" si="14"/>
        <v>0</v>
      </c>
      <c r="V79" s="8">
        <f>IF(B79="",0,IF(SUMPRODUCT(--(B$4:B79=B79))&gt;1,1,0))</f>
        <v>0</v>
      </c>
      <c r="W79" s="8">
        <f t="shared" si="15"/>
        <v>0</v>
      </c>
    </row>
    <row r="80" spans="1:23" x14ac:dyDescent="0.25">
      <c r="A80" s="8">
        <v>77</v>
      </c>
      <c r="B80" s="9"/>
      <c r="C80" s="9"/>
      <c r="D80" s="33" t="str">
        <f t="shared" si="8"/>
        <v/>
      </c>
      <c r="E80" s="9"/>
      <c r="F80" s="31"/>
      <c r="G80" s="11"/>
      <c r="H80" s="11"/>
      <c r="I80" s="9"/>
      <c r="J80" s="12" t="str">
        <f t="shared" si="9"/>
        <v/>
      </c>
      <c r="K80" s="9"/>
      <c r="L80" s="31"/>
      <c r="M80" s="9"/>
      <c r="N80" s="9"/>
      <c r="O80" s="12" t="str">
        <f t="shared" si="10"/>
        <v/>
      </c>
      <c r="P80" s="12" t="str">
        <f t="shared" si="11"/>
        <v/>
      </c>
      <c r="Q80" s="12" t="str">
        <f t="shared" si="12"/>
        <v/>
      </c>
      <c r="R80" s="9"/>
      <c r="S80" s="31"/>
      <c r="T80" s="8" t="str">
        <f t="shared" si="13"/>
        <v/>
      </c>
      <c r="U80" s="8">
        <f t="shared" si="14"/>
        <v>0</v>
      </c>
      <c r="V80" s="8">
        <f>IF(B80="",0,IF(SUMPRODUCT(--(B$4:B80=B80))&gt;1,1,0))</f>
        <v>0</v>
      </c>
      <c r="W80" s="8">
        <f t="shared" si="15"/>
        <v>0</v>
      </c>
    </row>
    <row r="81" spans="1:23" x14ac:dyDescent="0.25">
      <c r="A81" s="8">
        <v>78</v>
      </c>
      <c r="B81" s="9"/>
      <c r="C81" s="9"/>
      <c r="D81" s="33" t="str">
        <f t="shared" si="8"/>
        <v/>
      </c>
      <c r="E81" s="9"/>
      <c r="F81" s="31"/>
      <c r="G81" s="11"/>
      <c r="H81" s="11"/>
      <c r="I81" s="9"/>
      <c r="J81" s="12" t="str">
        <f t="shared" si="9"/>
        <v/>
      </c>
      <c r="K81" s="9"/>
      <c r="L81" s="31"/>
      <c r="M81" s="9"/>
      <c r="N81" s="9"/>
      <c r="O81" s="12" t="str">
        <f t="shared" si="10"/>
        <v/>
      </c>
      <c r="P81" s="12" t="str">
        <f t="shared" si="11"/>
        <v/>
      </c>
      <c r="Q81" s="12" t="str">
        <f t="shared" si="12"/>
        <v/>
      </c>
      <c r="R81" s="9"/>
      <c r="S81" s="31"/>
      <c r="T81" s="8" t="str">
        <f t="shared" si="13"/>
        <v/>
      </c>
      <c r="U81" s="8">
        <f t="shared" si="14"/>
        <v>0</v>
      </c>
      <c r="V81" s="8">
        <f>IF(B81="",0,IF(SUMPRODUCT(--(B$4:B81=B81))&gt;1,1,0))</f>
        <v>0</v>
      </c>
      <c r="W81" s="8">
        <f t="shared" si="15"/>
        <v>0</v>
      </c>
    </row>
    <row r="82" spans="1:23" x14ac:dyDescent="0.25">
      <c r="A82" s="8">
        <v>79</v>
      </c>
      <c r="B82" s="9"/>
      <c r="C82" s="9"/>
      <c r="D82" s="33" t="str">
        <f t="shared" si="8"/>
        <v/>
      </c>
      <c r="E82" s="9"/>
      <c r="F82" s="31"/>
      <c r="G82" s="11"/>
      <c r="H82" s="11"/>
      <c r="I82" s="9"/>
      <c r="J82" s="12" t="str">
        <f t="shared" si="9"/>
        <v/>
      </c>
      <c r="K82" s="9"/>
      <c r="L82" s="31"/>
      <c r="M82" s="9"/>
      <c r="N82" s="9"/>
      <c r="O82" s="12" t="str">
        <f t="shared" si="10"/>
        <v/>
      </c>
      <c r="P82" s="12" t="str">
        <f t="shared" si="11"/>
        <v/>
      </c>
      <c r="Q82" s="12" t="str">
        <f t="shared" si="12"/>
        <v/>
      </c>
      <c r="R82" s="9"/>
      <c r="S82" s="31"/>
      <c r="T82" s="8" t="str">
        <f t="shared" si="13"/>
        <v/>
      </c>
      <c r="U82" s="8">
        <f t="shared" si="14"/>
        <v>0</v>
      </c>
      <c r="V82" s="8">
        <f>IF(B82="",0,IF(SUMPRODUCT(--(B$4:B82=B82))&gt;1,1,0))</f>
        <v>0</v>
      </c>
      <c r="W82" s="8">
        <f t="shared" si="15"/>
        <v>0</v>
      </c>
    </row>
    <row r="83" spans="1:23" x14ac:dyDescent="0.25">
      <c r="A83" s="8">
        <v>80</v>
      </c>
      <c r="B83" s="9"/>
      <c r="C83" s="9"/>
      <c r="D83" s="33" t="str">
        <f t="shared" si="8"/>
        <v/>
      </c>
      <c r="E83" s="9"/>
      <c r="F83" s="31"/>
      <c r="G83" s="11"/>
      <c r="H83" s="11"/>
      <c r="I83" s="9"/>
      <c r="J83" s="12" t="str">
        <f t="shared" si="9"/>
        <v/>
      </c>
      <c r="K83" s="9"/>
      <c r="L83" s="31"/>
      <c r="M83" s="9"/>
      <c r="N83" s="9"/>
      <c r="O83" s="12" t="str">
        <f t="shared" si="10"/>
        <v/>
      </c>
      <c r="P83" s="12" t="str">
        <f t="shared" si="11"/>
        <v/>
      </c>
      <c r="Q83" s="12" t="str">
        <f t="shared" si="12"/>
        <v/>
      </c>
      <c r="R83" s="9"/>
      <c r="S83" s="31"/>
      <c r="T83" s="8" t="str">
        <f t="shared" si="13"/>
        <v/>
      </c>
      <c r="U83" s="8">
        <f t="shared" si="14"/>
        <v>0</v>
      </c>
      <c r="V83" s="8">
        <f>IF(B83="",0,IF(SUMPRODUCT(--(B$4:B83=B83))&gt;1,1,0))</f>
        <v>0</v>
      </c>
      <c r="W83" s="8">
        <f t="shared" si="15"/>
        <v>0</v>
      </c>
    </row>
    <row r="84" spans="1:23" x14ac:dyDescent="0.25">
      <c r="A84" s="8">
        <v>81</v>
      </c>
      <c r="B84" s="9"/>
      <c r="C84" s="9"/>
      <c r="D84" s="33" t="str">
        <f t="shared" si="8"/>
        <v/>
      </c>
      <c r="E84" s="9"/>
      <c r="F84" s="31"/>
      <c r="G84" s="11"/>
      <c r="H84" s="11"/>
      <c r="I84" s="9"/>
      <c r="J84" s="12" t="str">
        <f t="shared" si="9"/>
        <v/>
      </c>
      <c r="K84" s="9"/>
      <c r="L84" s="31"/>
      <c r="M84" s="9"/>
      <c r="N84" s="9"/>
      <c r="O84" s="12" t="str">
        <f t="shared" si="10"/>
        <v/>
      </c>
      <c r="P84" s="12" t="str">
        <f t="shared" si="11"/>
        <v/>
      </c>
      <c r="Q84" s="12" t="str">
        <f t="shared" si="12"/>
        <v/>
      </c>
      <c r="R84" s="9"/>
      <c r="S84" s="31"/>
      <c r="T84" s="8" t="str">
        <f t="shared" si="13"/>
        <v/>
      </c>
      <c r="U84" s="8">
        <f t="shared" si="14"/>
        <v>0</v>
      </c>
      <c r="V84" s="8">
        <f>IF(B84="",0,IF(SUMPRODUCT(--(B$4:B84=B84))&gt;1,1,0))</f>
        <v>0</v>
      </c>
      <c r="W84" s="8">
        <f t="shared" si="15"/>
        <v>0</v>
      </c>
    </row>
    <row r="85" spans="1:23" x14ac:dyDescent="0.25">
      <c r="A85" s="8">
        <v>82</v>
      </c>
      <c r="B85" s="9"/>
      <c r="C85" s="9"/>
      <c r="D85" s="33" t="str">
        <f t="shared" si="8"/>
        <v/>
      </c>
      <c r="E85" s="9"/>
      <c r="F85" s="31"/>
      <c r="G85" s="11"/>
      <c r="H85" s="11"/>
      <c r="I85" s="9"/>
      <c r="J85" s="12" t="str">
        <f t="shared" si="9"/>
        <v/>
      </c>
      <c r="K85" s="9"/>
      <c r="L85" s="31"/>
      <c r="M85" s="9"/>
      <c r="N85" s="9"/>
      <c r="O85" s="12" t="str">
        <f t="shared" si="10"/>
        <v/>
      </c>
      <c r="P85" s="12" t="str">
        <f t="shared" si="11"/>
        <v/>
      </c>
      <c r="Q85" s="12" t="str">
        <f t="shared" si="12"/>
        <v/>
      </c>
      <c r="R85" s="9"/>
      <c r="S85" s="31"/>
      <c r="T85" s="8" t="str">
        <f t="shared" si="13"/>
        <v/>
      </c>
      <c r="U85" s="8">
        <f t="shared" si="14"/>
        <v>0</v>
      </c>
      <c r="V85" s="8">
        <f>IF(B85="",0,IF(SUMPRODUCT(--(B$4:B85=B85))&gt;1,1,0))</f>
        <v>0</v>
      </c>
      <c r="W85" s="8">
        <f t="shared" si="15"/>
        <v>0</v>
      </c>
    </row>
    <row r="86" spans="1:23" x14ac:dyDescent="0.25">
      <c r="A86" s="8">
        <v>83</v>
      </c>
      <c r="B86" s="9"/>
      <c r="C86" s="9"/>
      <c r="D86" s="33" t="str">
        <f t="shared" si="8"/>
        <v/>
      </c>
      <c r="E86" s="9"/>
      <c r="F86" s="31"/>
      <c r="G86" s="11"/>
      <c r="H86" s="11"/>
      <c r="I86" s="9"/>
      <c r="J86" s="12" t="str">
        <f t="shared" si="9"/>
        <v/>
      </c>
      <c r="K86" s="9"/>
      <c r="L86" s="31"/>
      <c r="M86" s="9"/>
      <c r="N86" s="9"/>
      <c r="O86" s="12" t="str">
        <f t="shared" si="10"/>
        <v/>
      </c>
      <c r="P86" s="12" t="str">
        <f t="shared" si="11"/>
        <v/>
      </c>
      <c r="Q86" s="12" t="str">
        <f t="shared" si="12"/>
        <v/>
      </c>
      <c r="R86" s="9"/>
      <c r="S86" s="31"/>
      <c r="T86" s="8" t="str">
        <f t="shared" si="13"/>
        <v/>
      </c>
      <c r="U86" s="8">
        <f t="shared" si="14"/>
        <v>0</v>
      </c>
      <c r="V86" s="8">
        <f>IF(B86="",0,IF(SUMPRODUCT(--(B$4:B86=B86))&gt;1,1,0))</f>
        <v>0</v>
      </c>
      <c r="W86" s="8">
        <f t="shared" si="15"/>
        <v>0</v>
      </c>
    </row>
    <row r="87" spans="1:23" x14ac:dyDescent="0.25">
      <c r="A87" s="8">
        <v>84</v>
      </c>
      <c r="B87" s="9"/>
      <c r="C87" s="9"/>
      <c r="D87" s="33" t="str">
        <f t="shared" si="8"/>
        <v/>
      </c>
      <c r="E87" s="9"/>
      <c r="F87" s="31"/>
      <c r="G87" s="11"/>
      <c r="H87" s="11"/>
      <c r="I87" s="9"/>
      <c r="J87" s="12" t="str">
        <f t="shared" si="9"/>
        <v/>
      </c>
      <c r="K87" s="9"/>
      <c r="L87" s="31"/>
      <c r="M87" s="9"/>
      <c r="N87" s="9"/>
      <c r="O87" s="12" t="str">
        <f t="shared" si="10"/>
        <v/>
      </c>
      <c r="P87" s="12" t="str">
        <f t="shared" si="11"/>
        <v/>
      </c>
      <c r="Q87" s="12" t="str">
        <f t="shared" si="12"/>
        <v/>
      </c>
      <c r="R87" s="9"/>
      <c r="S87" s="31"/>
      <c r="T87" s="8" t="str">
        <f t="shared" si="13"/>
        <v/>
      </c>
      <c r="U87" s="8">
        <f t="shared" si="14"/>
        <v>0</v>
      </c>
      <c r="V87" s="8">
        <f>IF(B87="",0,IF(SUMPRODUCT(--(B$4:B87=B87))&gt;1,1,0))</f>
        <v>0</v>
      </c>
      <c r="W87" s="8">
        <f t="shared" si="15"/>
        <v>0</v>
      </c>
    </row>
    <row r="88" spans="1:23" x14ac:dyDescent="0.25">
      <c r="A88" s="8">
        <v>85</v>
      </c>
      <c r="B88" s="9"/>
      <c r="C88" s="9"/>
      <c r="D88" s="33" t="str">
        <f t="shared" si="8"/>
        <v/>
      </c>
      <c r="E88" s="9"/>
      <c r="F88" s="31"/>
      <c r="G88" s="11"/>
      <c r="H88" s="11"/>
      <c r="I88" s="9"/>
      <c r="J88" s="12" t="str">
        <f t="shared" si="9"/>
        <v/>
      </c>
      <c r="K88" s="9"/>
      <c r="L88" s="31"/>
      <c r="M88" s="9"/>
      <c r="N88" s="9"/>
      <c r="O88" s="12" t="str">
        <f t="shared" si="10"/>
        <v/>
      </c>
      <c r="P88" s="12" t="str">
        <f t="shared" si="11"/>
        <v/>
      </c>
      <c r="Q88" s="12" t="str">
        <f t="shared" si="12"/>
        <v/>
      </c>
      <c r="R88" s="9"/>
      <c r="S88" s="31"/>
      <c r="T88" s="8" t="str">
        <f t="shared" si="13"/>
        <v/>
      </c>
      <c r="U88" s="8">
        <f t="shared" si="14"/>
        <v>0</v>
      </c>
      <c r="V88" s="8">
        <f>IF(B88="",0,IF(SUMPRODUCT(--(B$4:B88=B88))&gt;1,1,0))</f>
        <v>0</v>
      </c>
      <c r="W88" s="8">
        <f t="shared" si="15"/>
        <v>0</v>
      </c>
    </row>
    <row r="89" spans="1:23" x14ac:dyDescent="0.25">
      <c r="A89" s="8">
        <v>86</v>
      </c>
      <c r="B89" s="9"/>
      <c r="C89" s="9"/>
      <c r="D89" s="33" t="str">
        <f t="shared" si="8"/>
        <v/>
      </c>
      <c r="E89" s="9"/>
      <c r="F89" s="31"/>
      <c r="G89" s="11"/>
      <c r="H89" s="11"/>
      <c r="I89" s="9"/>
      <c r="J89" s="12" t="str">
        <f t="shared" si="9"/>
        <v/>
      </c>
      <c r="K89" s="9"/>
      <c r="L89" s="31"/>
      <c r="M89" s="9"/>
      <c r="N89" s="9"/>
      <c r="O89" s="12" t="str">
        <f t="shared" si="10"/>
        <v/>
      </c>
      <c r="P89" s="12" t="str">
        <f t="shared" si="11"/>
        <v/>
      </c>
      <c r="Q89" s="12" t="str">
        <f t="shared" si="12"/>
        <v/>
      </c>
      <c r="R89" s="9"/>
      <c r="S89" s="31"/>
      <c r="T89" s="8" t="str">
        <f t="shared" si="13"/>
        <v/>
      </c>
      <c r="U89" s="8">
        <f t="shared" si="14"/>
        <v>0</v>
      </c>
      <c r="V89" s="8">
        <f>IF(B89="",0,IF(SUMPRODUCT(--(B$4:B89=B89))&gt;1,1,0))</f>
        <v>0</v>
      </c>
      <c r="W89" s="8">
        <f t="shared" si="15"/>
        <v>0</v>
      </c>
    </row>
    <row r="90" spans="1:23" x14ac:dyDescent="0.25">
      <c r="A90" s="8">
        <v>87</v>
      </c>
      <c r="B90" s="9"/>
      <c r="C90" s="9"/>
      <c r="D90" s="33" t="str">
        <f t="shared" si="8"/>
        <v/>
      </c>
      <c r="E90" s="9"/>
      <c r="F90" s="31"/>
      <c r="G90" s="11"/>
      <c r="H90" s="11"/>
      <c r="I90" s="9"/>
      <c r="J90" s="12" t="str">
        <f t="shared" si="9"/>
        <v/>
      </c>
      <c r="K90" s="9"/>
      <c r="L90" s="31"/>
      <c r="M90" s="9"/>
      <c r="N90" s="9"/>
      <c r="O90" s="12" t="str">
        <f t="shared" si="10"/>
        <v/>
      </c>
      <c r="P90" s="12" t="str">
        <f t="shared" si="11"/>
        <v/>
      </c>
      <c r="Q90" s="12" t="str">
        <f t="shared" si="12"/>
        <v/>
      </c>
      <c r="R90" s="9"/>
      <c r="S90" s="31"/>
      <c r="T90" s="8" t="str">
        <f t="shared" si="13"/>
        <v/>
      </c>
      <c r="U90" s="8">
        <f t="shared" si="14"/>
        <v>0</v>
      </c>
      <c r="V90" s="8">
        <f>IF(B90="",0,IF(SUMPRODUCT(--(B$4:B90=B90))&gt;1,1,0))</f>
        <v>0</v>
      </c>
      <c r="W90" s="8">
        <f t="shared" si="15"/>
        <v>0</v>
      </c>
    </row>
    <row r="91" spans="1:23" x14ac:dyDescent="0.25">
      <c r="A91" s="8">
        <v>88</v>
      </c>
      <c r="B91" s="9"/>
      <c r="C91" s="9"/>
      <c r="D91" s="33" t="str">
        <f t="shared" si="8"/>
        <v/>
      </c>
      <c r="E91" s="9"/>
      <c r="F91" s="31"/>
      <c r="G91" s="11"/>
      <c r="H91" s="11"/>
      <c r="I91" s="9"/>
      <c r="J91" s="12" t="str">
        <f t="shared" si="9"/>
        <v/>
      </c>
      <c r="K91" s="9"/>
      <c r="L91" s="31"/>
      <c r="M91" s="9"/>
      <c r="N91" s="9"/>
      <c r="O91" s="12" t="str">
        <f t="shared" si="10"/>
        <v/>
      </c>
      <c r="P91" s="12" t="str">
        <f t="shared" si="11"/>
        <v/>
      </c>
      <c r="Q91" s="12" t="str">
        <f t="shared" si="12"/>
        <v/>
      </c>
      <c r="R91" s="9"/>
      <c r="S91" s="31"/>
      <c r="T91" s="8" t="str">
        <f t="shared" si="13"/>
        <v/>
      </c>
      <c r="U91" s="8">
        <f t="shared" si="14"/>
        <v>0</v>
      </c>
      <c r="V91" s="8">
        <f>IF(B91="",0,IF(SUMPRODUCT(--(B$4:B91=B91))&gt;1,1,0))</f>
        <v>0</v>
      </c>
      <c r="W91" s="8">
        <f t="shared" si="15"/>
        <v>0</v>
      </c>
    </row>
    <row r="92" spans="1:23" x14ac:dyDescent="0.25">
      <c r="A92" s="8">
        <v>89</v>
      </c>
      <c r="B92" s="9"/>
      <c r="C92" s="9"/>
      <c r="D92" s="33" t="str">
        <f t="shared" si="8"/>
        <v/>
      </c>
      <c r="E92" s="9"/>
      <c r="F92" s="31"/>
      <c r="G92" s="11"/>
      <c r="H92" s="11"/>
      <c r="I92" s="9"/>
      <c r="J92" s="12" t="str">
        <f t="shared" si="9"/>
        <v/>
      </c>
      <c r="K92" s="9"/>
      <c r="L92" s="31"/>
      <c r="M92" s="9"/>
      <c r="N92" s="9"/>
      <c r="O92" s="12" t="str">
        <f t="shared" si="10"/>
        <v/>
      </c>
      <c r="P92" s="12" t="str">
        <f t="shared" si="11"/>
        <v/>
      </c>
      <c r="Q92" s="12" t="str">
        <f t="shared" si="12"/>
        <v/>
      </c>
      <c r="R92" s="9"/>
      <c r="S92" s="31"/>
      <c r="T92" s="8" t="str">
        <f t="shared" si="13"/>
        <v/>
      </c>
      <c r="U92" s="8">
        <f t="shared" si="14"/>
        <v>0</v>
      </c>
      <c r="V92" s="8">
        <f>IF(B92="",0,IF(SUMPRODUCT(--(B$4:B92=B92))&gt;1,1,0))</f>
        <v>0</v>
      </c>
      <c r="W92" s="8">
        <f t="shared" si="15"/>
        <v>0</v>
      </c>
    </row>
    <row r="93" spans="1:23" x14ac:dyDescent="0.25">
      <c r="A93" s="8">
        <v>90</v>
      </c>
      <c r="B93" s="9"/>
      <c r="C93" s="9"/>
      <c r="D93" s="33" t="str">
        <f t="shared" si="8"/>
        <v/>
      </c>
      <c r="E93" s="9"/>
      <c r="F93" s="31"/>
      <c r="G93" s="11"/>
      <c r="H93" s="11"/>
      <c r="I93" s="9"/>
      <c r="J93" s="12" t="str">
        <f t="shared" si="9"/>
        <v/>
      </c>
      <c r="K93" s="9"/>
      <c r="L93" s="31"/>
      <c r="M93" s="9"/>
      <c r="N93" s="9"/>
      <c r="O93" s="12" t="str">
        <f t="shared" si="10"/>
        <v/>
      </c>
      <c r="P93" s="12" t="str">
        <f t="shared" si="11"/>
        <v/>
      </c>
      <c r="Q93" s="12" t="str">
        <f t="shared" si="12"/>
        <v/>
      </c>
      <c r="R93" s="9"/>
      <c r="S93" s="31"/>
      <c r="T93" s="8" t="str">
        <f t="shared" si="13"/>
        <v/>
      </c>
      <c r="U93" s="8">
        <f t="shared" si="14"/>
        <v>0</v>
      </c>
      <c r="V93" s="8">
        <f>IF(B93="",0,IF(SUMPRODUCT(--(B$4:B93=B93))&gt;1,1,0))</f>
        <v>0</v>
      </c>
      <c r="W93" s="8">
        <f t="shared" si="15"/>
        <v>0</v>
      </c>
    </row>
    <row r="94" spans="1:23" x14ac:dyDescent="0.25">
      <c r="A94" s="8">
        <v>91</v>
      </c>
      <c r="B94" s="9"/>
      <c r="C94" s="9"/>
      <c r="D94" s="33" t="str">
        <f t="shared" si="8"/>
        <v/>
      </c>
      <c r="E94" s="9"/>
      <c r="F94" s="31"/>
      <c r="G94" s="11"/>
      <c r="H94" s="11"/>
      <c r="I94" s="9"/>
      <c r="J94" s="12" t="str">
        <f t="shared" si="9"/>
        <v/>
      </c>
      <c r="K94" s="9"/>
      <c r="L94" s="31"/>
      <c r="M94" s="9"/>
      <c r="N94" s="9"/>
      <c r="O94" s="12" t="str">
        <f t="shared" si="10"/>
        <v/>
      </c>
      <c r="P94" s="12" t="str">
        <f t="shared" si="11"/>
        <v/>
      </c>
      <c r="Q94" s="12" t="str">
        <f t="shared" si="12"/>
        <v/>
      </c>
      <c r="R94" s="9"/>
      <c r="S94" s="31"/>
      <c r="T94" s="8" t="str">
        <f t="shared" si="13"/>
        <v/>
      </c>
      <c r="U94" s="8">
        <f t="shared" si="14"/>
        <v>0</v>
      </c>
      <c r="V94" s="8">
        <f>IF(B94="",0,IF(SUMPRODUCT(--(B$4:B94=B94))&gt;1,1,0))</f>
        <v>0</v>
      </c>
      <c r="W94" s="8">
        <f t="shared" si="15"/>
        <v>0</v>
      </c>
    </row>
    <row r="95" spans="1:23" x14ac:dyDescent="0.25">
      <c r="A95" s="8">
        <v>92</v>
      </c>
      <c r="B95" s="9"/>
      <c r="C95" s="9"/>
      <c r="D95" s="33" t="str">
        <f t="shared" si="8"/>
        <v/>
      </c>
      <c r="E95" s="9"/>
      <c r="F95" s="31"/>
      <c r="G95" s="11"/>
      <c r="H95" s="11"/>
      <c r="I95" s="9"/>
      <c r="J95" s="12" t="str">
        <f t="shared" si="9"/>
        <v/>
      </c>
      <c r="K95" s="9"/>
      <c r="L95" s="31"/>
      <c r="M95" s="9"/>
      <c r="N95" s="9"/>
      <c r="O95" s="12" t="str">
        <f t="shared" si="10"/>
        <v/>
      </c>
      <c r="P95" s="12" t="str">
        <f t="shared" si="11"/>
        <v/>
      </c>
      <c r="Q95" s="12" t="str">
        <f t="shared" si="12"/>
        <v/>
      </c>
      <c r="R95" s="9"/>
      <c r="S95" s="31"/>
      <c r="T95" s="8" t="str">
        <f t="shared" si="13"/>
        <v/>
      </c>
      <c r="U95" s="8">
        <f t="shared" si="14"/>
        <v>0</v>
      </c>
      <c r="V95" s="8">
        <f>IF(B95="",0,IF(SUMPRODUCT(--(B$4:B95=B95))&gt;1,1,0))</f>
        <v>0</v>
      </c>
      <c r="W95" s="8">
        <f t="shared" si="15"/>
        <v>0</v>
      </c>
    </row>
    <row r="96" spans="1:23" x14ac:dyDescent="0.25">
      <c r="A96" s="8">
        <v>93</v>
      </c>
      <c r="B96" s="9"/>
      <c r="C96" s="9"/>
      <c r="D96" s="33" t="str">
        <f t="shared" si="8"/>
        <v/>
      </c>
      <c r="E96" s="9"/>
      <c r="F96" s="31"/>
      <c r="G96" s="11"/>
      <c r="H96" s="11"/>
      <c r="I96" s="9"/>
      <c r="J96" s="12" t="str">
        <f t="shared" si="9"/>
        <v/>
      </c>
      <c r="K96" s="9"/>
      <c r="L96" s="31"/>
      <c r="M96" s="9"/>
      <c r="N96" s="9"/>
      <c r="O96" s="12" t="str">
        <f t="shared" si="10"/>
        <v/>
      </c>
      <c r="P96" s="12" t="str">
        <f t="shared" si="11"/>
        <v/>
      </c>
      <c r="Q96" s="12" t="str">
        <f t="shared" si="12"/>
        <v/>
      </c>
      <c r="R96" s="9"/>
      <c r="S96" s="31"/>
      <c r="T96" s="8" t="str">
        <f t="shared" si="13"/>
        <v/>
      </c>
      <c r="U96" s="8">
        <f t="shared" si="14"/>
        <v>0</v>
      </c>
      <c r="V96" s="8">
        <f>IF(B96="",0,IF(SUMPRODUCT(--(B$4:B96=B96))&gt;1,1,0))</f>
        <v>0</v>
      </c>
      <c r="W96" s="8">
        <f t="shared" si="15"/>
        <v>0</v>
      </c>
    </row>
    <row r="97" spans="1:23" x14ac:dyDescent="0.25">
      <c r="A97" s="8">
        <v>94</v>
      </c>
      <c r="B97" s="9"/>
      <c r="C97" s="9"/>
      <c r="D97" s="33" t="str">
        <f t="shared" si="8"/>
        <v/>
      </c>
      <c r="E97" s="9"/>
      <c r="F97" s="31"/>
      <c r="G97" s="11"/>
      <c r="H97" s="11"/>
      <c r="I97" s="9"/>
      <c r="J97" s="12" t="str">
        <f t="shared" si="9"/>
        <v/>
      </c>
      <c r="K97" s="9"/>
      <c r="L97" s="31"/>
      <c r="M97" s="9"/>
      <c r="N97" s="9"/>
      <c r="O97" s="12" t="str">
        <f t="shared" si="10"/>
        <v/>
      </c>
      <c r="P97" s="12" t="str">
        <f t="shared" si="11"/>
        <v/>
      </c>
      <c r="Q97" s="12" t="str">
        <f t="shared" si="12"/>
        <v/>
      </c>
      <c r="R97" s="9"/>
      <c r="S97" s="31"/>
      <c r="T97" s="8" t="str">
        <f t="shared" si="13"/>
        <v/>
      </c>
      <c r="U97" s="8">
        <f t="shared" si="14"/>
        <v>0</v>
      </c>
      <c r="V97" s="8">
        <f>IF(B97="",0,IF(SUMPRODUCT(--(B$4:B97=B97))&gt;1,1,0))</f>
        <v>0</v>
      </c>
      <c r="W97" s="8">
        <f t="shared" si="15"/>
        <v>0</v>
      </c>
    </row>
    <row r="98" spans="1:23" x14ac:dyDescent="0.25">
      <c r="A98" s="8">
        <v>95</v>
      </c>
      <c r="B98" s="9"/>
      <c r="C98" s="9"/>
      <c r="D98" s="33" t="str">
        <f t="shared" si="8"/>
        <v/>
      </c>
      <c r="E98" s="9"/>
      <c r="F98" s="31"/>
      <c r="G98" s="11"/>
      <c r="H98" s="11"/>
      <c r="I98" s="9"/>
      <c r="J98" s="12" t="str">
        <f t="shared" si="9"/>
        <v/>
      </c>
      <c r="K98" s="9"/>
      <c r="L98" s="31"/>
      <c r="M98" s="9"/>
      <c r="N98" s="9"/>
      <c r="O98" s="12" t="str">
        <f t="shared" si="10"/>
        <v/>
      </c>
      <c r="P98" s="12" t="str">
        <f t="shared" si="11"/>
        <v/>
      </c>
      <c r="Q98" s="12" t="str">
        <f t="shared" si="12"/>
        <v/>
      </c>
      <c r="R98" s="9"/>
      <c r="S98" s="31"/>
      <c r="T98" s="8" t="str">
        <f t="shared" si="13"/>
        <v/>
      </c>
      <c r="U98" s="8">
        <f t="shared" si="14"/>
        <v>0</v>
      </c>
      <c r="V98" s="8">
        <f>IF(B98="",0,IF(SUMPRODUCT(--(B$4:B98=B98))&gt;1,1,0))</f>
        <v>0</v>
      </c>
      <c r="W98" s="8">
        <f t="shared" si="15"/>
        <v>0</v>
      </c>
    </row>
    <row r="99" spans="1:23" x14ac:dyDescent="0.25">
      <c r="A99" s="8">
        <v>96</v>
      </c>
      <c r="B99" s="9"/>
      <c r="C99" s="9"/>
      <c r="D99" s="33" t="str">
        <f t="shared" si="8"/>
        <v/>
      </c>
      <c r="E99" s="9"/>
      <c r="F99" s="31"/>
      <c r="G99" s="11"/>
      <c r="H99" s="11"/>
      <c r="I99" s="9"/>
      <c r="J99" s="12" t="str">
        <f t="shared" si="9"/>
        <v/>
      </c>
      <c r="K99" s="9"/>
      <c r="L99" s="31"/>
      <c r="M99" s="9"/>
      <c r="N99" s="9"/>
      <c r="O99" s="12" t="str">
        <f t="shared" si="10"/>
        <v/>
      </c>
      <c r="P99" s="12" t="str">
        <f t="shared" si="11"/>
        <v/>
      </c>
      <c r="Q99" s="12" t="str">
        <f t="shared" si="12"/>
        <v/>
      </c>
      <c r="R99" s="9"/>
      <c r="S99" s="31"/>
      <c r="T99" s="8" t="str">
        <f t="shared" si="13"/>
        <v/>
      </c>
      <c r="U99" s="8">
        <f t="shared" si="14"/>
        <v>0</v>
      </c>
      <c r="V99" s="8">
        <f>IF(B99="",0,IF(SUMPRODUCT(--(B$4:B99=B99))&gt;1,1,0))</f>
        <v>0</v>
      </c>
      <c r="W99" s="8">
        <f t="shared" si="15"/>
        <v>0</v>
      </c>
    </row>
    <row r="100" spans="1:23" x14ac:dyDescent="0.25">
      <c r="A100" s="8">
        <v>97</v>
      </c>
      <c r="B100" s="9"/>
      <c r="C100" s="9"/>
      <c r="D100" s="33" t="str">
        <f t="shared" si="8"/>
        <v/>
      </c>
      <c r="E100" s="9"/>
      <c r="F100" s="31"/>
      <c r="G100" s="11"/>
      <c r="H100" s="11"/>
      <c r="I100" s="9"/>
      <c r="J100" s="12" t="str">
        <f t="shared" si="9"/>
        <v/>
      </c>
      <c r="K100" s="9"/>
      <c r="L100" s="31"/>
      <c r="M100" s="9"/>
      <c r="N100" s="9"/>
      <c r="O100" s="12" t="str">
        <f t="shared" si="10"/>
        <v/>
      </c>
      <c r="P100" s="12" t="str">
        <f t="shared" si="11"/>
        <v/>
      </c>
      <c r="Q100" s="12" t="str">
        <f t="shared" si="12"/>
        <v/>
      </c>
      <c r="R100" s="9"/>
      <c r="S100" s="31"/>
      <c r="T100" s="8" t="str">
        <f t="shared" si="13"/>
        <v/>
      </c>
      <c r="U100" s="8">
        <f t="shared" si="14"/>
        <v>0</v>
      </c>
      <c r="V100" s="8">
        <f>IF(B100="",0,IF(SUMPRODUCT(--(B$4:B100=B100))&gt;1,1,0))</f>
        <v>0</v>
      </c>
      <c r="W100" s="8">
        <f t="shared" si="15"/>
        <v>0</v>
      </c>
    </row>
    <row r="101" spans="1:23" x14ac:dyDescent="0.25">
      <c r="A101" s="8">
        <v>98</v>
      </c>
      <c r="B101" s="9"/>
      <c r="C101" s="9"/>
      <c r="D101" s="33" t="str">
        <f t="shared" si="8"/>
        <v/>
      </c>
      <c r="E101" s="9"/>
      <c r="F101" s="31"/>
      <c r="G101" s="11"/>
      <c r="H101" s="11"/>
      <c r="I101" s="9"/>
      <c r="J101" s="12" t="str">
        <f t="shared" si="9"/>
        <v/>
      </c>
      <c r="K101" s="9"/>
      <c r="L101" s="31"/>
      <c r="M101" s="9"/>
      <c r="N101" s="9"/>
      <c r="O101" s="12" t="str">
        <f t="shared" si="10"/>
        <v/>
      </c>
      <c r="P101" s="12" t="str">
        <f t="shared" si="11"/>
        <v/>
      </c>
      <c r="Q101" s="12" t="str">
        <f t="shared" si="12"/>
        <v/>
      </c>
      <c r="R101" s="9"/>
      <c r="S101" s="31"/>
      <c r="T101" s="8" t="str">
        <f t="shared" si="13"/>
        <v/>
      </c>
      <c r="U101" s="8">
        <f t="shared" si="14"/>
        <v>0</v>
      </c>
      <c r="V101" s="8">
        <f>IF(B101="",0,IF(SUMPRODUCT(--(B$4:B101=B101))&gt;1,1,0))</f>
        <v>0</v>
      </c>
      <c r="W101" s="8">
        <f t="shared" si="15"/>
        <v>0</v>
      </c>
    </row>
    <row r="102" spans="1:23" x14ac:dyDescent="0.25">
      <c r="A102" s="8">
        <v>99</v>
      </c>
      <c r="B102" s="9"/>
      <c r="C102" s="9"/>
      <c r="D102" s="33" t="str">
        <f t="shared" si="8"/>
        <v/>
      </c>
      <c r="E102" s="9"/>
      <c r="F102" s="31"/>
      <c r="G102" s="11"/>
      <c r="H102" s="11"/>
      <c r="I102" s="9"/>
      <c r="J102" s="12" t="str">
        <f t="shared" si="9"/>
        <v/>
      </c>
      <c r="K102" s="9"/>
      <c r="L102" s="31"/>
      <c r="M102" s="9"/>
      <c r="N102" s="9"/>
      <c r="O102" s="12" t="str">
        <f t="shared" si="10"/>
        <v/>
      </c>
      <c r="P102" s="12" t="str">
        <f t="shared" si="11"/>
        <v/>
      </c>
      <c r="Q102" s="12" t="str">
        <f t="shared" si="12"/>
        <v/>
      </c>
      <c r="R102" s="9"/>
      <c r="S102" s="31"/>
      <c r="T102" s="8" t="str">
        <f t="shared" si="13"/>
        <v/>
      </c>
      <c r="U102" s="8">
        <f t="shared" si="14"/>
        <v>0</v>
      </c>
      <c r="V102" s="8">
        <f>IF(B102="",0,IF(SUMPRODUCT(--(B$4:B102=B102))&gt;1,1,0))</f>
        <v>0</v>
      </c>
      <c r="W102" s="8">
        <f t="shared" si="15"/>
        <v>0</v>
      </c>
    </row>
    <row r="103" spans="1:23" x14ac:dyDescent="0.25">
      <c r="A103" s="8">
        <v>100</v>
      </c>
      <c r="B103" s="9"/>
      <c r="C103" s="9"/>
      <c r="D103" s="33" t="str">
        <f t="shared" si="8"/>
        <v/>
      </c>
      <c r="E103" s="9"/>
      <c r="F103" s="31"/>
      <c r="G103" s="11"/>
      <c r="H103" s="11"/>
      <c r="I103" s="9"/>
      <c r="J103" s="12" t="str">
        <f t="shared" si="9"/>
        <v/>
      </c>
      <c r="K103" s="9"/>
      <c r="L103" s="31"/>
      <c r="M103" s="9"/>
      <c r="N103" s="9"/>
      <c r="O103" s="12" t="str">
        <f t="shared" si="10"/>
        <v/>
      </c>
      <c r="P103" s="12" t="str">
        <f t="shared" si="11"/>
        <v/>
      </c>
      <c r="Q103" s="12" t="str">
        <f t="shared" si="12"/>
        <v/>
      </c>
      <c r="R103" s="9"/>
      <c r="S103" s="31"/>
      <c r="T103" s="8" t="str">
        <f t="shared" si="13"/>
        <v/>
      </c>
      <c r="U103" s="8">
        <f t="shared" si="14"/>
        <v>0</v>
      </c>
      <c r="V103" s="8">
        <f>IF(B103="",0,IF(SUMPRODUCT(--(B$4:B103=B103))&gt;1,1,0))</f>
        <v>0</v>
      </c>
      <c r="W103" s="8">
        <f t="shared" si="15"/>
        <v>0</v>
      </c>
    </row>
    <row r="104" spans="1:23" x14ac:dyDescent="0.25">
      <c r="A104" s="8">
        <v>101</v>
      </c>
      <c r="B104" s="9"/>
      <c r="C104" s="9"/>
      <c r="D104" s="33" t="str">
        <f t="shared" si="8"/>
        <v/>
      </c>
      <c r="E104" s="9"/>
      <c r="F104" s="31"/>
      <c r="G104" s="11"/>
      <c r="H104" s="11"/>
      <c r="I104" s="9"/>
      <c r="J104" s="12" t="str">
        <f t="shared" si="9"/>
        <v/>
      </c>
      <c r="K104" s="9"/>
      <c r="L104" s="31"/>
      <c r="M104" s="9"/>
      <c r="N104" s="9"/>
      <c r="O104" s="12" t="str">
        <f t="shared" si="10"/>
        <v/>
      </c>
      <c r="P104" s="12" t="str">
        <f t="shared" si="11"/>
        <v/>
      </c>
      <c r="Q104" s="12" t="str">
        <f t="shared" si="12"/>
        <v/>
      </c>
      <c r="R104" s="9"/>
      <c r="S104" s="31"/>
      <c r="T104" s="8" t="str">
        <f t="shared" si="13"/>
        <v/>
      </c>
      <c r="U104" s="8">
        <f t="shared" si="14"/>
        <v>0</v>
      </c>
      <c r="V104" s="8">
        <f>IF(B104="",0,IF(SUMPRODUCT(--(B$4:B104=B104))&gt;1,1,0))</f>
        <v>0</v>
      </c>
      <c r="W104" s="8">
        <f t="shared" si="15"/>
        <v>0</v>
      </c>
    </row>
    <row r="105" spans="1:23" x14ac:dyDescent="0.25">
      <c r="A105" s="8">
        <v>102</v>
      </c>
      <c r="B105" s="9"/>
      <c r="C105" s="9"/>
      <c r="D105" s="33" t="str">
        <f t="shared" si="8"/>
        <v/>
      </c>
      <c r="E105" s="9"/>
      <c r="F105" s="31"/>
      <c r="G105" s="11"/>
      <c r="H105" s="11"/>
      <c r="I105" s="9"/>
      <c r="J105" s="12" t="str">
        <f t="shared" si="9"/>
        <v/>
      </c>
      <c r="K105" s="9"/>
      <c r="L105" s="31"/>
      <c r="M105" s="9"/>
      <c r="N105" s="9"/>
      <c r="O105" s="12" t="str">
        <f t="shared" si="10"/>
        <v/>
      </c>
      <c r="P105" s="12" t="str">
        <f t="shared" si="11"/>
        <v/>
      </c>
      <c r="Q105" s="12" t="str">
        <f t="shared" si="12"/>
        <v/>
      </c>
      <c r="R105" s="9"/>
      <c r="S105" s="31"/>
      <c r="T105" s="8" t="str">
        <f t="shared" si="13"/>
        <v/>
      </c>
      <c r="U105" s="8">
        <f t="shared" si="14"/>
        <v>0</v>
      </c>
      <c r="V105" s="8">
        <f>IF(B105="",0,IF(SUMPRODUCT(--(B$4:B105=B105))&gt;1,1,0))</f>
        <v>0</v>
      </c>
      <c r="W105" s="8">
        <f t="shared" si="15"/>
        <v>0</v>
      </c>
    </row>
    <row r="106" spans="1:23" x14ac:dyDescent="0.25">
      <c r="A106" s="8">
        <v>103</v>
      </c>
      <c r="B106" s="9"/>
      <c r="C106" s="9"/>
      <c r="D106" s="33" t="str">
        <f t="shared" si="8"/>
        <v/>
      </c>
      <c r="E106" s="9"/>
      <c r="F106" s="31"/>
      <c r="G106" s="11"/>
      <c r="H106" s="11"/>
      <c r="I106" s="9"/>
      <c r="J106" s="12" t="str">
        <f t="shared" si="9"/>
        <v/>
      </c>
      <c r="K106" s="9"/>
      <c r="L106" s="31"/>
      <c r="M106" s="9"/>
      <c r="N106" s="9"/>
      <c r="O106" s="12" t="str">
        <f t="shared" si="10"/>
        <v/>
      </c>
      <c r="P106" s="12" t="str">
        <f t="shared" si="11"/>
        <v/>
      </c>
      <c r="Q106" s="12" t="str">
        <f t="shared" si="12"/>
        <v/>
      </c>
      <c r="R106" s="9"/>
      <c r="S106" s="31"/>
      <c r="T106" s="8" t="str">
        <f t="shared" si="13"/>
        <v/>
      </c>
      <c r="U106" s="8">
        <f t="shared" si="14"/>
        <v>0</v>
      </c>
      <c r="V106" s="8">
        <f>IF(B106="",0,IF(SUMPRODUCT(--(B$4:B106=B106))&gt;1,1,0))</f>
        <v>0</v>
      </c>
      <c r="W106" s="8">
        <f t="shared" si="15"/>
        <v>0</v>
      </c>
    </row>
    <row r="107" spans="1:23" x14ac:dyDescent="0.25">
      <c r="A107" s="8">
        <v>104</v>
      </c>
      <c r="B107" s="9"/>
      <c r="C107" s="9"/>
      <c r="D107" s="33" t="str">
        <f t="shared" si="8"/>
        <v/>
      </c>
      <c r="E107" s="9"/>
      <c r="F107" s="31"/>
      <c r="G107" s="11"/>
      <c r="H107" s="11"/>
      <c r="I107" s="9"/>
      <c r="J107" s="12" t="str">
        <f t="shared" si="9"/>
        <v/>
      </c>
      <c r="K107" s="9"/>
      <c r="L107" s="31"/>
      <c r="M107" s="9"/>
      <c r="N107" s="9"/>
      <c r="O107" s="12" t="str">
        <f t="shared" si="10"/>
        <v/>
      </c>
      <c r="P107" s="12" t="str">
        <f t="shared" si="11"/>
        <v/>
      </c>
      <c r="Q107" s="12" t="str">
        <f t="shared" si="12"/>
        <v/>
      </c>
      <c r="R107" s="9"/>
      <c r="S107" s="31"/>
      <c r="T107" s="8" t="str">
        <f t="shared" si="13"/>
        <v/>
      </c>
      <c r="U107" s="8">
        <f t="shared" si="14"/>
        <v>0</v>
      </c>
      <c r="V107" s="8">
        <f>IF(B107="",0,IF(SUMPRODUCT(--(B$4:B107=B107))&gt;1,1,0))</f>
        <v>0</v>
      </c>
      <c r="W107" s="8">
        <f t="shared" si="15"/>
        <v>0</v>
      </c>
    </row>
    <row r="108" spans="1:23" x14ac:dyDescent="0.25">
      <c r="A108" s="8">
        <v>105</v>
      </c>
      <c r="B108" s="9"/>
      <c r="C108" s="9"/>
      <c r="D108" s="33" t="str">
        <f t="shared" si="8"/>
        <v/>
      </c>
      <c r="E108" s="9"/>
      <c r="F108" s="31"/>
      <c r="G108" s="11"/>
      <c r="H108" s="11"/>
      <c r="I108" s="9"/>
      <c r="J108" s="12" t="str">
        <f t="shared" si="9"/>
        <v/>
      </c>
      <c r="K108" s="9"/>
      <c r="L108" s="31"/>
      <c r="M108" s="9"/>
      <c r="N108" s="9"/>
      <c r="O108" s="12" t="str">
        <f t="shared" si="10"/>
        <v/>
      </c>
      <c r="P108" s="12" t="str">
        <f t="shared" si="11"/>
        <v/>
      </c>
      <c r="Q108" s="12" t="str">
        <f t="shared" si="12"/>
        <v/>
      </c>
      <c r="R108" s="9"/>
      <c r="S108" s="31"/>
      <c r="T108" s="8" t="str">
        <f t="shared" si="13"/>
        <v/>
      </c>
      <c r="U108" s="8">
        <f t="shared" si="14"/>
        <v>0</v>
      </c>
      <c r="V108" s="8">
        <f>IF(B108="",0,IF(SUMPRODUCT(--(B$4:B108=B108))&gt;1,1,0))</f>
        <v>0</v>
      </c>
      <c r="W108" s="8">
        <f t="shared" si="15"/>
        <v>0</v>
      </c>
    </row>
    <row r="109" spans="1:23" x14ac:dyDescent="0.25">
      <c r="A109" s="8">
        <v>106</v>
      </c>
      <c r="B109" s="9"/>
      <c r="C109" s="9"/>
      <c r="D109" s="33" t="str">
        <f t="shared" si="8"/>
        <v/>
      </c>
      <c r="E109" s="9"/>
      <c r="F109" s="31"/>
      <c r="G109" s="11"/>
      <c r="H109" s="11"/>
      <c r="I109" s="9"/>
      <c r="J109" s="12" t="str">
        <f t="shared" si="9"/>
        <v/>
      </c>
      <c r="K109" s="9"/>
      <c r="L109" s="31"/>
      <c r="M109" s="9"/>
      <c r="N109" s="9"/>
      <c r="O109" s="12" t="str">
        <f t="shared" si="10"/>
        <v/>
      </c>
      <c r="P109" s="12" t="str">
        <f t="shared" si="11"/>
        <v/>
      </c>
      <c r="Q109" s="12" t="str">
        <f t="shared" si="12"/>
        <v/>
      </c>
      <c r="R109" s="9"/>
      <c r="S109" s="31"/>
      <c r="T109" s="8" t="str">
        <f t="shared" si="13"/>
        <v/>
      </c>
      <c r="U109" s="8">
        <f t="shared" si="14"/>
        <v>0</v>
      </c>
      <c r="V109" s="8">
        <f>IF(B109="",0,IF(SUMPRODUCT(--(B$4:B109=B109))&gt;1,1,0))</f>
        <v>0</v>
      </c>
      <c r="W109" s="8">
        <f t="shared" si="15"/>
        <v>0</v>
      </c>
    </row>
    <row r="110" spans="1:23" x14ac:dyDescent="0.25">
      <c r="A110" s="8">
        <v>107</v>
      </c>
      <c r="B110" s="9"/>
      <c r="C110" s="9"/>
      <c r="D110" s="33" t="str">
        <f t="shared" si="8"/>
        <v/>
      </c>
      <c r="E110" s="9"/>
      <c r="F110" s="31"/>
      <c r="G110" s="11"/>
      <c r="H110" s="11"/>
      <c r="I110" s="9"/>
      <c r="J110" s="12" t="str">
        <f t="shared" si="9"/>
        <v/>
      </c>
      <c r="K110" s="9"/>
      <c r="L110" s="31"/>
      <c r="M110" s="9"/>
      <c r="N110" s="9"/>
      <c r="O110" s="12" t="str">
        <f t="shared" si="10"/>
        <v/>
      </c>
      <c r="P110" s="12" t="str">
        <f t="shared" si="11"/>
        <v/>
      </c>
      <c r="Q110" s="12" t="str">
        <f t="shared" si="12"/>
        <v/>
      </c>
      <c r="R110" s="9"/>
      <c r="S110" s="31"/>
      <c r="T110" s="8" t="str">
        <f t="shared" si="13"/>
        <v/>
      </c>
      <c r="U110" s="8">
        <f t="shared" si="14"/>
        <v>0</v>
      </c>
      <c r="V110" s="8">
        <f>IF(B110="",0,IF(SUMPRODUCT(--(B$4:B110=B110))&gt;1,1,0))</f>
        <v>0</v>
      </c>
      <c r="W110" s="8">
        <f t="shared" si="15"/>
        <v>0</v>
      </c>
    </row>
    <row r="111" spans="1:23" x14ac:dyDescent="0.25">
      <c r="A111" s="8">
        <v>108</v>
      </c>
      <c r="B111" s="9"/>
      <c r="C111" s="9"/>
      <c r="D111" s="33" t="str">
        <f t="shared" si="8"/>
        <v/>
      </c>
      <c r="E111" s="9"/>
      <c r="F111" s="31"/>
      <c r="G111" s="11"/>
      <c r="H111" s="11"/>
      <c r="I111" s="9"/>
      <c r="J111" s="12" t="str">
        <f t="shared" si="9"/>
        <v/>
      </c>
      <c r="K111" s="9"/>
      <c r="L111" s="31"/>
      <c r="M111" s="9"/>
      <c r="N111" s="9"/>
      <c r="O111" s="12" t="str">
        <f t="shared" si="10"/>
        <v/>
      </c>
      <c r="P111" s="12" t="str">
        <f t="shared" si="11"/>
        <v/>
      </c>
      <c r="Q111" s="12" t="str">
        <f t="shared" si="12"/>
        <v/>
      </c>
      <c r="R111" s="9"/>
      <c r="S111" s="31"/>
      <c r="T111" s="8" t="str">
        <f t="shared" si="13"/>
        <v/>
      </c>
      <c r="U111" s="8">
        <f t="shared" si="14"/>
        <v>0</v>
      </c>
      <c r="V111" s="8">
        <f>IF(B111="",0,IF(SUMPRODUCT(--(B$4:B111=B111))&gt;1,1,0))</f>
        <v>0</v>
      </c>
      <c r="W111" s="8">
        <f t="shared" si="15"/>
        <v>0</v>
      </c>
    </row>
    <row r="112" spans="1:23" x14ac:dyDescent="0.25">
      <c r="A112" s="8">
        <v>109</v>
      </c>
      <c r="B112" s="9"/>
      <c r="C112" s="9"/>
      <c r="D112" s="33" t="str">
        <f t="shared" si="8"/>
        <v/>
      </c>
      <c r="E112" s="9"/>
      <c r="F112" s="31"/>
      <c r="G112" s="11"/>
      <c r="H112" s="11"/>
      <c r="I112" s="9"/>
      <c r="J112" s="12" t="str">
        <f t="shared" si="9"/>
        <v/>
      </c>
      <c r="K112" s="9"/>
      <c r="L112" s="31"/>
      <c r="M112" s="9"/>
      <c r="N112" s="9"/>
      <c r="O112" s="12" t="str">
        <f t="shared" si="10"/>
        <v/>
      </c>
      <c r="P112" s="12" t="str">
        <f t="shared" si="11"/>
        <v/>
      </c>
      <c r="Q112" s="12" t="str">
        <f t="shared" si="12"/>
        <v/>
      </c>
      <c r="R112" s="9"/>
      <c r="S112" s="31"/>
      <c r="T112" s="8" t="str">
        <f t="shared" si="13"/>
        <v/>
      </c>
      <c r="U112" s="8">
        <f t="shared" si="14"/>
        <v>0</v>
      </c>
      <c r="V112" s="8">
        <f>IF(B112="",0,IF(SUMPRODUCT(--(B$4:B112=B112))&gt;1,1,0))</f>
        <v>0</v>
      </c>
      <c r="W112" s="8">
        <f t="shared" si="15"/>
        <v>0</v>
      </c>
    </row>
    <row r="113" spans="1:23" x14ac:dyDescent="0.25">
      <c r="A113" s="8">
        <v>110</v>
      </c>
      <c r="B113" s="9"/>
      <c r="C113" s="9"/>
      <c r="D113" s="33" t="str">
        <f t="shared" si="8"/>
        <v/>
      </c>
      <c r="E113" s="9"/>
      <c r="F113" s="31"/>
      <c r="G113" s="11"/>
      <c r="H113" s="11"/>
      <c r="I113" s="9"/>
      <c r="J113" s="12" t="str">
        <f t="shared" si="9"/>
        <v/>
      </c>
      <c r="K113" s="9"/>
      <c r="L113" s="31"/>
      <c r="M113" s="9"/>
      <c r="N113" s="9"/>
      <c r="O113" s="12" t="str">
        <f t="shared" si="10"/>
        <v/>
      </c>
      <c r="P113" s="12" t="str">
        <f t="shared" si="11"/>
        <v/>
      </c>
      <c r="Q113" s="12" t="str">
        <f t="shared" si="12"/>
        <v/>
      </c>
      <c r="R113" s="9"/>
      <c r="S113" s="31"/>
      <c r="T113" s="8" t="str">
        <f t="shared" si="13"/>
        <v/>
      </c>
      <c r="U113" s="8">
        <f t="shared" si="14"/>
        <v>0</v>
      </c>
      <c r="V113" s="8">
        <f>IF(B113="",0,IF(SUMPRODUCT(--(B$4:B113=B113))&gt;1,1,0))</f>
        <v>0</v>
      </c>
      <c r="W113" s="8">
        <f t="shared" si="15"/>
        <v>0</v>
      </c>
    </row>
    <row r="114" spans="1:23" x14ac:dyDescent="0.25">
      <c r="A114" s="8">
        <v>111</v>
      </c>
      <c r="B114" s="9"/>
      <c r="C114" s="9"/>
      <c r="D114" s="33" t="str">
        <f t="shared" si="8"/>
        <v/>
      </c>
      <c r="E114" s="9"/>
      <c r="F114" s="31"/>
      <c r="G114" s="11"/>
      <c r="H114" s="11"/>
      <c r="I114" s="9"/>
      <c r="J114" s="12" t="str">
        <f t="shared" si="9"/>
        <v/>
      </c>
      <c r="K114" s="9"/>
      <c r="L114" s="31"/>
      <c r="M114" s="9"/>
      <c r="N114" s="9"/>
      <c r="O114" s="12" t="str">
        <f t="shared" si="10"/>
        <v/>
      </c>
      <c r="P114" s="12" t="str">
        <f t="shared" si="11"/>
        <v/>
      </c>
      <c r="Q114" s="12" t="str">
        <f t="shared" si="12"/>
        <v/>
      </c>
      <c r="R114" s="9"/>
      <c r="S114" s="31"/>
      <c r="T114" s="8" t="str">
        <f t="shared" si="13"/>
        <v/>
      </c>
      <c r="U114" s="8">
        <f t="shared" si="14"/>
        <v>0</v>
      </c>
      <c r="V114" s="8">
        <f>IF(B114="",0,IF(SUMPRODUCT(--(B$4:B114=B114))&gt;1,1,0))</f>
        <v>0</v>
      </c>
      <c r="W114" s="8">
        <f t="shared" si="15"/>
        <v>0</v>
      </c>
    </row>
    <row r="115" spans="1:23" x14ac:dyDescent="0.25">
      <c r="A115" s="8">
        <v>112</v>
      </c>
      <c r="B115" s="9"/>
      <c r="C115" s="9"/>
      <c r="D115" s="33" t="str">
        <f t="shared" si="8"/>
        <v/>
      </c>
      <c r="E115" s="9"/>
      <c r="F115" s="31"/>
      <c r="G115" s="11"/>
      <c r="H115" s="11"/>
      <c r="I115" s="9"/>
      <c r="J115" s="12" t="str">
        <f t="shared" si="9"/>
        <v/>
      </c>
      <c r="K115" s="9"/>
      <c r="L115" s="31"/>
      <c r="M115" s="9"/>
      <c r="N115" s="9"/>
      <c r="O115" s="12" t="str">
        <f t="shared" si="10"/>
        <v/>
      </c>
      <c r="P115" s="12" t="str">
        <f t="shared" si="11"/>
        <v/>
      </c>
      <c r="Q115" s="12" t="str">
        <f t="shared" si="12"/>
        <v/>
      </c>
      <c r="R115" s="9"/>
      <c r="S115" s="31"/>
      <c r="T115" s="8" t="str">
        <f t="shared" si="13"/>
        <v/>
      </c>
      <c r="U115" s="8">
        <f t="shared" si="14"/>
        <v>0</v>
      </c>
      <c r="V115" s="8">
        <f>IF(B115="",0,IF(SUMPRODUCT(--(B$4:B115=B115))&gt;1,1,0))</f>
        <v>0</v>
      </c>
      <c r="W115" s="8">
        <f t="shared" si="15"/>
        <v>0</v>
      </c>
    </row>
    <row r="116" spans="1:23" x14ac:dyDescent="0.25">
      <c r="A116" s="8">
        <v>113</v>
      </c>
      <c r="B116" s="9"/>
      <c r="C116" s="9"/>
      <c r="D116" s="33" t="str">
        <f t="shared" si="8"/>
        <v/>
      </c>
      <c r="E116" s="9"/>
      <c r="F116" s="31"/>
      <c r="G116" s="11"/>
      <c r="H116" s="11"/>
      <c r="I116" s="9"/>
      <c r="J116" s="12" t="str">
        <f t="shared" si="9"/>
        <v/>
      </c>
      <c r="K116" s="9"/>
      <c r="L116" s="31"/>
      <c r="M116" s="9"/>
      <c r="N116" s="9"/>
      <c r="O116" s="12" t="str">
        <f t="shared" si="10"/>
        <v/>
      </c>
      <c r="P116" s="12" t="str">
        <f t="shared" si="11"/>
        <v/>
      </c>
      <c r="Q116" s="12" t="str">
        <f t="shared" si="12"/>
        <v/>
      </c>
      <c r="R116" s="9"/>
      <c r="S116" s="31"/>
      <c r="T116" s="8" t="str">
        <f t="shared" si="13"/>
        <v/>
      </c>
      <c r="U116" s="8">
        <f t="shared" si="14"/>
        <v>0</v>
      </c>
      <c r="V116" s="8">
        <f>IF(B116="",0,IF(SUMPRODUCT(--(B$4:B116=B116))&gt;1,1,0))</f>
        <v>0</v>
      </c>
      <c r="W116" s="8">
        <f t="shared" si="15"/>
        <v>0</v>
      </c>
    </row>
    <row r="117" spans="1:23" x14ac:dyDescent="0.25">
      <c r="A117" s="8">
        <v>114</v>
      </c>
      <c r="B117" s="9"/>
      <c r="C117" s="9"/>
      <c r="D117" s="33" t="str">
        <f t="shared" si="8"/>
        <v/>
      </c>
      <c r="E117" s="9"/>
      <c r="F117" s="31"/>
      <c r="G117" s="11"/>
      <c r="H117" s="11"/>
      <c r="I117" s="9"/>
      <c r="J117" s="12" t="str">
        <f t="shared" si="9"/>
        <v/>
      </c>
      <c r="K117" s="9"/>
      <c r="L117" s="31"/>
      <c r="M117" s="9"/>
      <c r="N117" s="9"/>
      <c r="O117" s="12" t="str">
        <f t="shared" si="10"/>
        <v/>
      </c>
      <c r="P117" s="12" t="str">
        <f t="shared" si="11"/>
        <v/>
      </c>
      <c r="Q117" s="12" t="str">
        <f t="shared" si="12"/>
        <v/>
      </c>
      <c r="R117" s="9"/>
      <c r="S117" s="31"/>
      <c r="T117" s="8" t="str">
        <f t="shared" si="13"/>
        <v/>
      </c>
      <c r="U117" s="8">
        <f t="shared" si="14"/>
        <v>0</v>
      </c>
      <c r="V117" s="8">
        <f>IF(B117="",0,IF(SUMPRODUCT(--(B$4:B117=B117))&gt;1,1,0))</f>
        <v>0</v>
      </c>
      <c r="W117" s="8">
        <f t="shared" si="15"/>
        <v>0</v>
      </c>
    </row>
    <row r="118" spans="1:23" x14ac:dyDescent="0.25">
      <c r="A118" s="8">
        <v>115</v>
      </c>
      <c r="B118" s="9"/>
      <c r="C118" s="9"/>
      <c r="D118" s="33" t="str">
        <f t="shared" si="8"/>
        <v/>
      </c>
      <c r="E118" s="9"/>
      <c r="F118" s="31"/>
      <c r="G118" s="11"/>
      <c r="H118" s="11"/>
      <c r="I118" s="9"/>
      <c r="J118" s="12" t="str">
        <f t="shared" si="9"/>
        <v/>
      </c>
      <c r="K118" s="9"/>
      <c r="L118" s="31"/>
      <c r="M118" s="9"/>
      <c r="N118" s="9"/>
      <c r="O118" s="12" t="str">
        <f t="shared" si="10"/>
        <v/>
      </c>
      <c r="P118" s="12" t="str">
        <f t="shared" si="11"/>
        <v/>
      </c>
      <c r="Q118" s="12" t="str">
        <f t="shared" si="12"/>
        <v/>
      </c>
      <c r="R118" s="9"/>
      <c r="S118" s="31"/>
      <c r="T118" s="8" t="str">
        <f t="shared" si="13"/>
        <v/>
      </c>
      <c r="U118" s="8">
        <f t="shared" si="14"/>
        <v>0</v>
      </c>
      <c r="V118" s="8">
        <f>IF(B118="",0,IF(SUMPRODUCT(--(B$4:B118=B118))&gt;1,1,0))</f>
        <v>0</v>
      </c>
      <c r="W118" s="8">
        <f t="shared" si="15"/>
        <v>0</v>
      </c>
    </row>
    <row r="119" spans="1:23" x14ac:dyDescent="0.25">
      <c r="A119" s="8">
        <v>116</v>
      </c>
      <c r="B119" s="9"/>
      <c r="C119" s="9"/>
      <c r="D119" s="33" t="str">
        <f t="shared" si="8"/>
        <v/>
      </c>
      <c r="E119" s="9"/>
      <c r="F119" s="31"/>
      <c r="G119" s="11"/>
      <c r="H119" s="11"/>
      <c r="I119" s="9"/>
      <c r="J119" s="12" t="str">
        <f t="shared" si="9"/>
        <v/>
      </c>
      <c r="K119" s="9"/>
      <c r="L119" s="31"/>
      <c r="M119" s="9"/>
      <c r="N119" s="9"/>
      <c r="O119" s="12" t="str">
        <f t="shared" si="10"/>
        <v/>
      </c>
      <c r="P119" s="12" t="str">
        <f t="shared" si="11"/>
        <v/>
      </c>
      <c r="Q119" s="12" t="str">
        <f t="shared" si="12"/>
        <v/>
      </c>
      <c r="R119" s="9"/>
      <c r="S119" s="31"/>
      <c r="T119" s="8" t="str">
        <f t="shared" si="13"/>
        <v/>
      </c>
      <c r="U119" s="8">
        <f t="shared" si="14"/>
        <v>0</v>
      </c>
      <c r="V119" s="8">
        <f>IF(B119="",0,IF(SUMPRODUCT(--(B$4:B119=B119))&gt;1,1,0))</f>
        <v>0</v>
      </c>
      <c r="W119" s="8">
        <f t="shared" si="15"/>
        <v>0</v>
      </c>
    </row>
    <row r="120" spans="1:23" x14ac:dyDescent="0.25">
      <c r="A120" s="8">
        <v>117</v>
      </c>
      <c r="B120" s="9"/>
      <c r="C120" s="9"/>
      <c r="D120" s="33" t="str">
        <f t="shared" si="8"/>
        <v/>
      </c>
      <c r="E120" s="9"/>
      <c r="F120" s="31"/>
      <c r="G120" s="11"/>
      <c r="H120" s="11"/>
      <c r="I120" s="9"/>
      <c r="J120" s="12" t="str">
        <f t="shared" si="9"/>
        <v/>
      </c>
      <c r="K120" s="9"/>
      <c r="L120" s="31"/>
      <c r="M120" s="9"/>
      <c r="N120" s="9"/>
      <c r="O120" s="12" t="str">
        <f t="shared" si="10"/>
        <v/>
      </c>
      <c r="P120" s="12" t="str">
        <f t="shared" si="11"/>
        <v/>
      </c>
      <c r="Q120" s="12" t="str">
        <f t="shared" si="12"/>
        <v/>
      </c>
      <c r="R120" s="9"/>
      <c r="S120" s="31"/>
      <c r="T120" s="8" t="str">
        <f t="shared" si="13"/>
        <v/>
      </c>
      <c r="U120" s="8">
        <f t="shared" si="14"/>
        <v>0</v>
      </c>
      <c r="V120" s="8">
        <f>IF(B120="",0,IF(SUMPRODUCT(--(B$4:B120=B120))&gt;1,1,0))</f>
        <v>0</v>
      </c>
      <c r="W120" s="8">
        <f t="shared" si="15"/>
        <v>0</v>
      </c>
    </row>
    <row r="121" spans="1:23" x14ac:dyDescent="0.25">
      <c r="A121" s="8">
        <v>118</v>
      </c>
      <c r="B121" s="9"/>
      <c r="C121" s="9"/>
      <c r="D121" s="33" t="str">
        <f t="shared" si="8"/>
        <v/>
      </c>
      <c r="E121" s="9"/>
      <c r="F121" s="31"/>
      <c r="G121" s="11"/>
      <c r="H121" s="11"/>
      <c r="I121" s="9"/>
      <c r="J121" s="12" t="str">
        <f t="shared" si="9"/>
        <v/>
      </c>
      <c r="K121" s="9"/>
      <c r="L121" s="31"/>
      <c r="M121" s="9"/>
      <c r="N121" s="9"/>
      <c r="O121" s="12" t="str">
        <f t="shared" si="10"/>
        <v/>
      </c>
      <c r="P121" s="12" t="str">
        <f t="shared" si="11"/>
        <v/>
      </c>
      <c r="Q121" s="12" t="str">
        <f t="shared" si="12"/>
        <v/>
      </c>
      <c r="R121" s="9"/>
      <c r="S121" s="31"/>
      <c r="T121" s="8" t="str">
        <f t="shared" si="13"/>
        <v/>
      </c>
      <c r="U121" s="8">
        <f t="shared" si="14"/>
        <v>0</v>
      </c>
      <c r="V121" s="8">
        <f>IF(B121="",0,IF(SUMPRODUCT(--(B$4:B121=B121))&gt;1,1,0))</f>
        <v>0</v>
      </c>
      <c r="W121" s="8">
        <f t="shared" si="15"/>
        <v>0</v>
      </c>
    </row>
    <row r="122" spans="1:23" x14ac:dyDescent="0.25">
      <c r="A122" s="8">
        <v>119</v>
      </c>
      <c r="B122" s="9"/>
      <c r="C122" s="9"/>
      <c r="D122" s="33" t="str">
        <f t="shared" si="8"/>
        <v/>
      </c>
      <c r="E122" s="9"/>
      <c r="F122" s="31"/>
      <c r="G122" s="11"/>
      <c r="H122" s="11"/>
      <c r="I122" s="9"/>
      <c r="J122" s="12" t="str">
        <f t="shared" si="9"/>
        <v/>
      </c>
      <c r="K122" s="9"/>
      <c r="L122" s="31"/>
      <c r="M122" s="9"/>
      <c r="N122" s="9"/>
      <c r="O122" s="12" t="str">
        <f t="shared" si="10"/>
        <v/>
      </c>
      <c r="P122" s="12" t="str">
        <f t="shared" si="11"/>
        <v/>
      </c>
      <c r="Q122" s="12" t="str">
        <f t="shared" si="12"/>
        <v/>
      </c>
      <c r="R122" s="9"/>
      <c r="S122" s="31"/>
      <c r="T122" s="8" t="str">
        <f t="shared" si="13"/>
        <v/>
      </c>
      <c r="U122" s="8">
        <f t="shared" si="14"/>
        <v>0</v>
      </c>
      <c r="V122" s="8">
        <f>IF(B122="",0,IF(SUMPRODUCT(--(B$4:B122=B122))&gt;1,1,0))</f>
        <v>0</v>
      </c>
      <c r="W122" s="8">
        <f t="shared" si="15"/>
        <v>0</v>
      </c>
    </row>
    <row r="123" spans="1:23" x14ac:dyDescent="0.25">
      <c r="A123" s="8">
        <v>120</v>
      </c>
      <c r="B123" s="9"/>
      <c r="C123" s="9"/>
      <c r="D123" s="33" t="str">
        <f t="shared" si="8"/>
        <v/>
      </c>
      <c r="E123" s="9"/>
      <c r="F123" s="31"/>
      <c r="G123" s="11"/>
      <c r="H123" s="11"/>
      <c r="I123" s="9"/>
      <c r="J123" s="12" t="str">
        <f t="shared" si="9"/>
        <v/>
      </c>
      <c r="K123" s="9"/>
      <c r="L123" s="31"/>
      <c r="M123" s="9"/>
      <c r="N123" s="9"/>
      <c r="O123" s="12" t="str">
        <f t="shared" si="10"/>
        <v/>
      </c>
      <c r="P123" s="12" t="str">
        <f t="shared" si="11"/>
        <v/>
      </c>
      <c r="Q123" s="12" t="str">
        <f t="shared" si="12"/>
        <v/>
      </c>
      <c r="R123" s="9"/>
      <c r="S123" s="31"/>
      <c r="T123" s="8" t="str">
        <f t="shared" si="13"/>
        <v/>
      </c>
      <c r="U123" s="8">
        <f t="shared" si="14"/>
        <v>0</v>
      </c>
      <c r="V123" s="8">
        <f>IF(B123="",0,IF(SUMPRODUCT(--(B$4:B123=B123))&gt;1,1,0))</f>
        <v>0</v>
      </c>
      <c r="W123" s="8">
        <f t="shared" si="15"/>
        <v>0</v>
      </c>
    </row>
    <row r="124" spans="1:23" x14ac:dyDescent="0.25">
      <c r="A124" s="8">
        <v>121</v>
      </c>
      <c r="B124" s="9"/>
      <c r="C124" s="9"/>
      <c r="D124" s="33" t="str">
        <f t="shared" si="8"/>
        <v/>
      </c>
      <c r="E124" s="9"/>
      <c r="F124" s="31"/>
      <c r="G124" s="11"/>
      <c r="H124" s="11"/>
      <c r="I124" s="9"/>
      <c r="J124" s="12" t="str">
        <f t="shared" si="9"/>
        <v/>
      </c>
      <c r="K124" s="9"/>
      <c r="L124" s="31"/>
      <c r="M124" s="9"/>
      <c r="N124" s="9"/>
      <c r="O124" s="12" t="str">
        <f t="shared" si="10"/>
        <v/>
      </c>
      <c r="P124" s="12" t="str">
        <f t="shared" si="11"/>
        <v/>
      </c>
      <c r="Q124" s="12" t="str">
        <f t="shared" si="12"/>
        <v/>
      </c>
      <c r="R124" s="9"/>
      <c r="S124" s="31"/>
      <c r="T124" s="8" t="str">
        <f t="shared" si="13"/>
        <v/>
      </c>
      <c r="U124" s="8">
        <f t="shared" si="14"/>
        <v>0</v>
      </c>
      <c r="V124" s="8">
        <f>IF(B124="",0,IF(SUMPRODUCT(--(B$4:B124=B124))&gt;1,1,0))</f>
        <v>0</v>
      </c>
      <c r="W124" s="8">
        <f t="shared" si="15"/>
        <v>0</v>
      </c>
    </row>
    <row r="125" spans="1:23" x14ac:dyDescent="0.25">
      <c r="A125" s="8">
        <v>122</v>
      </c>
      <c r="B125" s="9"/>
      <c r="C125" s="9"/>
      <c r="D125" s="33" t="str">
        <f t="shared" si="8"/>
        <v/>
      </c>
      <c r="E125" s="9"/>
      <c r="F125" s="31"/>
      <c r="G125" s="11"/>
      <c r="H125" s="11"/>
      <c r="I125" s="9"/>
      <c r="J125" s="12" t="str">
        <f t="shared" si="9"/>
        <v/>
      </c>
      <c r="K125" s="9"/>
      <c r="L125" s="31"/>
      <c r="M125" s="9"/>
      <c r="N125" s="9"/>
      <c r="O125" s="12" t="str">
        <f t="shared" si="10"/>
        <v/>
      </c>
      <c r="P125" s="12" t="str">
        <f t="shared" si="11"/>
        <v/>
      </c>
      <c r="Q125" s="12" t="str">
        <f t="shared" si="12"/>
        <v/>
      </c>
      <c r="R125" s="9"/>
      <c r="S125" s="31"/>
      <c r="T125" s="8" t="str">
        <f t="shared" si="13"/>
        <v/>
      </c>
      <c r="U125" s="8">
        <f t="shared" si="14"/>
        <v>0</v>
      </c>
      <c r="V125" s="8">
        <f>IF(B125="",0,IF(SUMPRODUCT(--(B$4:B125=B125))&gt;1,1,0))</f>
        <v>0</v>
      </c>
      <c r="W125" s="8">
        <f t="shared" si="15"/>
        <v>0</v>
      </c>
    </row>
    <row r="126" spans="1:23" x14ac:dyDescent="0.25">
      <c r="A126" s="8">
        <v>123</v>
      </c>
      <c r="B126" s="9"/>
      <c r="C126" s="9"/>
      <c r="D126" s="33" t="str">
        <f t="shared" si="8"/>
        <v/>
      </c>
      <c r="E126" s="9"/>
      <c r="F126" s="31"/>
      <c r="G126" s="11"/>
      <c r="H126" s="11"/>
      <c r="I126" s="9"/>
      <c r="J126" s="12" t="str">
        <f t="shared" si="9"/>
        <v/>
      </c>
      <c r="K126" s="9"/>
      <c r="L126" s="31"/>
      <c r="M126" s="9"/>
      <c r="N126" s="9"/>
      <c r="O126" s="12" t="str">
        <f t="shared" si="10"/>
        <v/>
      </c>
      <c r="P126" s="12" t="str">
        <f t="shared" si="11"/>
        <v/>
      </c>
      <c r="Q126" s="12" t="str">
        <f t="shared" si="12"/>
        <v/>
      </c>
      <c r="R126" s="9"/>
      <c r="S126" s="31"/>
      <c r="T126" s="8" t="str">
        <f t="shared" si="13"/>
        <v/>
      </c>
      <c r="U126" s="8">
        <f t="shared" si="14"/>
        <v>0</v>
      </c>
      <c r="V126" s="8">
        <f>IF(B126="",0,IF(SUMPRODUCT(--(B$4:B126=B126))&gt;1,1,0))</f>
        <v>0</v>
      </c>
      <c r="W126" s="8">
        <f t="shared" si="15"/>
        <v>0</v>
      </c>
    </row>
    <row r="127" spans="1:23" x14ac:dyDescent="0.25">
      <c r="A127" s="8">
        <v>124</v>
      </c>
      <c r="B127" s="9"/>
      <c r="C127" s="9"/>
      <c r="D127" s="33" t="str">
        <f t="shared" si="8"/>
        <v/>
      </c>
      <c r="E127" s="9"/>
      <c r="F127" s="31"/>
      <c r="G127" s="11"/>
      <c r="H127" s="11"/>
      <c r="I127" s="9"/>
      <c r="J127" s="12" t="str">
        <f t="shared" si="9"/>
        <v/>
      </c>
      <c r="K127" s="9"/>
      <c r="L127" s="31"/>
      <c r="M127" s="9"/>
      <c r="N127" s="9"/>
      <c r="O127" s="12" t="str">
        <f t="shared" si="10"/>
        <v/>
      </c>
      <c r="P127" s="12" t="str">
        <f t="shared" si="11"/>
        <v/>
      </c>
      <c r="Q127" s="12" t="str">
        <f t="shared" si="12"/>
        <v/>
      </c>
      <c r="R127" s="9"/>
      <c r="S127" s="31"/>
      <c r="T127" s="8" t="str">
        <f t="shared" si="13"/>
        <v/>
      </c>
      <c r="U127" s="8">
        <f t="shared" si="14"/>
        <v>0</v>
      </c>
      <c r="V127" s="8">
        <f>IF(B127="",0,IF(SUMPRODUCT(--(B$4:B127=B127))&gt;1,1,0))</f>
        <v>0</v>
      </c>
      <c r="W127" s="8">
        <f t="shared" si="15"/>
        <v>0</v>
      </c>
    </row>
    <row r="128" spans="1:23" x14ac:dyDescent="0.25">
      <c r="A128" s="8">
        <v>125</v>
      </c>
      <c r="B128" s="9"/>
      <c r="C128" s="9"/>
      <c r="D128" s="33" t="str">
        <f t="shared" si="8"/>
        <v/>
      </c>
      <c r="E128" s="9"/>
      <c r="F128" s="31"/>
      <c r="G128" s="11"/>
      <c r="H128" s="11"/>
      <c r="I128" s="9"/>
      <c r="J128" s="12" t="str">
        <f t="shared" si="9"/>
        <v/>
      </c>
      <c r="K128" s="9"/>
      <c r="L128" s="31"/>
      <c r="M128" s="9"/>
      <c r="N128" s="9"/>
      <c r="O128" s="12" t="str">
        <f t="shared" si="10"/>
        <v/>
      </c>
      <c r="P128" s="12" t="str">
        <f t="shared" si="11"/>
        <v/>
      </c>
      <c r="Q128" s="12" t="str">
        <f t="shared" si="12"/>
        <v/>
      </c>
      <c r="R128" s="9"/>
      <c r="S128" s="31"/>
      <c r="T128" s="8" t="str">
        <f t="shared" si="13"/>
        <v/>
      </c>
      <c r="U128" s="8">
        <f t="shared" si="14"/>
        <v>0</v>
      </c>
      <c r="V128" s="8">
        <f>IF(B128="",0,IF(SUMPRODUCT(--(B$4:B128=B128))&gt;1,1,0))</f>
        <v>0</v>
      </c>
      <c r="W128" s="8">
        <f t="shared" si="15"/>
        <v>0</v>
      </c>
    </row>
    <row r="129" spans="1:23" x14ac:dyDescent="0.25">
      <c r="A129" s="8">
        <v>126</v>
      </c>
      <c r="B129" s="9"/>
      <c r="C129" s="9"/>
      <c r="D129" s="33" t="str">
        <f t="shared" si="8"/>
        <v/>
      </c>
      <c r="E129" s="9"/>
      <c r="F129" s="31"/>
      <c r="G129" s="11"/>
      <c r="H129" s="11"/>
      <c r="I129" s="9"/>
      <c r="J129" s="12" t="str">
        <f t="shared" si="9"/>
        <v/>
      </c>
      <c r="K129" s="9"/>
      <c r="L129" s="31"/>
      <c r="M129" s="9"/>
      <c r="N129" s="9"/>
      <c r="O129" s="12" t="str">
        <f t="shared" si="10"/>
        <v/>
      </c>
      <c r="P129" s="12" t="str">
        <f t="shared" si="11"/>
        <v/>
      </c>
      <c r="Q129" s="12" t="str">
        <f t="shared" si="12"/>
        <v/>
      </c>
      <c r="R129" s="9"/>
      <c r="S129" s="31"/>
      <c r="T129" s="8" t="str">
        <f t="shared" si="13"/>
        <v/>
      </c>
      <c r="U129" s="8">
        <f t="shared" si="14"/>
        <v>0</v>
      </c>
      <c r="V129" s="8">
        <f>IF(B129="",0,IF(SUMPRODUCT(--(B$4:B129=B129))&gt;1,1,0))</f>
        <v>0</v>
      </c>
      <c r="W129" s="8">
        <f t="shared" si="15"/>
        <v>0</v>
      </c>
    </row>
    <row r="130" spans="1:23" x14ac:dyDescent="0.25">
      <c r="A130" s="8">
        <v>127</v>
      </c>
      <c r="B130" s="9"/>
      <c r="C130" s="9"/>
      <c r="D130" s="33" t="str">
        <f t="shared" si="8"/>
        <v/>
      </c>
      <c r="E130" s="9"/>
      <c r="F130" s="31"/>
      <c r="G130" s="11"/>
      <c r="H130" s="11"/>
      <c r="I130" s="9"/>
      <c r="J130" s="12" t="str">
        <f t="shared" si="9"/>
        <v/>
      </c>
      <c r="K130" s="9"/>
      <c r="L130" s="31"/>
      <c r="M130" s="9"/>
      <c r="N130" s="9"/>
      <c r="O130" s="12" t="str">
        <f t="shared" si="10"/>
        <v/>
      </c>
      <c r="P130" s="12" t="str">
        <f t="shared" si="11"/>
        <v/>
      </c>
      <c r="Q130" s="12" t="str">
        <f t="shared" si="12"/>
        <v/>
      </c>
      <c r="R130" s="9"/>
      <c r="S130" s="31"/>
      <c r="T130" s="8" t="str">
        <f t="shared" si="13"/>
        <v/>
      </c>
      <c r="U130" s="8">
        <f t="shared" si="14"/>
        <v>0</v>
      </c>
      <c r="V130" s="8">
        <f>IF(B130="",0,IF(SUMPRODUCT(--(B$4:B130=B130))&gt;1,1,0))</f>
        <v>0</v>
      </c>
      <c r="W130" s="8">
        <f t="shared" si="15"/>
        <v>0</v>
      </c>
    </row>
    <row r="131" spans="1:23" x14ac:dyDescent="0.25">
      <c r="A131" s="8">
        <v>128</v>
      </c>
      <c r="B131" s="9"/>
      <c r="C131" s="9"/>
      <c r="D131" s="33" t="str">
        <f t="shared" si="8"/>
        <v/>
      </c>
      <c r="E131" s="9"/>
      <c r="F131" s="31"/>
      <c r="G131" s="11"/>
      <c r="H131" s="11"/>
      <c r="I131" s="9"/>
      <c r="J131" s="12" t="str">
        <f t="shared" si="9"/>
        <v/>
      </c>
      <c r="K131" s="9"/>
      <c r="L131" s="31"/>
      <c r="M131" s="9"/>
      <c r="N131" s="9"/>
      <c r="O131" s="12" t="str">
        <f t="shared" si="10"/>
        <v/>
      </c>
      <c r="P131" s="12" t="str">
        <f t="shared" si="11"/>
        <v/>
      </c>
      <c r="Q131" s="12" t="str">
        <f t="shared" si="12"/>
        <v/>
      </c>
      <c r="R131" s="9"/>
      <c r="S131" s="31"/>
      <c r="T131" s="8" t="str">
        <f t="shared" si="13"/>
        <v/>
      </c>
      <c r="U131" s="8">
        <f t="shared" si="14"/>
        <v>0</v>
      </c>
      <c r="V131" s="8">
        <f>IF(B131="",0,IF(SUMPRODUCT(--(B$4:B131=B131))&gt;1,1,0))</f>
        <v>0</v>
      </c>
      <c r="W131" s="8">
        <f t="shared" si="15"/>
        <v>0</v>
      </c>
    </row>
    <row r="132" spans="1:23" x14ac:dyDescent="0.25">
      <c r="A132" s="8">
        <v>129</v>
      </c>
      <c r="B132" s="9"/>
      <c r="C132" s="9"/>
      <c r="D132" s="33" t="str">
        <f t="shared" ref="D132:D195" si="16">IF(C132="","",IFERROR(INDEX(SpaceNames,MATCH(C132,SpaceCodes,0))&amp;"",""))</f>
        <v/>
      </c>
      <c r="E132" s="9"/>
      <c r="F132" s="31"/>
      <c r="G132" s="11"/>
      <c r="H132" s="11"/>
      <c r="I132" s="9"/>
      <c r="J132" s="12" t="str">
        <f t="shared" ref="J132:J195" si="17">IF(W132=0,"",IF(V132=1,0,IF(AND(G132&lt;&gt;"",H132&lt;&gt;""),G132*H132*IF(I132="",1,I132),"")))</f>
        <v/>
      </c>
      <c r="K132" s="9"/>
      <c r="L132" s="31"/>
      <c r="M132" s="9"/>
      <c r="N132" s="9"/>
      <c r="O132" s="12" t="str">
        <f t="shared" ref="O132:O195" si="18">IF(OR(W132=0,J132=""),"",IF(OR(K132&lt;&gt;"نعم",C132="",E132=""),0,IF(L132&lt;&gt;"",IF(COUNTIFS(WL_Space,C132,WL_Wall,E132,WL_Mat,L132,WL_DedOn,1)&gt;0,J132,0),IF(AND(COUNTIFS(WL_Space,C132,WL_Wall,E132,WL_Dup,0)=1,COUNTIFS(WL_Space,C132,WL_Wall,E132,WL_DedOn,1)=1),J132,0))))</f>
        <v/>
      </c>
      <c r="P132" s="12" t="str">
        <f t="shared" ref="P132:P195" si="19">IF(OR(W132=0,J132=""),"",IF(OR(M132&lt;&gt;"نعم",C132="",E132=""),0,J132*SUMIFS(PL_FacesEff,PL_Space,C132,PL_Wall,E132)))</f>
        <v/>
      </c>
      <c r="Q132" s="12" t="str">
        <f t="shared" ref="Q132:Q195" si="20">IF(W132=0,"",IF(OR(N132&lt;&gt;"نعم",C132=""),0,IF(COUNTIFS(LN_Space,C132,LN_AutoEff,1)&gt;0,U132,0)))</f>
        <v/>
      </c>
      <c r="R132" s="9"/>
      <c r="S132" s="31"/>
      <c r="T132" s="8" t="str">
        <f t="shared" ref="T132:T195" si="21">IF(W132=0,"",IF(B132="","ناقص بيانات: كود الفتحة",IF(V132=1,"تكرار كود الفتحة — غير محتسب",IF(C132="","ناقص بيانات: كود الفراغ",IF(COUNTIF(SpaceCodes,C132)=0,"ناقص بيانات: الفراغ غير مسجل",IF(E132="","ناقص بيانات: كود الحائط",IF(J132="","ناقص قياس",IF(AND(K132="",M132="",N132=""),"ناقص بيانات: حدد خيارات الخصم (نعم/لا)",IF(AND(K132="نعم",N(O132)=0,L132="",COUNTIFS(WL_Space,C132,WL_Wall,E132,WL_Dup,0)&gt;1),"تنبيه خصم: للحائط أكثر من خامة — حدد الخامة المخصوم منها",IF(AND(K132="نعم",N(O132)=0,IF(L132="",COUNTIFS(WL_Space,C132,WL_Wall,E132,WL_Dup,0),COUNTIFS(WL_Space,C132,WL_Wall,E132,WL_Mat,L132,WL_Dup,0))&gt;0),"تنبيه خصم: خصم الفتحات موقوف («لا») في سجل الحائط",IF(AND(K132="نعم",N(O132)=0),"تنبيه خصم: الحائط/الخامة غير مسجلة في حصر الحوائط",IF(AND(M132="نعم",N(P132)=0),"تنبيه خصم: الحائط غير مسجل في حصر اللياسة",IF(AND(N132="نعم",N(Q132)=0),"تنبيه خصم: لا يوجد سجل وزرات بخصم تلقائي للفراغ",IF(R132="نعم","يحتاج مراجعة","مكتمل"))))))))))))))</f>
        <v/>
      </c>
      <c r="U132" s="8">
        <f t="shared" ref="U132:U195" si="22">IF(OR(W132=0,V132=1,G132=""),0,G132*IF(I132="",1,I132))</f>
        <v>0</v>
      </c>
      <c r="V132" s="8">
        <f>IF(B132="",0,IF(SUMPRODUCT(--(B$4:B132=B132))&gt;1,1,0))</f>
        <v>0</v>
      </c>
      <c r="W132" s="8">
        <f t="shared" ref="W132:W195" si="23">IF(COUNTA(B132:C132,E132:I132,K132:N132)=0,0,1)</f>
        <v>0</v>
      </c>
    </row>
    <row r="133" spans="1:23" x14ac:dyDescent="0.25">
      <c r="A133" s="8">
        <v>130</v>
      </c>
      <c r="B133" s="9"/>
      <c r="C133" s="9"/>
      <c r="D133" s="33" t="str">
        <f t="shared" si="16"/>
        <v/>
      </c>
      <c r="E133" s="9"/>
      <c r="F133" s="31"/>
      <c r="G133" s="11"/>
      <c r="H133" s="11"/>
      <c r="I133" s="9"/>
      <c r="J133" s="12" t="str">
        <f t="shared" si="17"/>
        <v/>
      </c>
      <c r="K133" s="9"/>
      <c r="L133" s="31"/>
      <c r="M133" s="9"/>
      <c r="N133" s="9"/>
      <c r="O133" s="12" t="str">
        <f t="shared" si="18"/>
        <v/>
      </c>
      <c r="P133" s="12" t="str">
        <f t="shared" si="19"/>
        <v/>
      </c>
      <c r="Q133" s="12" t="str">
        <f t="shared" si="20"/>
        <v/>
      </c>
      <c r="R133" s="9"/>
      <c r="S133" s="31"/>
      <c r="T133" s="8" t="str">
        <f t="shared" si="21"/>
        <v/>
      </c>
      <c r="U133" s="8">
        <f t="shared" si="22"/>
        <v>0</v>
      </c>
      <c r="V133" s="8">
        <f>IF(B133="",0,IF(SUMPRODUCT(--(B$4:B133=B133))&gt;1,1,0))</f>
        <v>0</v>
      </c>
      <c r="W133" s="8">
        <f t="shared" si="23"/>
        <v>0</v>
      </c>
    </row>
    <row r="134" spans="1:23" x14ac:dyDescent="0.25">
      <c r="A134" s="8">
        <v>131</v>
      </c>
      <c r="B134" s="9"/>
      <c r="C134" s="9"/>
      <c r="D134" s="33" t="str">
        <f t="shared" si="16"/>
        <v/>
      </c>
      <c r="E134" s="9"/>
      <c r="F134" s="31"/>
      <c r="G134" s="11"/>
      <c r="H134" s="11"/>
      <c r="I134" s="9"/>
      <c r="J134" s="12" t="str">
        <f t="shared" si="17"/>
        <v/>
      </c>
      <c r="K134" s="9"/>
      <c r="L134" s="31"/>
      <c r="M134" s="9"/>
      <c r="N134" s="9"/>
      <c r="O134" s="12" t="str">
        <f t="shared" si="18"/>
        <v/>
      </c>
      <c r="P134" s="12" t="str">
        <f t="shared" si="19"/>
        <v/>
      </c>
      <c r="Q134" s="12" t="str">
        <f t="shared" si="20"/>
        <v/>
      </c>
      <c r="R134" s="9"/>
      <c r="S134" s="31"/>
      <c r="T134" s="8" t="str">
        <f t="shared" si="21"/>
        <v/>
      </c>
      <c r="U134" s="8">
        <f t="shared" si="22"/>
        <v>0</v>
      </c>
      <c r="V134" s="8">
        <f>IF(B134="",0,IF(SUMPRODUCT(--(B$4:B134=B134))&gt;1,1,0))</f>
        <v>0</v>
      </c>
      <c r="W134" s="8">
        <f t="shared" si="23"/>
        <v>0</v>
      </c>
    </row>
    <row r="135" spans="1:23" x14ac:dyDescent="0.25">
      <c r="A135" s="8">
        <v>132</v>
      </c>
      <c r="B135" s="9"/>
      <c r="C135" s="9"/>
      <c r="D135" s="33" t="str">
        <f t="shared" si="16"/>
        <v/>
      </c>
      <c r="E135" s="9"/>
      <c r="F135" s="31"/>
      <c r="G135" s="11"/>
      <c r="H135" s="11"/>
      <c r="I135" s="9"/>
      <c r="J135" s="12" t="str">
        <f t="shared" si="17"/>
        <v/>
      </c>
      <c r="K135" s="9"/>
      <c r="L135" s="31"/>
      <c r="M135" s="9"/>
      <c r="N135" s="9"/>
      <c r="O135" s="12" t="str">
        <f t="shared" si="18"/>
        <v/>
      </c>
      <c r="P135" s="12" t="str">
        <f t="shared" si="19"/>
        <v/>
      </c>
      <c r="Q135" s="12" t="str">
        <f t="shared" si="20"/>
        <v/>
      </c>
      <c r="R135" s="9"/>
      <c r="S135" s="31"/>
      <c r="T135" s="8" t="str">
        <f t="shared" si="21"/>
        <v/>
      </c>
      <c r="U135" s="8">
        <f t="shared" si="22"/>
        <v>0</v>
      </c>
      <c r="V135" s="8">
        <f>IF(B135="",0,IF(SUMPRODUCT(--(B$4:B135=B135))&gt;1,1,0))</f>
        <v>0</v>
      </c>
      <c r="W135" s="8">
        <f t="shared" si="23"/>
        <v>0</v>
      </c>
    </row>
    <row r="136" spans="1:23" x14ac:dyDescent="0.25">
      <c r="A136" s="8">
        <v>133</v>
      </c>
      <c r="B136" s="9"/>
      <c r="C136" s="9"/>
      <c r="D136" s="33" t="str">
        <f t="shared" si="16"/>
        <v/>
      </c>
      <c r="E136" s="9"/>
      <c r="F136" s="31"/>
      <c r="G136" s="11"/>
      <c r="H136" s="11"/>
      <c r="I136" s="9"/>
      <c r="J136" s="12" t="str">
        <f t="shared" si="17"/>
        <v/>
      </c>
      <c r="K136" s="9"/>
      <c r="L136" s="31"/>
      <c r="M136" s="9"/>
      <c r="N136" s="9"/>
      <c r="O136" s="12" t="str">
        <f t="shared" si="18"/>
        <v/>
      </c>
      <c r="P136" s="12" t="str">
        <f t="shared" si="19"/>
        <v/>
      </c>
      <c r="Q136" s="12" t="str">
        <f t="shared" si="20"/>
        <v/>
      </c>
      <c r="R136" s="9"/>
      <c r="S136" s="31"/>
      <c r="T136" s="8" t="str">
        <f t="shared" si="21"/>
        <v/>
      </c>
      <c r="U136" s="8">
        <f t="shared" si="22"/>
        <v>0</v>
      </c>
      <c r="V136" s="8">
        <f>IF(B136="",0,IF(SUMPRODUCT(--(B$4:B136=B136))&gt;1,1,0))</f>
        <v>0</v>
      </c>
      <c r="W136" s="8">
        <f t="shared" si="23"/>
        <v>0</v>
      </c>
    </row>
    <row r="137" spans="1:23" x14ac:dyDescent="0.25">
      <c r="A137" s="8">
        <v>134</v>
      </c>
      <c r="B137" s="9"/>
      <c r="C137" s="9"/>
      <c r="D137" s="33" t="str">
        <f t="shared" si="16"/>
        <v/>
      </c>
      <c r="E137" s="9"/>
      <c r="F137" s="31"/>
      <c r="G137" s="11"/>
      <c r="H137" s="11"/>
      <c r="I137" s="9"/>
      <c r="J137" s="12" t="str">
        <f t="shared" si="17"/>
        <v/>
      </c>
      <c r="K137" s="9"/>
      <c r="L137" s="31"/>
      <c r="M137" s="9"/>
      <c r="N137" s="9"/>
      <c r="O137" s="12" t="str">
        <f t="shared" si="18"/>
        <v/>
      </c>
      <c r="P137" s="12" t="str">
        <f t="shared" si="19"/>
        <v/>
      </c>
      <c r="Q137" s="12" t="str">
        <f t="shared" si="20"/>
        <v/>
      </c>
      <c r="R137" s="9"/>
      <c r="S137" s="31"/>
      <c r="T137" s="8" t="str">
        <f t="shared" si="21"/>
        <v/>
      </c>
      <c r="U137" s="8">
        <f t="shared" si="22"/>
        <v>0</v>
      </c>
      <c r="V137" s="8">
        <f>IF(B137="",0,IF(SUMPRODUCT(--(B$4:B137=B137))&gt;1,1,0))</f>
        <v>0</v>
      </c>
      <c r="W137" s="8">
        <f t="shared" si="23"/>
        <v>0</v>
      </c>
    </row>
    <row r="138" spans="1:23" x14ac:dyDescent="0.25">
      <c r="A138" s="8">
        <v>135</v>
      </c>
      <c r="B138" s="9"/>
      <c r="C138" s="9"/>
      <c r="D138" s="33" t="str">
        <f t="shared" si="16"/>
        <v/>
      </c>
      <c r="E138" s="9"/>
      <c r="F138" s="31"/>
      <c r="G138" s="11"/>
      <c r="H138" s="11"/>
      <c r="I138" s="9"/>
      <c r="J138" s="12" t="str">
        <f t="shared" si="17"/>
        <v/>
      </c>
      <c r="K138" s="9"/>
      <c r="L138" s="31"/>
      <c r="M138" s="9"/>
      <c r="N138" s="9"/>
      <c r="O138" s="12" t="str">
        <f t="shared" si="18"/>
        <v/>
      </c>
      <c r="P138" s="12" t="str">
        <f t="shared" si="19"/>
        <v/>
      </c>
      <c r="Q138" s="12" t="str">
        <f t="shared" si="20"/>
        <v/>
      </c>
      <c r="R138" s="9"/>
      <c r="S138" s="31"/>
      <c r="T138" s="8" t="str">
        <f t="shared" si="21"/>
        <v/>
      </c>
      <c r="U138" s="8">
        <f t="shared" si="22"/>
        <v>0</v>
      </c>
      <c r="V138" s="8">
        <f>IF(B138="",0,IF(SUMPRODUCT(--(B$4:B138=B138))&gt;1,1,0))</f>
        <v>0</v>
      </c>
      <c r="W138" s="8">
        <f t="shared" si="23"/>
        <v>0</v>
      </c>
    </row>
    <row r="139" spans="1:23" x14ac:dyDescent="0.25">
      <c r="A139" s="8">
        <v>136</v>
      </c>
      <c r="B139" s="9"/>
      <c r="C139" s="9"/>
      <c r="D139" s="33" t="str">
        <f t="shared" si="16"/>
        <v/>
      </c>
      <c r="E139" s="9"/>
      <c r="F139" s="31"/>
      <c r="G139" s="11"/>
      <c r="H139" s="11"/>
      <c r="I139" s="9"/>
      <c r="J139" s="12" t="str">
        <f t="shared" si="17"/>
        <v/>
      </c>
      <c r="K139" s="9"/>
      <c r="L139" s="31"/>
      <c r="M139" s="9"/>
      <c r="N139" s="9"/>
      <c r="O139" s="12" t="str">
        <f t="shared" si="18"/>
        <v/>
      </c>
      <c r="P139" s="12" t="str">
        <f t="shared" si="19"/>
        <v/>
      </c>
      <c r="Q139" s="12" t="str">
        <f t="shared" si="20"/>
        <v/>
      </c>
      <c r="R139" s="9"/>
      <c r="S139" s="31"/>
      <c r="T139" s="8" t="str">
        <f t="shared" si="21"/>
        <v/>
      </c>
      <c r="U139" s="8">
        <f t="shared" si="22"/>
        <v>0</v>
      </c>
      <c r="V139" s="8">
        <f>IF(B139="",0,IF(SUMPRODUCT(--(B$4:B139=B139))&gt;1,1,0))</f>
        <v>0</v>
      </c>
      <c r="W139" s="8">
        <f t="shared" si="23"/>
        <v>0</v>
      </c>
    </row>
    <row r="140" spans="1:23" x14ac:dyDescent="0.25">
      <c r="A140" s="8">
        <v>137</v>
      </c>
      <c r="B140" s="9"/>
      <c r="C140" s="9"/>
      <c r="D140" s="33" t="str">
        <f t="shared" si="16"/>
        <v/>
      </c>
      <c r="E140" s="9"/>
      <c r="F140" s="31"/>
      <c r="G140" s="11"/>
      <c r="H140" s="11"/>
      <c r="I140" s="9"/>
      <c r="J140" s="12" t="str">
        <f t="shared" si="17"/>
        <v/>
      </c>
      <c r="K140" s="9"/>
      <c r="L140" s="31"/>
      <c r="M140" s="9"/>
      <c r="N140" s="9"/>
      <c r="O140" s="12" t="str">
        <f t="shared" si="18"/>
        <v/>
      </c>
      <c r="P140" s="12" t="str">
        <f t="shared" si="19"/>
        <v/>
      </c>
      <c r="Q140" s="12" t="str">
        <f t="shared" si="20"/>
        <v/>
      </c>
      <c r="R140" s="9"/>
      <c r="S140" s="31"/>
      <c r="T140" s="8" t="str">
        <f t="shared" si="21"/>
        <v/>
      </c>
      <c r="U140" s="8">
        <f t="shared" si="22"/>
        <v>0</v>
      </c>
      <c r="V140" s="8">
        <f>IF(B140="",0,IF(SUMPRODUCT(--(B$4:B140=B140))&gt;1,1,0))</f>
        <v>0</v>
      </c>
      <c r="W140" s="8">
        <f t="shared" si="23"/>
        <v>0</v>
      </c>
    </row>
    <row r="141" spans="1:23" x14ac:dyDescent="0.25">
      <c r="A141" s="8">
        <v>138</v>
      </c>
      <c r="B141" s="9"/>
      <c r="C141" s="9"/>
      <c r="D141" s="33" t="str">
        <f t="shared" si="16"/>
        <v/>
      </c>
      <c r="E141" s="9"/>
      <c r="F141" s="31"/>
      <c r="G141" s="11"/>
      <c r="H141" s="11"/>
      <c r="I141" s="9"/>
      <c r="J141" s="12" t="str">
        <f t="shared" si="17"/>
        <v/>
      </c>
      <c r="K141" s="9"/>
      <c r="L141" s="31"/>
      <c r="M141" s="9"/>
      <c r="N141" s="9"/>
      <c r="O141" s="12" t="str">
        <f t="shared" si="18"/>
        <v/>
      </c>
      <c r="P141" s="12" t="str">
        <f t="shared" si="19"/>
        <v/>
      </c>
      <c r="Q141" s="12" t="str">
        <f t="shared" si="20"/>
        <v/>
      </c>
      <c r="R141" s="9"/>
      <c r="S141" s="31"/>
      <c r="T141" s="8" t="str">
        <f t="shared" si="21"/>
        <v/>
      </c>
      <c r="U141" s="8">
        <f t="shared" si="22"/>
        <v>0</v>
      </c>
      <c r="V141" s="8">
        <f>IF(B141="",0,IF(SUMPRODUCT(--(B$4:B141=B141))&gt;1,1,0))</f>
        <v>0</v>
      </c>
      <c r="W141" s="8">
        <f t="shared" si="23"/>
        <v>0</v>
      </c>
    </row>
    <row r="142" spans="1:23" x14ac:dyDescent="0.25">
      <c r="A142" s="8">
        <v>139</v>
      </c>
      <c r="B142" s="9"/>
      <c r="C142" s="9"/>
      <c r="D142" s="33" t="str">
        <f t="shared" si="16"/>
        <v/>
      </c>
      <c r="E142" s="9"/>
      <c r="F142" s="31"/>
      <c r="G142" s="11"/>
      <c r="H142" s="11"/>
      <c r="I142" s="9"/>
      <c r="J142" s="12" t="str">
        <f t="shared" si="17"/>
        <v/>
      </c>
      <c r="K142" s="9"/>
      <c r="L142" s="31"/>
      <c r="M142" s="9"/>
      <c r="N142" s="9"/>
      <c r="O142" s="12" t="str">
        <f t="shared" si="18"/>
        <v/>
      </c>
      <c r="P142" s="12" t="str">
        <f t="shared" si="19"/>
        <v/>
      </c>
      <c r="Q142" s="12" t="str">
        <f t="shared" si="20"/>
        <v/>
      </c>
      <c r="R142" s="9"/>
      <c r="S142" s="31"/>
      <c r="T142" s="8" t="str">
        <f t="shared" si="21"/>
        <v/>
      </c>
      <c r="U142" s="8">
        <f t="shared" si="22"/>
        <v>0</v>
      </c>
      <c r="V142" s="8">
        <f>IF(B142="",0,IF(SUMPRODUCT(--(B$4:B142=B142))&gt;1,1,0))</f>
        <v>0</v>
      </c>
      <c r="W142" s="8">
        <f t="shared" si="23"/>
        <v>0</v>
      </c>
    </row>
    <row r="143" spans="1:23" x14ac:dyDescent="0.25">
      <c r="A143" s="8">
        <v>140</v>
      </c>
      <c r="B143" s="9"/>
      <c r="C143" s="9"/>
      <c r="D143" s="33" t="str">
        <f t="shared" si="16"/>
        <v/>
      </c>
      <c r="E143" s="9"/>
      <c r="F143" s="31"/>
      <c r="G143" s="11"/>
      <c r="H143" s="11"/>
      <c r="I143" s="9"/>
      <c r="J143" s="12" t="str">
        <f t="shared" si="17"/>
        <v/>
      </c>
      <c r="K143" s="9"/>
      <c r="L143" s="31"/>
      <c r="M143" s="9"/>
      <c r="N143" s="9"/>
      <c r="O143" s="12" t="str">
        <f t="shared" si="18"/>
        <v/>
      </c>
      <c r="P143" s="12" t="str">
        <f t="shared" si="19"/>
        <v/>
      </c>
      <c r="Q143" s="12" t="str">
        <f t="shared" si="20"/>
        <v/>
      </c>
      <c r="R143" s="9"/>
      <c r="S143" s="31"/>
      <c r="T143" s="8" t="str">
        <f t="shared" si="21"/>
        <v/>
      </c>
      <c r="U143" s="8">
        <f t="shared" si="22"/>
        <v>0</v>
      </c>
      <c r="V143" s="8">
        <f>IF(B143="",0,IF(SUMPRODUCT(--(B$4:B143=B143))&gt;1,1,0))</f>
        <v>0</v>
      </c>
      <c r="W143" s="8">
        <f t="shared" si="23"/>
        <v>0</v>
      </c>
    </row>
    <row r="144" spans="1:23" x14ac:dyDescent="0.25">
      <c r="A144" s="8">
        <v>141</v>
      </c>
      <c r="B144" s="9"/>
      <c r="C144" s="9"/>
      <c r="D144" s="33" t="str">
        <f t="shared" si="16"/>
        <v/>
      </c>
      <c r="E144" s="9"/>
      <c r="F144" s="31"/>
      <c r="G144" s="11"/>
      <c r="H144" s="11"/>
      <c r="I144" s="9"/>
      <c r="J144" s="12" t="str">
        <f t="shared" si="17"/>
        <v/>
      </c>
      <c r="K144" s="9"/>
      <c r="L144" s="31"/>
      <c r="M144" s="9"/>
      <c r="N144" s="9"/>
      <c r="O144" s="12" t="str">
        <f t="shared" si="18"/>
        <v/>
      </c>
      <c r="P144" s="12" t="str">
        <f t="shared" si="19"/>
        <v/>
      </c>
      <c r="Q144" s="12" t="str">
        <f t="shared" si="20"/>
        <v/>
      </c>
      <c r="R144" s="9"/>
      <c r="S144" s="31"/>
      <c r="T144" s="8" t="str">
        <f t="shared" si="21"/>
        <v/>
      </c>
      <c r="U144" s="8">
        <f t="shared" si="22"/>
        <v>0</v>
      </c>
      <c r="V144" s="8">
        <f>IF(B144="",0,IF(SUMPRODUCT(--(B$4:B144=B144))&gt;1,1,0))</f>
        <v>0</v>
      </c>
      <c r="W144" s="8">
        <f t="shared" si="23"/>
        <v>0</v>
      </c>
    </row>
    <row r="145" spans="1:23" x14ac:dyDescent="0.25">
      <c r="A145" s="8">
        <v>142</v>
      </c>
      <c r="B145" s="9"/>
      <c r="C145" s="9"/>
      <c r="D145" s="33" t="str">
        <f t="shared" si="16"/>
        <v/>
      </c>
      <c r="E145" s="9"/>
      <c r="F145" s="31"/>
      <c r="G145" s="11"/>
      <c r="H145" s="11"/>
      <c r="I145" s="9"/>
      <c r="J145" s="12" t="str">
        <f t="shared" si="17"/>
        <v/>
      </c>
      <c r="K145" s="9"/>
      <c r="L145" s="31"/>
      <c r="M145" s="9"/>
      <c r="N145" s="9"/>
      <c r="O145" s="12" t="str">
        <f t="shared" si="18"/>
        <v/>
      </c>
      <c r="P145" s="12" t="str">
        <f t="shared" si="19"/>
        <v/>
      </c>
      <c r="Q145" s="12" t="str">
        <f t="shared" si="20"/>
        <v/>
      </c>
      <c r="R145" s="9"/>
      <c r="S145" s="31"/>
      <c r="T145" s="8" t="str">
        <f t="shared" si="21"/>
        <v/>
      </c>
      <c r="U145" s="8">
        <f t="shared" si="22"/>
        <v>0</v>
      </c>
      <c r="V145" s="8">
        <f>IF(B145="",0,IF(SUMPRODUCT(--(B$4:B145=B145))&gt;1,1,0))</f>
        <v>0</v>
      </c>
      <c r="W145" s="8">
        <f t="shared" si="23"/>
        <v>0</v>
      </c>
    </row>
    <row r="146" spans="1:23" x14ac:dyDescent="0.25">
      <c r="A146" s="8">
        <v>143</v>
      </c>
      <c r="B146" s="9"/>
      <c r="C146" s="9"/>
      <c r="D146" s="33" t="str">
        <f t="shared" si="16"/>
        <v/>
      </c>
      <c r="E146" s="9"/>
      <c r="F146" s="31"/>
      <c r="G146" s="11"/>
      <c r="H146" s="11"/>
      <c r="I146" s="9"/>
      <c r="J146" s="12" t="str">
        <f t="shared" si="17"/>
        <v/>
      </c>
      <c r="K146" s="9"/>
      <c r="L146" s="31"/>
      <c r="M146" s="9"/>
      <c r="N146" s="9"/>
      <c r="O146" s="12" t="str">
        <f t="shared" si="18"/>
        <v/>
      </c>
      <c r="P146" s="12" t="str">
        <f t="shared" si="19"/>
        <v/>
      </c>
      <c r="Q146" s="12" t="str">
        <f t="shared" si="20"/>
        <v/>
      </c>
      <c r="R146" s="9"/>
      <c r="S146" s="31"/>
      <c r="T146" s="8" t="str">
        <f t="shared" si="21"/>
        <v/>
      </c>
      <c r="U146" s="8">
        <f t="shared" si="22"/>
        <v>0</v>
      </c>
      <c r="V146" s="8">
        <f>IF(B146="",0,IF(SUMPRODUCT(--(B$4:B146=B146))&gt;1,1,0))</f>
        <v>0</v>
      </c>
      <c r="W146" s="8">
        <f t="shared" si="23"/>
        <v>0</v>
      </c>
    </row>
    <row r="147" spans="1:23" x14ac:dyDescent="0.25">
      <c r="A147" s="8">
        <v>144</v>
      </c>
      <c r="B147" s="9"/>
      <c r="C147" s="9"/>
      <c r="D147" s="33" t="str">
        <f t="shared" si="16"/>
        <v/>
      </c>
      <c r="E147" s="9"/>
      <c r="F147" s="31"/>
      <c r="G147" s="11"/>
      <c r="H147" s="11"/>
      <c r="I147" s="9"/>
      <c r="J147" s="12" t="str">
        <f t="shared" si="17"/>
        <v/>
      </c>
      <c r="K147" s="9"/>
      <c r="L147" s="31"/>
      <c r="M147" s="9"/>
      <c r="N147" s="9"/>
      <c r="O147" s="12" t="str">
        <f t="shared" si="18"/>
        <v/>
      </c>
      <c r="P147" s="12" t="str">
        <f t="shared" si="19"/>
        <v/>
      </c>
      <c r="Q147" s="12" t="str">
        <f t="shared" si="20"/>
        <v/>
      </c>
      <c r="R147" s="9"/>
      <c r="S147" s="31"/>
      <c r="T147" s="8" t="str">
        <f t="shared" si="21"/>
        <v/>
      </c>
      <c r="U147" s="8">
        <f t="shared" si="22"/>
        <v>0</v>
      </c>
      <c r="V147" s="8">
        <f>IF(B147="",0,IF(SUMPRODUCT(--(B$4:B147=B147))&gt;1,1,0))</f>
        <v>0</v>
      </c>
      <c r="W147" s="8">
        <f t="shared" si="23"/>
        <v>0</v>
      </c>
    </row>
    <row r="148" spans="1:23" x14ac:dyDescent="0.25">
      <c r="A148" s="8">
        <v>145</v>
      </c>
      <c r="B148" s="9"/>
      <c r="C148" s="9"/>
      <c r="D148" s="33" t="str">
        <f t="shared" si="16"/>
        <v/>
      </c>
      <c r="E148" s="9"/>
      <c r="F148" s="31"/>
      <c r="G148" s="11"/>
      <c r="H148" s="11"/>
      <c r="I148" s="9"/>
      <c r="J148" s="12" t="str">
        <f t="shared" si="17"/>
        <v/>
      </c>
      <c r="K148" s="9"/>
      <c r="L148" s="31"/>
      <c r="M148" s="9"/>
      <c r="N148" s="9"/>
      <c r="O148" s="12" t="str">
        <f t="shared" si="18"/>
        <v/>
      </c>
      <c r="P148" s="12" t="str">
        <f t="shared" si="19"/>
        <v/>
      </c>
      <c r="Q148" s="12" t="str">
        <f t="shared" si="20"/>
        <v/>
      </c>
      <c r="R148" s="9"/>
      <c r="S148" s="31"/>
      <c r="T148" s="8" t="str">
        <f t="shared" si="21"/>
        <v/>
      </c>
      <c r="U148" s="8">
        <f t="shared" si="22"/>
        <v>0</v>
      </c>
      <c r="V148" s="8">
        <f>IF(B148="",0,IF(SUMPRODUCT(--(B$4:B148=B148))&gt;1,1,0))</f>
        <v>0</v>
      </c>
      <c r="W148" s="8">
        <f t="shared" si="23"/>
        <v>0</v>
      </c>
    </row>
    <row r="149" spans="1:23" x14ac:dyDescent="0.25">
      <c r="A149" s="8">
        <v>146</v>
      </c>
      <c r="B149" s="9"/>
      <c r="C149" s="9"/>
      <c r="D149" s="33" t="str">
        <f t="shared" si="16"/>
        <v/>
      </c>
      <c r="E149" s="9"/>
      <c r="F149" s="31"/>
      <c r="G149" s="11"/>
      <c r="H149" s="11"/>
      <c r="I149" s="9"/>
      <c r="J149" s="12" t="str">
        <f t="shared" si="17"/>
        <v/>
      </c>
      <c r="K149" s="9"/>
      <c r="L149" s="31"/>
      <c r="M149" s="9"/>
      <c r="N149" s="9"/>
      <c r="O149" s="12" t="str">
        <f t="shared" si="18"/>
        <v/>
      </c>
      <c r="P149" s="12" t="str">
        <f t="shared" si="19"/>
        <v/>
      </c>
      <c r="Q149" s="12" t="str">
        <f t="shared" si="20"/>
        <v/>
      </c>
      <c r="R149" s="9"/>
      <c r="S149" s="31"/>
      <c r="T149" s="8" t="str">
        <f t="shared" si="21"/>
        <v/>
      </c>
      <c r="U149" s="8">
        <f t="shared" si="22"/>
        <v>0</v>
      </c>
      <c r="V149" s="8">
        <f>IF(B149="",0,IF(SUMPRODUCT(--(B$4:B149=B149))&gt;1,1,0))</f>
        <v>0</v>
      </c>
      <c r="W149" s="8">
        <f t="shared" si="23"/>
        <v>0</v>
      </c>
    </row>
    <row r="150" spans="1:23" x14ac:dyDescent="0.25">
      <c r="A150" s="8">
        <v>147</v>
      </c>
      <c r="B150" s="9"/>
      <c r="C150" s="9"/>
      <c r="D150" s="33" t="str">
        <f t="shared" si="16"/>
        <v/>
      </c>
      <c r="E150" s="9"/>
      <c r="F150" s="31"/>
      <c r="G150" s="11"/>
      <c r="H150" s="11"/>
      <c r="I150" s="9"/>
      <c r="J150" s="12" t="str">
        <f t="shared" si="17"/>
        <v/>
      </c>
      <c r="K150" s="9"/>
      <c r="L150" s="31"/>
      <c r="M150" s="9"/>
      <c r="N150" s="9"/>
      <c r="O150" s="12" t="str">
        <f t="shared" si="18"/>
        <v/>
      </c>
      <c r="P150" s="12" t="str">
        <f t="shared" si="19"/>
        <v/>
      </c>
      <c r="Q150" s="12" t="str">
        <f t="shared" si="20"/>
        <v/>
      </c>
      <c r="R150" s="9"/>
      <c r="S150" s="31"/>
      <c r="T150" s="8" t="str">
        <f t="shared" si="21"/>
        <v/>
      </c>
      <c r="U150" s="8">
        <f t="shared" si="22"/>
        <v>0</v>
      </c>
      <c r="V150" s="8">
        <f>IF(B150="",0,IF(SUMPRODUCT(--(B$4:B150=B150))&gt;1,1,0))</f>
        <v>0</v>
      </c>
      <c r="W150" s="8">
        <f t="shared" si="23"/>
        <v>0</v>
      </c>
    </row>
    <row r="151" spans="1:23" x14ac:dyDescent="0.25">
      <c r="A151" s="8">
        <v>148</v>
      </c>
      <c r="B151" s="9"/>
      <c r="C151" s="9"/>
      <c r="D151" s="33" t="str">
        <f t="shared" si="16"/>
        <v/>
      </c>
      <c r="E151" s="9"/>
      <c r="F151" s="31"/>
      <c r="G151" s="11"/>
      <c r="H151" s="11"/>
      <c r="I151" s="9"/>
      <c r="J151" s="12" t="str">
        <f t="shared" si="17"/>
        <v/>
      </c>
      <c r="K151" s="9"/>
      <c r="L151" s="31"/>
      <c r="M151" s="9"/>
      <c r="N151" s="9"/>
      <c r="O151" s="12" t="str">
        <f t="shared" si="18"/>
        <v/>
      </c>
      <c r="P151" s="12" t="str">
        <f t="shared" si="19"/>
        <v/>
      </c>
      <c r="Q151" s="12" t="str">
        <f t="shared" si="20"/>
        <v/>
      </c>
      <c r="R151" s="9"/>
      <c r="S151" s="31"/>
      <c r="T151" s="8" t="str">
        <f t="shared" si="21"/>
        <v/>
      </c>
      <c r="U151" s="8">
        <f t="shared" si="22"/>
        <v>0</v>
      </c>
      <c r="V151" s="8">
        <f>IF(B151="",0,IF(SUMPRODUCT(--(B$4:B151=B151))&gt;1,1,0))</f>
        <v>0</v>
      </c>
      <c r="W151" s="8">
        <f t="shared" si="23"/>
        <v>0</v>
      </c>
    </row>
    <row r="152" spans="1:23" x14ac:dyDescent="0.25">
      <c r="A152" s="8">
        <v>149</v>
      </c>
      <c r="B152" s="9"/>
      <c r="C152" s="9"/>
      <c r="D152" s="33" t="str">
        <f t="shared" si="16"/>
        <v/>
      </c>
      <c r="E152" s="9"/>
      <c r="F152" s="31"/>
      <c r="G152" s="11"/>
      <c r="H152" s="11"/>
      <c r="I152" s="9"/>
      <c r="J152" s="12" t="str">
        <f t="shared" si="17"/>
        <v/>
      </c>
      <c r="K152" s="9"/>
      <c r="L152" s="31"/>
      <c r="M152" s="9"/>
      <c r="N152" s="9"/>
      <c r="O152" s="12" t="str">
        <f t="shared" si="18"/>
        <v/>
      </c>
      <c r="P152" s="12" t="str">
        <f t="shared" si="19"/>
        <v/>
      </c>
      <c r="Q152" s="12" t="str">
        <f t="shared" si="20"/>
        <v/>
      </c>
      <c r="R152" s="9"/>
      <c r="S152" s="31"/>
      <c r="T152" s="8" t="str">
        <f t="shared" si="21"/>
        <v/>
      </c>
      <c r="U152" s="8">
        <f t="shared" si="22"/>
        <v>0</v>
      </c>
      <c r="V152" s="8">
        <f>IF(B152="",0,IF(SUMPRODUCT(--(B$4:B152=B152))&gt;1,1,0))</f>
        <v>0</v>
      </c>
      <c r="W152" s="8">
        <f t="shared" si="23"/>
        <v>0</v>
      </c>
    </row>
    <row r="153" spans="1:23" x14ac:dyDescent="0.25">
      <c r="A153" s="8">
        <v>150</v>
      </c>
      <c r="B153" s="9"/>
      <c r="C153" s="9"/>
      <c r="D153" s="33" t="str">
        <f t="shared" si="16"/>
        <v/>
      </c>
      <c r="E153" s="9"/>
      <c r="F153" s="31"/>
      <c r="G153" s="11"/>
      <c r="H153" s="11"/>
      <c r="I153" s="9"/>
      <c r="J153" s="12" t="str">
        <f t="shared" si="17"/>
        <v/>
      </c>
      <c r="K153" s="9"/>
      <c r="L153" s="31"/>
      <c r="M153" s="9"/>
      <c r="N153" s="9"/>
      <c r="O153" s="12" t="str">
        <f t="shared" si="18"/>
        <v/>
      </c>
      <c r="P153" s="12" t="str">
        <f t="shared" si="19"/>
        <v/>
      </c>
      <c r="Q153" s="12" t="str">
        <f t="shared" si="20"/>
        <v/>
      </c>
      <c r="R153" s="9"/>
      <c r="S153" s="31"/>
      <c r="T153" s="8" t="str">
        <f t="shared" si="21"/>
        <v/>
      </c>
      <c r="U153" s="8">
        <f t="shared" si="22"/>
        <v>0</v>
      </c>
      <c r="V153" s="8">
        <f>IF(B153="",0,IF(SUMPRODUCT(--(B$4:B153=B153))&gt;1,1,0))</f>
        <v>0</v>
      </c>
      <c r="W153" s="8">
        <f t="shared" si="23"/>
        <v>0</v>
      </c>
    </row>
    <row r="154" spans="1:23" x14ac:dyDescent="0.25">
      <c r="A154" s="8">
        <v>151</v>
      </c>
      <c r="B154" s="9"/>
      <c r="C154" s="9"/>
      <c r="D154" s="33" t="str">
        <f t="shared" si="16"/>
        <v/>
      </c>
      <c r="E154" s="9"/>
      <c r="F154" s="31"/>
      <c r="G154" s="11"/>
      <c r="H154" s="11"/>
      <c r="I154" s="9"/>
      <c r="J154" s="12" t="str">
        <f t="shared" si="17"/>
        <v/>
      </c>
      <c r="K154" s="9"/>
      <c r="L154" s="31"/>
      <c r="M154" s="9"/>
      <c r="N154" s="9"/>
      <c r="O154" s="12" t="str">
        <f t="shared" si="18"/>
        <v/>
      </c>
      <c r="P154" s="12" t="str">
        <f t="shared" si="19"/>
        <v/>
      </c>
      <c r="Q154" s="12" t="str">
        <f t="shared" si="20"/>
        <v/>
      </c>
      <c r="R154" s="9"/>
      <c r="S154" s="31"/>
      <c r="T154" s="8" t="str">
        <f t="shared" si="21"/>
        <v/>
      </c>
      <c r="U154" s="8">
        <f t="shared" si="22"/>
        <v>0</v>
      </c>
      <c r="V154" s="8">
        <f>IF(B154="",0,IF(SUMPRODUCT(--(B$4:B154=B154))&gt;1,1,0))</f>
        <v>0</v>
      </c>
      <c r="W154" s="8">
        <f t="shared" si="23"/>
        <v>0</v>
      </c>
    </row>
    <row r="155" spans="1:23" x14ac:dyDescent="0.25">
      <c r="A155" s="8">
        <v>152</v>
      </c>
      <c r="B155" s="9"/>
      <c r="C155" s="9"/>
      <c r="D155" s="33" t="str">
        <f t="shared" si="16"/>
        <v/>
      </c>
      <c r="E155" s="9"/>
      <c r="F155" s="31"/>
      <c r="G155" s="11"/>
      <c r="H155" s="11"/>
      <c r="I155" s="9"/>
      <c r="J155" s="12" t="str">
        <f t="shared" si="17"/>
        <v/>
      </c>
      <c r="K155" s="9"/>
      <c r="L155" s="31"/>
      <c r="M155" s="9"/>
      <c r="N155" s="9"/>
      <c r="O155" s="12" t="str">
        <f t="shared" si="18"/>
        <v/>
      </c>
      <c r="P155" s="12" t="str">
        <f t="shared" si="19"/>
        <v/>
      </c>
      <c r="Q155" s="12" t="str">
        <f t="shared" si="20"/>
        <v/>
      </c>
      <c r="R155" s="9"/>
      <c r="S155" s="31"/>
      <c r="T155" s="8" t="str">
        <f t="shared" si="21"/>
        <v/>
      </c>
      <c r="U155" s="8">
        <f t="shared" si="22"/>
        <v>0</v>
      </c>
      <c r="V155" s="8">
        <f>IF(B155="",0,IF(SUMPRODUCT(--(B$4:B155=B155))&gt;1,1,0))</f>
        <v>0</v>
      </c>
      <c r="W155" s="8">
        <f t="shared" si="23"/>
        <v>0</v>
      </c>
    </row>
    <row r="156" spans="1:23" x14ac:dyDescent="0.25">
      <c r="A156" s="8">
        <v>153</v>
      </c>
      <c r="B156" s="9"/>
      <c r="C156" s="9"/>
      <c r="D156" s="33" t="str">
        <f t="shared" si="16"/>
        <v/>
      </c>
      <c r="E156" s="9"/>
      <c r="F156" s="31"/>
      <c r="G156" s="11"/>
      <c r="H156" s="11"/>
      <c r="I156" s="9"/>
      <c r="J156" s="12" t="str">
        <f t="shared" si="17"/>
        <v/>
      </c>
      <c r="K156" s="9"/>
      <c r="L156" s="31"/>
      <c r="M156" s="9"/>
      <c r="N156" s="9"/>
      <c r="O156" s="12" t="str">
        <f t="shared" si="18"/>
        <v/>
      </c>
      <c r="P156" s="12" t="str">
        <f t="shared" si="19"/>
        <v/>
      </c>
      <c r="Q156" s="12" t="str">
        <f t="shared" si="20"/>
        <v/>
      </c>
      <c r="R156" s="9"/>
      <c r="S156" s="31"/>
      <c r="T156" s="8" t="str">
        <f t="shared" si="21"/>
        <v/>
      </c>
      <c r="U156" s="8">
        <f t="shared" si="22"/>
        <v>0</v>
      </c>
      <c r="V156" s="8">
        <f>IF(B156="",0,IF(SUMPRODUCT(--(B$4:B156=B156))&gt;1,1,0))</f>
        <v>0</v>
      </c>
      <c r="W156" s="8">
        <f t="shared" si="23"/>
        <v>0</v>
      </c>
    </row>
    <row r="157" spans="1:23" x14ac:dyDescent="0.25">
      <c r="A157" s="8">
        <v>154</v>
      </c>
      <c r="B157" s="9"/>
      <c r="C157" s="9"/>
      <c r="D157" s="33" t="str">
        <f t="shared" si="16"/>
        <v/>
      </c>
      <c r="E157" s="9"/>
      <c r="F157" s="31"/>
      <c r="G157" s="11"/>
      <c r="H157" s="11"/>
      <c r="I157" s="9"/>
      <c r="J157" s="12" t="str">
        <f t="shared" si="17"/>
        <v/>
      </c>
      <c r="K157" s="9"/>
      <c r="L157" s="31"/>
      <c r="M157" s="9"/>
      <c r="N157" s="9"/>
      <c r="O157" s="12" t="str">
        <f t="shared" si="18"/>
        <v/>
      </c>
      <c r="P157" s="12" t="str">
        <f t="shared" si="19"/>
        <v/>
      </c>
      <c r="Q157" s="12" t="str">
        <f t="shared" si="20"/>
        <v/>
      </c>
      <c r="R157" s="9"/>
      <c r="S157" s="31"/>
      <c r="T157" s="8" t="str">
        <f t="shared" si="21"/>
        <v/>
      </c>
      <c r="U157" s="8">
        <f t="shared" si="22"/>
        <v>0</v>
      </c>
      <c r="V157" s="8">
        <f>IF(B157="",0,IF(SUMPRODUCT(--(B$4:B157=B157))&gt;1,1,0))</f>
        <v>0</v>
      </c>
      <c r="W157" s="8">
        <f t="shared" si="23"/>
        <v>0</v>
      </c>
    </row>
    <row r="158" spans="1:23" x14ac:dyDescent="0.25">
      <c r="A158" s="8">
        <v>155</v>
      </c>
      <c r="B158" s="9"/>
      <c r="C158" s="9"/>
      <c r="D158" s="33" t="str">
        <f t="shared" si="16"/>
        <v/>
      </c>
      <c r="E158" s="9"/>
      <c r="F158" s="31"/>
      <c r="G158" s="11"/>
      <c r="H158" s="11"/>
      <c r="I158" s="9"/>
      <c r="J158" s="12" t="str">
        <f t="shared" si="17"/>
        <v/>
      </c>
      <c r="K158" s="9"/>
      <c r="L158" s="31"/>
      <c r="M158" s="9"/>
      <c r="N158" s="9"/>
      <c r="O158" s="12" t="str">
        <f t="shared" si="18"/>
        <v/>
      </c>
      <c r="P158" s="12" t="str">
        <f t="shared" si="19"/>
        <v/>
      </c>
      <c r="Q158" s="12" t="str">
        <f t="shared" si="20"/>
        <v/>
      </c>
      <c r="R158" s="9"/>
      <c r="S158" s="31"/>
      <c r="T158" s="8" t="str">
        <f t="shared" si="21"/>
        <v/>
      </c>
      <c r="U158" s="8">
        <f t="shared" si="22"/>
        <v>0</v>
      </c>
      <c r="V158" s="8">
        <f>IF(B158="",0,IF(SUMPRODUCT(--(B$4:B158=B158))&gt;1,1,0))</f>
        <v>0</v>
      </c>
      <c r="W158" s="8">
        <f t="shared" si="23"/>
        <v>0</v>
      </c>
    </row>
    <row r="159" spans="1:23" x14ac:dyDescent="0.25">
      <c r="A159" s="8">
        <v>156</v>
      </c>
      <c r="B159" s="9"/>
      <c r="C159" s="9"/>
      <c r="D159" s="33" t="str">
        <f t="shared" si="16"/>
        <v/>
      </c>
      <c r="E159" s="9"/>
      <c r="F159" s="31"/>
      <c r="G159" s="11"/>
      <c r="H159" s="11"/>
      <c r="I159" s="9"/>
      <c r="J159" s="12" t="str">
        <f t="shared" si="17"/>
        <v/>
      </c>
      <c r="K159" s="9"/>
      <c r="L159" s="31"/>
      <c r="M159" s="9"/>
      <c r="N159" s="9"/>
      <c r="O159" s="12" t="str">
        <f t="shared" si="18"/>
        <v/>
      </c>
      <c r="P159" s="12" t="str">
        <f t="shared" si="19"/>
        <v/>
      </c>
      <c r="Q159" s="12" t="str">
        <f t="shared" si="20"/>
        <v/>
      </c>
      <c r="R159" s="9"/>
      <c r="S159" s="31"/>
      <c r="T159" s="8" t="str">
        <f t="shared" si="21"/>
        <v/>
      </c>
      <c r="U159" s="8">
        <f t="shared" si="22"/>
        <v>0</v>
      </c>
      <c r="V159" s="8">
        <f>IF(B159="",0,IF(SUMPRODUCT(--(B$4:B159=B159))&gt;1,1,0))</f>
        <v>0</v>
      </c>
      <c r="W159" s="8">
        <f t="shared" si="23"/>
        <v>0</v>
      </c>
    </row>
    <row r="160" spans="1:23" x14ac:dyDescent="0.25">
      <c r="A160" s="8">
        <v>157</v>
      </c>
      <c r="B160" s="9"/>
      <c r="C160" s="9"/>
      <c r="D160" s="33" t="str">
        <f t="shared" si="16"/>
        <v/>
      </c>
      <c r="E160" s="9"/>
      <c r="F160" s="31"/>
      <c r="G160" s="11"/>
      <c r="H160" s="11"/>
      <c r="I160" s="9"/>
      <c r="J160" s="12" t="str">
        <f t="shared" si="17"/>
        <v/>
      </c>
      <c r="K160" s="9"/>
      <c r="L160" s="31"/>
      <c r="M160" s="9"/>
      <c r="N160" s="9"/>
      <c r="O160" s="12" t="str">
        <f t="shared" si="18"/>
        <v/>
      </c>
      <c r="P160" s="12" t="str">
        <f t="shared" si="19"/>
        <v/>
      </c>
      <c r="Q160" s="12" t="str">
        <f t="shared" si="20"/>
        <v/>
      </c>
      <c r="R160" s="9"/>
      <c r="S160" s="31"/>
      <c r="T160" s="8" t="str">
        <f t="shared" si="21"/>
        <v/>
      </c>
      <c r="U160" s="8">
        <f t="shared" si="22"/>
        <v>0</v>
      </c>
      <c r="V160" s="8">
        <f>IF(B160="",0,IF(SUMPRODUCT(--(B$4:B160=B160))&gt;1,1,0))</f>
        <v>0</v>
      </c>
      <c r="W160" s="8">
        <f t="shared" si="23"/>
        <v>0</v>
      </c>
    </row>
    <row r="161" spans="1:23" x14ac:dyDescent="0.25">
      <c r="A161" s="8">
        <v>158</v>
      </c>
      <c r="B161" s="9"/>
      <c r="C161" s="9"/>
      <c r="D161" s="33" t="str">
        <f t="shared" si="16"/>
        <v/>
      </c>
      <c r="E161" s="9"/>
      <c r="F161" s="31"/>
      <c r="G161" s="11"/>
      <c r="H161" s="11"/>
      <c r="I161" s="9"/>
      <c r="J161" s="12" t="str">
        <f t="shared" si="17"/>
        <v/>
      </c>
      <c r="K161" s="9"/>
      <c r="L161" s="31"/>
      <c r="M161" s="9"/>
      <c r="N161" s="9"/>
      <c r="O161" s="12" t="str">
        <f t="shared" si="18"/>
        <v/>
      </c>
      <c r="P161" s="12" t="str">
        <f t="shared" si="19"/>
        <v/>
      </c>
      <c r="Q161" s="12" t="str">
        <f t="shared" si="20"/>
        <v/>
      </c>
      <c r="R161" s="9"/>
      <c r="S161" s="31"/>
      <c r="T161" s="8" t="str">
        <f t="shared" si="21"/>
        <v/>
      </c>
      <c r="U161" s="8">
        <f t="shared" si="22"/>
        <v>0</v>
      </c>
      <c r="V161" s="8">
        <f>IF(B161="",0,IF(SUMPRODUCT(--(B$4:B161=B161))&gt;1,1,0))</f>
        <v>0</v>
      </c>
      <c r="W161" s="8">
        <f t="shared" si="23"/>
        <v>0</v>
      </c>
    </row>
    <row r="162" spans="1:23" x14ac:dyDescent="0.25">
      <c r="A162" s="8">
        <v>159</v>
      </c>
      <c r="B162" s="9"/>
      <c r="C162" s="9"/>
      <c r="D162" s="33" t="str">
        <f t="shared" si="16"/>
        <v/>
      </c>
      <c r="E162" s="9"/>
      <c r="F162" s="31"/>
      <c r="G162" s="11"/>
      <c r="H162" s="11"/>
      <c r="I162" s="9"/>
      <c r="J162" s="12" t="str">
        <f t="shared" si="17"/>
        <v/>
      </c>
      <c r="K162" s="9"/>
      <c r="L162" s="31"/>
      <c r="M162" s="9"/>
      <c r="N162" s="9"/>
      <c r="O162" s="12" t="str">
        <f t="shared" si="18"/>
        <v/>
      </c>
      <c r="P162" s="12" t="str">
        <f t="shared" si="19"/>
        <v/>
      </c>
      <c r="Q162" s="12" t="str">
        <f t="shared" si="20"/>
        <v/>
      </c>
      <c r="R162" s="9"/>
      <c r="S162" s="31"/>
      <c r="T162" s="8" t="str">
        <f t="shared" si="21"/>
        <v/>
      </c>
      <c r="U162" s="8">
        <f t="shared" si="22"/>
        <v>0</v>
      </c>
      <c r="V162" s="8">
        <f>IF(B162="",0,IF(SUMPRODUCT(--(B$4:B162=B162))&gt;1,1,0))</f>
        <v>0</v>
      </c>
      <c r="W162" s="8">
        <f t="shared" si="23"/>
        <v>0</v>
      </c>
    </row>
    <row r="163" spans="1:23" x14ac:dyDescent="0.25">
      <c r="A163" s="8">
        <v>160</v>
      </c>
      <c r="B163" s="9"/>
      <c r="C163" s="9"/>
      <c r="D163" s="33" t="str">
        <f t="shared" si="16"/>
        <v/>
      </c>
      <c r="E163" s="9"/>
      <c r="F163" s="31"/>
      <c r="G163" s="11"/>
      <c r="H163" s="11"/>
      <c r="I163" s="9"/>
      <c r="J163" s="12" t="str">
        <f t="shared" si="17"/>
        <v/>
      </c>
      <c r="K163" s="9"/>
      <c r="L163" s="31"/>
      <c r="M163" s="9"/>
      <c r="N163" s="9"/>
      <c r="O163" s="12" t="str">
        <f t="shared" si="18"/>
        <v/>
      </c>
      <c r="P163" s="12" t="str">
        <f t="shared" si="19"/>
        <v/>
      </c>
      <c r="Q163" s="12" t="str">
        <f t="shared" si="20"/>
        <v/>
      </c>
      <c r="R163" s="9"/>
      <c r="S163" s="31"/>
      <c r="T163" s="8" t="str">
        <f t="shared" si="21"/>
        <v/>
      </c>
      <c r="U163" s="8">
        <f t="shared" si="22"/>
        <v>0</v>
      </c>
      <c r="V163" s="8">
        <f>IF(B163="",0,IF(SUMPRODUCT(--(B$4:B163=B163))&gt;1,1,0))</f>
        <v>0</v>
      </c>
      <c r="W163" s="8">
        <f t="shared" si="23"/>
        <v>0</v>
      </c>
    </row>
    <row r="164" spans="1:23" x14ac:dyDescent="0.25">
      <c r="A164" s="8">
        <v>161</v>
      </c>
      <c r="B164" s="9"/>
      <c r="C164" s="9"/>
      <c r="D164" s="33" t="str">
        <f t="shared" si="16"/>
        <v/>
      </c>
      <c r="E164" s="9"/>
      <c r="F164" s="31"/>
      <c r="G164" s="11"/>
      <c r="H164" s="11"/>
      <c r="I164" s="9"/>
      <c r="J164" s="12" t="str">
        <f t="shared" si="17"/>
        <v/>
      </c>
      <c r="K164" s="9"/>
      <c r="L164" s="31"/>
      <c r="M164" s="9"/>
      <c r="N164" s="9"/>
      <c r="O164" s="12" t="str">
        <f t="shared" si="18"/>
        <v/>
      </c>
      <c r="P164" s="12" t="str">
        <f t="shared" si="19"/>
        <v/>
      </c>
      <c r="Q164" s="12" t="str">
        <f t="shared" si="20"/>
        <v/>
      </c>
      <c r="R164" s="9"/>
      <c r="S164" s="31"/>
      <c r="T164" s="8" t="str">
        <f t="shared" si="21"/>
        <v/>
      </c>
      <c r="U164" s="8">
        <f t="shared" si="22"/>
        <v>0</v>
      </c>
      <c r="V164" s="8">
        <f>IF(B164="",0,IF(SUMPRODUCT(--(B$4:B164=B164))&gt;1,1,0))</f>
        <v>0</v>
      </c>
      <c r="W164" s="8">
        <f t="shared" si="23"/>
        <v>0</v>
      </c>
    </row>
    <row r="165" spans="1:23" x14ac:dyDescent="0.25">
      <c r="A165" s="8">
        <v>162</v>
      </c>
      <c r="B165" s="9"/>
      <c r="C165" s="9"/>
      <c r="D165" s="33" t="str">
        <f t="shared" si="16"/>
        <v/>
      </c>
      <c r="E165" s="9"/>
      <c r="F165" s="31"/>
      <c r="G165" s="11"/>
      <c r="H165" s="11"/>
      <c r="I165" s="9"/>
      <c r="J165" s="12" t="str">
        <f t="shared" si="17"/>
        <v/>
      </c>
      <c r="K165" s="9"/>
      <c r="L165" s="31"/>
      <c r="M165" s="9"/>
      <c r="N165" s="9"/>
      <c r="O165" s="12" t="str">
        <f t="shared" si="18"/>
        <v/>
      </c>
      <c r="P165" s="12" t="str">
        <f t="shared" si="19"/>
        <v/>
      </c>
      <c r="Q165" s="12" t="str">
        <f t="shared" si="20"/>
        <v/>
      </c>
      <c r="R165" s="9"/>
      <c r="S165" s="31"/>
      <c r="T165" s="8" t="str">
        <f t="shared" si="21"/>
        <v/>
      </c>
      <c r="U165" s="8">
        <f t="shared" si="22"/>
        <v>0</v>
      </c>
      <c r="V165" s="8">
        <f>IF(B165="",0,IF(SUMPRODUCT(--(B$4:B165=B165))&gt;1,1,0))</f>
        <v>0</v>
      </c>
      <c r="W165" s="8">
        <f t="shared" si="23"/>
        <v>0</v>
      </c>
    </row>
    <row r="166" spans="1:23" x14ac:dyDescent="0.25">
      <c r="A166" s="8">
        <v>163</v>
      </c>
      <c r="B166" s="9"/>
      <c r="C166" s="9"/>
      <c r="D166" s="33" t="str">
        <f t="shared" si="16"/>
        <v/>
      </c>
      <c r="E166" s="9"/>
      <c r="F166" s="31"/>
      <c r="G166" s="11"/>
      <c r="H166" s="11"/>
      <c r="I166" s="9"/>
      <c r="J166" s="12" t="str">
        <f t="shared" si="17"/>
        <v/>
      </c>
      <c r="K166" s="9"/>
      <c r="L166" s="31"/>
      <c r="M166" s="9"/>
      <c r="N166" s="9"/>
      <c r="O166" s="12" t="str">
        <f t="shared" si="18"/>
        <v/>
      </c>
      <c r="P166" s="12" t="str">
        <f t="shared" si="19"/>
        <v/>
      </c>
      <c r="Q166" s="12" t="str">
        <f t="shared" si="20"/>
        <v/>
      </c>
      <c r="R166" s="9"/>
      <c r="S166" s="31"/>
      <c r="T166" s="8" t="str">
        <f t="shared" si="21"/>
        <v/>
      </c>
      <c r="U166" s="8">
        <f t="shared" si="22"/>
        <v>0</v>
      </c>
      <c r="V166" s="8">
        <f>IF(B166="",0,IF(SUMPRODUCT(--(B$4:B166=B166))&gt;1,1,0))</f>
        <v>0</v>
      </c>
      <c r="W166" s="8">
        <f t="shared" si="23"/>
        <v>0</v>
      </c>
    </row>
    <row r="167" spans="1:23" x14ac:dyDescent="0.25">
      <c r="A167" s="8">
        <v>164</v>
      </c>
      <c r="B167" s="9"/>
      <c r="C167" s="9"/>
      <c r="D167" s="33" t="str">
        <f t="shared" si="16"/>
        <v/>
      </c>
      <c r="E167" s="9"/>
      <c r="F167" s="31"/>
      <c r="G167" s="11"/>
      <c r="H167" s="11"/>
      <c r="I167" s="9"/>
      <c r="J167" s="12" t="str">
        <f t="shared" si="17"/>
        <v/>
      </c>
      <c r="K167" s="9"/>
      <c r="L167" s="31"/>
      <c r="M167" s="9"/>
      <c r="N167" s="9"/>
      <c r="O167" s="12" t="str">
        <f t="shared" si="18"/>
        <v/>
      </c>
      <c r="P167" s="12" t="str">
        <f t="shared" si="19"/>
        <v/>
      </c>
      <c r="Q167" s="12" t="str">
        <f t="shared" si="20"/>
        <v/>
      </c>
      <c r="R167" s="9"/>
      <c r="S167" s="31"/>
      <c r="T167" s="8" t="str">
        <f t="shared" si="21"/>
        <v/>
      </c>
      <c r="U167" s="8">
        <f t="shared" si="22"/>
        <v>0</v>
      </c>
      <c r="V167" s="8">
        <f>IF(B167="",0,IF(SUMPRODUCT(--(B$4:B167=B167))&gt;1,1,0))</f>
        <v>0</v>
      </c>
      <c r="W167" s="8">
        <f t="shared" si="23"/>
        <v>0</v>
      </c>
    </row>
    <row r="168" spans="1:23" x14ac:dyDescent="0.25">
      <c r="A168" s="8">
        <v>165</v>
      </c>
      <c r="B168" s="9"/>
      <c r="C168" s="9"/>
      <c r="D168" s="33" t="str">
        <f t="shared" si="16"/>
        <v/>
      </c>
      <c r="E168" s="9"/>
      <c r="F168" s="31"/>
      <c r="G168" s="11"/>
      <c r="H168" s="11"/>
      <c r="I168" s="9"/>
      <c r="J168" s="12" t="str">
        <f t="shared" si="17"/>
        <v/>
      </c>
      <c r="K168" s="9"/>
      <c r="L168" s="31"/>
      <c r="M168" s="9"/>
      <c r="N168" s="9"/>
      <c r="O168" s="12" t="str">
        <f t="shared" si="18"/>
        <v/>
      </c>
      <c r="P168" s="12" t="str">
        <f t="shared" si="19"/>
        <v/>
      </c>
      <c r="Q168" s="12" t="str">
        <f t="shared" si="20"/>
        <v/>
      </c>
      <c r="R168" s="9"/>
      <c r="S168" s="31"/>
      <c r="T168" s="8" t="str">
        <f t="shared" si="21"/>
        <v/>
      </c>
      <c r="U168" s="8">
        <f t="shared" si="22"/>
        <v>0</v>
      </c>
      <c r="V168" s="8">
        <f>IF(B168="",0,IF(SUMPRODUCT(--(B$4:B168=B168))&gt;1,1,0))</f>
        <v>0</v>
      </c>
      <c r="W168" s="8">
        <f t="shared" si="23"/>
        <v>0</v>
      </c>
    </row>
    <row r="169" spans="1:23" x14ac:dyDescent="0.25">
      <c r="A169" s="8">
        <v>166</v>
      </c>
      <c r="B169" s="9"/>
      <c r="C169" s="9"/>
      <c r="D169" s="33" t="str">
        <f t="shared" si="16"/>
        <v/>
      </c>
      <c r="E169" s="9"/>
      <c r="F169" s="31"/>
      <c r="G169" s="11"/>
      <c r="H169" s="11"/>
      <c r="I169" s="9"/>
      <c r="J169" s="12" t="str">
        <f t="shared" si="17"/>
        <v/>
      </c>
      <c r="K169" s="9"/>
      <c r="L169" s="31"/>
      <c r="M169" s="9"/>
      <c r="N169" s="9"/>
      <c r="O169" s="12" t="str">
        <f t="shared" si="18"/>
        <v/>
      </c>
      <c r="P169" s="12" t="str">
        <f t="shared" si="19"/>
        <v/>
      </c>
      <c r="Q169" s="12" t="str">
        <f t="shared" si="20"/>
        <v/>
      </c>
      <c r="R169" s="9"/>
      <c r="S169" s="31"/>
      <c r="T169" s="8" t="str">
        <f t="shared" si="21"/>
        <v/>
      </c>
      <c r="U169" s="8">
        <f t="shared" si="22"/>
        <v>0</v>
      </c>
      <c r="V169" s="8">
        <f>IF(B169="",0,IF(SUMPRODUCT(--(B$4:B169=B169))&gt;1,1,0))</f>
        <v>0</v>
      </c>
      <c r="W169" s="8">
        <f t="shared" si="23"/>
        <v>0</v>
      </c>
    </row>
    <row r="170" spans="1:23" x14ac:dyDescent="0.25">
      <c r="A170" s="8">
        <v>167</v>
      </c>
      <c r="B170" s="9"/>
      <c r="C170" s="9"/>
      <c r="D170" s="33" t="str">
        <f t="shared" si="16"/>
        <v/>
      </c>
      <c r="E170" s="9"/>
      <c r="F170" s="31"/>
      <c r="G170" s="11"/>
      <c r="H170" s="11"/>
      <c r="I170" s="9"/>
      <c r="J170" s="12" t="str">
        <f t="shared" si="17"/>
        <v/>
      </c>
      <c r="K170" s="9"/>
      <c r="L170" s="31"/>
      <c r="M170" s="9"/>
      <c r="N170" s="9"/>
      <c r="O170" s="12" t="str">
        <f t="shared" si="18"/>
        <v/>
      </c>
      <c r="P170" s="12" t="str">
        <f t="shared" si="19"/>
        <v/>
      </c>
      <c r="Q170" s="12" t="str">
        <f t="shared" si="20"/>
        <v/>
      </c>
      <c r="R170" s="9"/>
      <c r="S170" s="31"/>
      <c r="T170" s="8" t="str">
        <f t="shared" si="21"/>
        <v/>
      </c>
      <c r="U170" s="8">
        <f t="shared" si="22"/>
        <v>0</v>
      </c>
      <c r="V170" s="8">
        <f>IF(B170="",0,IF(SUMPRODUCT(--(B$4:B170=B170))&gt;1,1,0))</f>
        <v>0</v>
      </c>
      <c r="W170" s="8">
        <f t="shared" si="23"/>
        <v>0</v>
      </c>
    </row>
    <row r="171" spans="1:23" x14ac:dyDescent="0.25">
      <c r="A171" s="8">
        <v>168</v>
      </c>
      <c r="B171" s="9"/>
      <c r="C171" s="9"/>
      <c r="D171" s="33" t="str">
        <f t="shared" si="16"/>
        <v/>
      </c>
      <c r="E171" s="9"/>
      <c r="F171" s="31"/>
      <c r="G171" s="11"/>
      <c r="H171" s="11"/>
      <c r="I171" s="9"/>
      <c r="J171" s="12" t="str">
        <f t="shared" si="17"/>
        <v/>
      </c>
      <c r="K171" s="9"/>
      <c r="L171" s="31"/>
      <c r="M171" s="9"/>
      <c r="N171" s="9"/>
      <c r="O171" s="12" t="str">
        <f t="shared" si="18"/>
        <v/>
      </c>
      <c r="P171" s="12" t="str">
        <f t="shared" si="19"/>
        <v/>
      </c>
      <c r="Q171" s="12" t="str">
        <f t="shared" si="20"/>
        <v/>
      </c>
      <c r="R171" s="9"/>
      <c r="S171" s="31"/>
      <c r="T171" s="8" t="str">
        <f t="shared" si="21"/>
        <v/>
      </c>
      <c r="U171" s="8">
        <f t="shared" si="22"/>
        <v>0</v>
      </c>
      <c r="V171" s="8">
        <f>IF(B171="",0,IF(SUMPRODUCT(--(B$4:B171=B171))&gt;1,1,0))</f>
        <v>0</v>
      </c>
      <c r="W171" s="8">
        <f t="shared" si="23"/>
        <v>0</v>
      </c>
    </row>
    <row r="172" spans="1:23" x14ac:dyDescent="0.25">
      <c r="A172" s="8">
        <v>169</v>
      </c>
      <c r="B172" s="9"/>
      <c r="C172" s="9"/>
      <c r="D172" s="33" t="str">
        <f t="shared" si="16"/>
        <v/>
      </c>
      <c r="E172" s="9"/>
      <c r="F172" s="31"/>
      <c r="G172" s="11"/>
      <c r="H172" s="11"/>
      <c r="I172" s="9"/>
      <c r="J172" s="12" t="str">
        <f t="shared" si="17"/>
        <v/>
      </c>
      <c r="K172" s="9"/>
      <c r="L172" s="31"/>
      <c r="M172" s="9"/>
      <c r="N172" s="9"/>
      <c r="O172" s="12" t="str">
        <f t="shared" si="18"/>
        <v/>
      </c>
      <c r="P172" s="12" t="str">
        <f t="shared" si="19"/>
        <v/>
      </c>
      <c r="Q172" s="12" t="str">
        <f t="shared" si="20"/>
        <v/>
      </c>
      <c r="R172" s="9"/>
      <c r="S172" s="31"/>
      <c r="T172" s="8" t="str">
        <f t="shared" si="21"/>
        <v/>
      </c>
      <c r="U172" s="8">
        <f t="shared" si="22"/>
        <v>0</v>
      </c>
      <c r="V172" s="8">
        <f>IF(B172="",0,IF(SUMPRODUCT(--(B$4:B172=B172))&gt;1,1,0))</f>
        <v>0</v>
      </c>
      <c r="W172" s="8">
        <f t="shared" si="23"/>
        <v>0</v>
      </c>
    </row>
    <row r="173" spans="1:23" x14ac:dyDescent="0.25">
      <c r="A173" s="8">
        <v>170</v>
      </c>
      <c r="B173" s="9"/>
      <c r="C173" s="9"/>
      <c r="D173" s="33" t="str">
        <f t="shared" si="16"/>
        <v/>
      </c>
      <c r="E173" s="9"/>
      <c r="F173" s="31"/>
      <c r="G173" s="11"/>
      <c r="H173" s="11"/>
      <c r="I173" s="9"/>
      <c r="J173" s="12" t="str">
        <f t="shared" si="17"/>
        <v/>
      </c>
      <c r="K173" s="9"/>
      <c r="L173" s="31"/>
      <c r="M173" s="9"/>
      <c r="N173" s="9"/>
      <c r="O173" s="12" t="str">
        <f t="shared" si="18"/>
        <v/>
      </c>
      <c r="P173" s="12" t="str">
        <f t="shared" si="19"/>
        <v/>
      </c>
      <c r="Q173" s="12" t="str">
        <f t="shared" si="20"/>
        <v/>
      </c>
      <c r="R173" s="9"/>
      <c r="S173" s="31"/>
      <c r="T173" s="8" t="str">
        <f t="shared" si="21"/>
        <v/>
      </c>
      <c r="U173" s="8">
        <f t="shared" si="22"/>
        <v>0</v>
      </c>
      <c r="V173" s="8">
        <f>IF(B173="",0,IF(SUMPRODUCT(--(B$4:B173=B173))&gt;1,1,0))</f>
        <v>0</v>
      </c>
      <c r="W173" s="8">
        <f t="shared" si="23"/>
        <v>0</v>
      </c>
    </row>
    <row r="174" spans="1:23" x14ac:dyDescent="0.25">
      <c r="A174" s="8">
        <v>171</v>
      </c>
      <c r="B174" s="9"/>
      <c r="C174" s="9"/>
      <c r="D174" s="33" t="str">
        <f t="shared" si="16"/>
        <v/>
      </c>
      <c r="E174" s="9"/>
      <c r="F174" s="31"/>
      <c r="G174" s="11"/>
      <c r="H174" s="11"/>
      <c r="I174" s="9"/>
      <c r="J174" s="12" t="str">
        <f t="shared" si="17"/>
        <v/>
      </c>
      <c r="K174" s="9"/>
      <c r="L174" s="31"/>
      <c r="M174" s="9"/>
      <c r="N174" s="9"/>
      <c r="O174" s="12" t="str">
        <f t="shared" si="18"/>
        <v/>
      </c>
      <c r="P174" s="12" t="str">
        <f t="shared" si="19"/>
        <v/>
      </c>
      <c r="Q174" s="12" t="str">
        <f t="shared" si="20"/>
        <v/>
      </c>
      <c r="R174" s="9"/>
      <c r="S174" s="31"/>
      <c r="T174" s="8" t="str">
        <f t="shared" si="21"/>
        <v/>
      </c>
      <c r="U174" s="8">
        <f t="shared" si="22"/>
        <v>0</v>
      </c>
      <c r="V174" s="8">
        <f>IF(B174="",0,IF(SUMPRODUCT(--(B$4:B174=B174))&gt;1,1,0))</f>
        <v>0</v>
      </c>
      <c r="W174" s="8">
        <f t="shared" si="23"/>
        <v>0</v>
      </c>
    </row>
    <row r="175" spans="1:23" x14ac:dyDescent="0.25">
      <c r="A175" s="8">
        <v>172</v>
      </c>
      <c r="B175" s="9"/>
      <c r="C175" s="9"/>
      <c r="D175" s="33" t="str">
        <f t="shared" si="16"/>
        <v/>
      </c>
      <c r="E175" s="9"/>
      <c r="F175" s="31"/>
      <c r="G175" s="11"/>
      <c r="H175" s="11"/>
      <c r="I175" s="9"/>
      <c r="J175" s="12" t="str">
        <f t="shared" si="17"/>
        <v/>
      </c>
      <c r="K175" s="9"/>
      <c r="L175" s="31"/>
      <c r="M175" s="9"/>
      <c r="N175" s="9"/>
      <c r="O175" s="12" t="str">
        <f t="shared" si="18"/>
        <v/>
      </c>
      <c r="P175" s="12" t="str">
        <f t="shared" si="19"/>
        <v/>
      </c>
      <c r="Q175" s="12" t="str">
        <f t="shared" si="20"/>
        <v/>
      </c>
      <c r="R175" s="9"/>
      <c r="S175" s="31"/>
      <c r="T175" s="8" t="str">
        <f t="shared" si="21"/>
        <v/>
      </c>
      <c r="U175" s="8">
        <f t="shared" si="22"/>
        <v>0</v>
      </c>
      <c r="V175" s="8">
        <f>IF(B175="",0,IF(SUMPRODUCT(--(B$4:B175=B175))&gt;1,1,0))</f>
        <v>0</v>
      </c>
      <c r="W175" s="8">
        <f t="shared" si="23"/>
        <v>0</v>
      </c>
    </row>
    <row r="176" spans="1:23" x14ac:dyDescent="0.25">
      <c r="A176" s="8">
        <v>173</v>
      </c>
      <c r="B176" s="9"/>
      <c r="C176" s="9"/>
      <c r="D176" s="33" t="str">
        <f t="shared" si="16"/>
        <v/>
      </c>
      <c r="E176" s="9"/>
      <c r="F176" s="31"/>
      <c r="G176" s="11"/>
      <c r="H176" s="11"/>
      <c r="I176" s="9"/>
      <c r="J176" s="12" t="str">
        <f t="shared" si="17"/>
        <v/>
      </c>
      <c r="K176" s="9"/>
      <c r="L176" s="31"/>
      <c r="M176" s="9"/>
      <c r="N176" s="9"/>
      <c r="O176" s="12" t="str">
        <f t="shared" si="18"/>
        <v/>
      </c>
      <c r="P176" s="12" t="str">
        <f t="shared" si="19"/>
        <v/>
      </c>
      <c r="Q176" s="12" t="str">
        <f t="shared" si="20"/>
        <v/>
      </c>
      <c r="R176" s="9"/>
      <c r="S176" s="31"/>
      <c r="T176" s="8" t="str">
        <f t="shared" si="21"/>
        <v/>
      </c>
      <c r="U176" s="8">
        <f t="shared" si="22"/>
        <v>0</v>
      </c>
      <c r="V176" s="8">
        <f>IF(B176="",0,IF(SUMPRODUCT(--(B$4:B176=B176))&gt;1,1,0))</f>
        <v>0</v>
      </c>
      <c r="W176" s="8">
        <f t="shared" si="23"/>
        <v>0</v>
      </c>
    </row>
    <row r="177" spans="1:23" x14ac:dyDescent="0.25">
      <c r="A177" s="8">
        <v>174</v>
      </c>
      <c r="B177" s="9"/>
      <c r="C177" s="9"/>
      <c r="D177" s="33" t="str">
        <f t="shared" si="16"/>
        <v/>
      </c>
      <c r="E177" s="9"/>
      <c r="F177" s="31"/>
      <c r="G177" s="11"/>
      <c r="H177" s="11"/>
      <c r="I177" s="9"/>
      <c r="J177" s="12" t="str">
        <f t="shared" si="17"/>
        <v/>
      </c>
      <c r="K177" s="9"/>
      <c r="L177" s="31"/>
      <c r="M177" s="9"/>
      <c r="N177" s="9"/>
      <c r="O177" s="12" t="str">
        <f t="shared" si="18"/>
        <v/>
      </c>
      <c r="P177" s="12" t="str">
        <f t="shared" si="19"/>
        <v/>
      </c>
      <c r="Q177" s="12" t="str">
        <f t="shared" si="20"/>
        <v/>
      </c>
      <c r="R177" s="9"/>
      <c r="S177" s="31"/>
      <c r="T177" s="8" t="str">
        <f t="shared" si="21"/>
        <v/>
      </c>
      <c r="U177" s="8">
        <f t="shared" si="22"/>
        <v>0</v>
      </c>
      <c r="V177" s="8">
        <f>IF(B177="",0,IF(SUMPRODUCT(--(B$4:B177=B177))&gt;1,1,0))</f>
        <v>0</v>
      </c>
      <c r="W177" s="8">
        <f t="shared" si="23"/>
        <v>0</v>
      </c>
    </row>
    <row r="178" spans="1:23" x14ac:dyDescent="0.25">
      <c r="A178" s="8">
        <v>175</v>
      </c>
      <c r="B178" s="9"/>
      <c r="C178" s="9"/>
      <c r="D178" s="33" t="str">
        <f t="shared" si="16"/>
        <v/>
      </c>
      <c r="E178" s="9"/>
      <c r="F178" s="31"/>
      <c r="G178" s="11"/>
      <c r="H178" s="11"/>
      <c r="I178" s="9"/>
      <c r="J178" s="12" t="str">
        <f t="shared" si="17"/>
        <v/>
      </c>
      <c r="K178" s="9"/>
      <c r="L178" s="31"/>
      <c r="M178" s="9"/>
      <c r="N178" s="9"/>
      <c r="O178" s="12" t="str">
        <f t="shared" si="18"/>
        <v/>
      </c>
      <c r="P178" s="12" t="str">
        <f t="shared" si="19"/>
        <v/>
      </c>
      <c r="Q178" s="12" t="str">
        <f t="shared" si="20"/>
        <v/>
      </c>
      <c r="R178" s="9"/>
      <c r="S178" s="31"/>
      <c r="T178" s="8" t="str">
        <f t="shared" si="21"/>
        <v/>
      </c>
      <c r="U178" s="8">
        <f t="shared" si="22"/>
        <v>0</v>
      </c>
      <c r="V178" s="8">
        <f>IF(B178="",0,IF(SUMPRODUCT(--(B$4:B178=B178))&gt;1,1,0))</f>
        <v>0</v>
      </c>
      <c r="W178" s="8">
        <f t="shared" si="23"/>
        <v>0</v>
      </c>
    </row>
    <row r="179" spans="1:23" x14ac:dyDescent="0.25">
      <c r="A179" s="8">
        <v>176</v>
      </c>
      <c r="B179" s="9"/>
      <c r="C179" s="9"/>
      <c r="D179" s="33" t="str">
        <f t="shared" si="16"/>
        <v/>
      </c>
      <c r="E179" s="9"/>
      <c r="F179" s="31"/>
      <c r="G179" s="11"/>
      <c r="H179" s="11"/>
      <c r="I179" s="9"/>
      <c r="J179" s="12" t="str">
        <f t="shared" si="17"/>
        <v/>
      </c>
      <c r="K179" s="9"/>
      <c r="L179" s="31"/>
      <c r="M179" s="9"/>
      <c r="N179" s="9"/>
      <c r="O179" s="12" t="str">
        <f t="shared" si="18"/>
        <v/>
      </c>
      <c r="P179" s="12" t="str">
        <f t="shared" si="19"/>
        <v/>
      </c>
      <c r="Q179" s="12" t="str">
        <f t="shared" si="20"/>
        <v/>
      </c>
      <c r="R179" s="9"/>
      <c r="S179" s="31"/>
      <c r="T179" s="8" t="str">
        <f t="shared" si="21"/>
        <v/>
      </c>
      <c r="U179" s="8">
        <f t="shared" si="22"/>
        <v>0</v>
      </c>
      <c r="V179" s="8">
        <f>IF(B179="",0,IF(SUMPRODUCT(--(B$4:B179=B179))&gt;1,1,0))</f>
        <v>0</v>
      </c>
      <c r="W179" s="8">
        <f t="shared" si="23"/>
        <v>0</v>
      </c>
    </row>
    <row r="180" spans="1:23" x14ac:dyDescent="0.25">
      <c r="A180" s="8">
        <v>177</v>
      </c>
      <c r="B180" s="9"/>
      <c r="C180" s="9"/>
      <c r="D180" s="33" t="str">
        <f t="shared" si="16"/>
        <v/>
      </c>
      <c r="E180" s="9"/>
      <c r="F180" s="31"/>
      <c r="G180" s="11"/>
      <c r="H180" s="11"/>
      <c r="I180" s="9"/>
      <c r="J180" s="12" t="str">
        <f t="shared" si="17"/>
        <v/>
      </c>
      <c r="K180" s="9"/>
      <c r="L180" s="31"/>
      <c r="M180" s="9"/>
      <c r="N180" s="9"/>
      <c r="O180" s="12" t="str">
        <f t="shared" si="18"/>
        <v/>
      </c>
      <c r="P180" s="12" t="str">
        <f t="shared" si="19"/>
        <v/>
      </c>
      <c r="Q180" s="12" t="str">
        <f t="shared" si="20"/>
        <v/>
      </c>
      <c r="R180" s="9"/>
      <c r="S180" s="31"/>
      <c r="T180" s="8" t="str">
        <f t="shared" si="21"/>
        <v/>
      </c>
      <c r="U180" s="8">
        <f t="shared" si="22"/>
        <v>0</v>
      </c>
      <c r="V180" s="8">
        <f>IF(B180="",0,IF(SUMPRODUCT(--(B$4:B180=B180))&gt;1,1,0))</f>
        <v>0</v>
      </c>
      <c r="W180" s="8">
        <f t="shared" si="23"/>
        <v>0</v>
      </c>
    </row>
    <row r="181" spans="1:23" x14ac:dyDescent="0.25">
      <c r="A181" s="8">
        <v>178</v>
      </c>
      <c r="B181" s="9"/>
      <c r="C181" s="9"/>
      <c r="D181" s="33" t="str">
        <f t="shared" si="16"/>
        <v/>
      </c>
      <c r="E181" s="9"/>
      <c r="F181" s="31"/>
      <c r="G181" s="11"/>
      <c r="H181" s="11"/>
      <c r="I181" s="9"/>
      <c r="J181" s="12" t="str">
        <f t="shared" si="17"/>
        <v/>
      </c>
      <c r="K181" s="9"/>
      <c r="L181" s="31"/>
      <c r="M181" s="9"/>
      <c r="N181" s="9"/>
      <c r="O181" s="12" t="str">
        <f t="shared" si="18"/>
        <v/>
      </c>
      <c r="P181" s="12" t="str">
        <f t="shared" si="19"/>
        <v/>
      </c>
      <c r="Q181" s="12" t="str">
        <f t="shared" si="20"/>
        <v/>
      </c>
      <c r="R181" s="9"/>
      <c r="S181" s="31"/>
      <c r="T181" s="8" t="str">
        <f t="shared" si="21"/>
        <v/>
      </c>
      <c r="U181" s="8">
        <f t="shared" si="22"/>
        <v>0</v>
      </c>
      <c r="V181" s="8">
        <f>IF(B181="",0,IF(SUMPRODUCT(--(B$4:B181=B181))&gt;1,1,0))</f>
        <v>0</v>
      </c>
      <c r="W181" s="8">
        <f t="shared" si="23"/>
        <v>0</v>
      </c>
    </row>
    <row r="182" spans="1:23" x14ac:dyDescent="0.25">
      <c r="A182" s="8">
        <v>179</v>
      </c>
      <c r="B182" s="9"/>
      <c r="C182" s="9"/>
      <c r="D182" s="33" t="str">
        <f t="shared" si="16"/>
        <v/>
      </c>
      <c r="E182" s="9"/>
      <c r="F182" s="31"/>
      <c r="G182" s="11"/>
      <c r="H182" s="11"/>
      <c r="I182" s="9"/>
      <c r="J182" s="12" t="str">
        <f t="shared" si="17"/>
        <v/>
      </c>
      <c r="K182" s="9"/>
      <c r="L182" s="31"/>
      <c r="M182" s="9"/>
      <c r="N182" s="9"/>
      <c r="O182" s="12" t="str">
        <f t="shared" si="18"/>
        <v/>
      </c>
      <c r="P182" s="12" t="str">
        <f t="shared" si="19"/>
        <v/>
      </c>
      <c r="Q182" s="12" t="str">
        <f t="shared" si="20"/>
        <v/>
      </c>
      <c r="R182" s="9"/>
      <c r="S182" s="31"/>
      <c r="T182" s="8" t="str">
        <f t="shared" si="21"/>
        <v/>
      </c>
      <c r="U182" s="8">
        <f t="shared" si="22"/>
        <v>0</v>
      </c>
      <c r="V182" s="8">
        <f>IF(B182="",0,IF(SUMPRODUCT(--(B$4:B182=B182))&gt;1,1,0))</f>
        <v>0</v>
      </c>
      <c r="W182" s="8">
        <f t="shared" si="23"/>
        <v>0</v>
      </c>
    </row>
    <row r="183" spans="1:23" x14ac:dyDescent="0.25">
      <c r="A183" s="8">
        <v>180</v>
      </c>
      <c r="B183" s="9"/>
      <c r="C183" s="9"/>
      <c r="D183" s="33" t="str">
        <f t="shared" si="16"/>
        <v/>
      </c>
      <c r="E183" s="9"/>
      <c r="F183" s="31"/>
      <c r="G183" s="11"/>
      <c r="H183" s="11"/>
      <c r="I183" s="9"/>
      <c r="J183" s="12" t="str">
        <f t="shared" si="17"/>
        <v/>
      </c>
      <c r="K183" s="9"/>
      <c r="L183" s="31"/>
      <c r="M183" s="9"/>
      <c r="N183" s="9"/>
      <c r="O183" s="12" t="str">
        <f t="shared" si="18"/>
        <v/>
      </c>
      <c r="P183" s="12" t="str">
        <f t="shared" si="19"/>
        <v/>
      </c>
      <c r="Q183" s="12" t="str">
        <f t="shared" si="20"/>
        <v/>
      </c>
      <c r="R183" s="9"/>
      <c r="S183" s="31"/>
      <c r="T183" s="8" t="str">
        <f t="shared" si="21"/>
        <v/>
      </c>
      <c r="U183" s="8">
        <f t="shared" si="22"/>
        <v>0</v>
      </c>
      <c r="V183" s="8">
        <f>IF(B183="",0,IF(SUMPRODUCT(--(B$4:B183=B183))&gt;1,1,0))</f>
        <v>0</v>
      </c>
      <c r="W183" s="8">
        <f t="shared" si="23"/>
        <v>0</v>
      </c>
    </row>
    <row r="184" spans="1:23" x14ac:dyDescent="0.25">
      <c r="A184" s="8">
        <v>181</v>
      </c>
      <c r="B184" s="9"/>
      <c r="C184" s="9"/>
      <c r="D184" s="33" t="str">
        <f t="shared" si="16"/>
        <v/>
      </c>
      <c r="E184" s="9"/>
      <c r="F184" s="31"/>
      <c r="G184" s="11"/>
      <c r="H184" s="11"/>
      <c r="I184" s="9"/>
      <c r="J184" s="12" t="str">
        <f t="shared" si="17"/>
        <v/>
      </c>
      <c r="K184" s="9"/>
      <c r="L184" s="31"/>
      <c r="M184" s="9"/>
      <c r="N184" s="9"/>
      <c r="O184" s="12" t="str">
        <f t="shared" si="18"/>
        <v/>
      </c>
      <c r="P184" s="12" t="str">
        <f t="shared" si="19"/>
        <v/>
      </c>
      <c r="Q184" s="12" t="str">
        <f t="shared" si="20"/>
        <v/>
      </c>
      <c r="R184" s="9"/>
      <c r="S184" s="31"/>
      <c r="T184" s="8" t="str">
        <f t="shared" si="21"/>
        <v/>
      </c>
      <c r="U184" s="8">
        <f t="shared" si="22"/>
        <v>0</v>
      </c>
      <c r="V184" s="8">
        <f>IF(B184="",0,IF(SUMPRODUCT(--(B$4:B184=B184))&gt;1,1,0))</f>
        <v>0</v>
      </c>
      <c r="W184" s="8">
        <f t="shared" si="23"/>
        <v>0</v>
      </c>
    </row>
    <row r="185" spans="1:23" x14ac:dyDescent="0.25">
      <c r="A185" s="8">
        <v>182</v>
      </c>
      <c r="B185" s="9"/>
      <c r="C185" s="9"/>
      <c r="D185" s="33" t="str">
        <f t="shared" si="16"/>
        <v/>
      </c>
      <c r="E185" s="9"/>
      <c r="F185" s="31"/>
      <c r="G185" s="11"/>
      <c r="H185" s="11"/>
      <c r="I185" s="9"/>
      <c r="J185" s="12" t="str">
        <f t="shared" si="17"/>
        <v/>
      </c>
      <c r="K185" s="9"/>
      <c r="L185" s="31"/>
      <c r="M185" s="9"/>
      <c r="N185" s="9"/>
      <c r="O185" s="12" t="str">
        <f t="shared" si="18"/>
        <v/>
      </c>
      <c r="P185" s="12" t="str">
        <f t="shared" si="19"/>
        <v/>
      </c>
      <c r="Q185" s="12" t="str">
        <f t="shared" si="20"/>
        <v/>
      </c>
      <c r="R185" s="9"/>
      <c r="S185" s="31"/>
      <c r="T185" s="8" t="str">
        <f t="shared" si="21"/>
        <v/>
      </c>
      <c r="U185" s="8">
        <f t="shared" si="22"/>
        <v>0</v>
      </c>
      <c r="V185" s="8">
        <f>IF(B185="",0,IF(SUMPRODUCT(--(B$4:B185=B185))&gt;1,1,0))</f>
        <v>0</v>
      </c>
      <c r="W185" s="8">
        <f t="shared" si="23"/>
        <v>0</v>
      </c>
    </row>
    <row r="186" spans="1:23" x14ac:dyDescent="0.25">
      <c r="A186" s="8">
        <v>183</v>
      </c>
      <c r="B186" s="9"/>
      <c r="C186" s="9"/>
      <c r="D186" s="33" t="str">
        <f t="shared" si="16"/>
        <v/>
      </c>
      <c r="E186" s="9"/>
      <c r="F186" s="31"/>
      <c r="G186" s="11"/>
      <c r="H186" s="11"/>
      <c r="I186" s="9"/>
      <c r="J186" s="12" t="str">
        <f t="shared" si="17"/>
        <v/>
      </c>
      <c r="K186" s="9"/>
      <c r="L186" s="31"/>
      <c r="M186" s="9"/>
      <c r="N186" s="9"/>
      <c r="O186" s="12" t="str">
        <f t="shared" si="18"/>
        <v/>
      </c>
      <c r="P186" s="12" t="str">
        <f t="shared" si="19"/>
        <v/>
      </c>
      <c r="Q186" s="12" t="str">
        <f t="shared" si="20"/>
        <v/>
      </c>
      <c r="R186" s="9"/>
      <c r="S186" s="31"/>
      <c r="T186" s="8" t="str">
        <f t="shared" si="21"/>
        <v/>
      </c>
      <c r="U186" s="8">
        <f t="shared" si="22"/>
        <v>0</v>
      </c>
      <c r="V186" s="8">
        <f>IF(B186="",0,IF(SUMPRODUCT(--(B$4:B186=B186))&gt;1,1,0))</f>
        <v>0</v>
      </c>
      <c r="W186" s="8">
        <f t="shared" si="23"/>
        <v>0</v>
      </c>
    </row>
    <row r="187" spans="1:23" x14ac:dyDescent="0.25">
      <c r="A187" s="8">
        <v>184</v>
      </c>
      <c r="B187" s="9"/>
      <c r="C187" s="9"/>
      <c r="D187" s="33" t="str">
        <f t="shared" si="16"/>
        <v/>
      </c>
      <c r="E187" s="9"/>
      <c r="F187" s="31"/>
      <c r="G187" s="11"/>
      <c r="H187" s="11"/>
      <c r="I187" s="9"/>
      <c r="J187" s="12" t="str">
        <f t="shared" si="17"/>
        <v/>
      </c>
      <c r="K187" s="9"/>
      <c r="L187" s="31"/>
      <c r="M187" s="9"/>
      <c r="N187" s="9"/>
      <c r="O187" s="12" t="str">
        <f t="shared" si="18"/>
        <v/>
      </c>
      <c r="P187" s="12" t="str">
        <f t="shared" si="19"/>
        <v/>
      </c>
      <c r="Q187" s="12" t="str">
        <f t="shared" si="20"/>
        <v/>
      </c>
      <c r="R187" s="9"/>
      <c r="S187" s="31"/>
      <c r="T187" s="8" t="str">
        <f t="shared" si="21"/>
        <v/>
      </c>
      <c r="U187" s="8">
        <f t="shared" si="22"/>
        <v>0</v>
      </c>
      <c r="V187" s="8">
        <f>IF(B187="",0,IF(SUMPRODUCT(--(B$4:B187=B187))&gt;1,1,0))</f>
        <v>0</v>
      </c>
      <c r="W187" s="8">
        <f t="shared" si="23"/>
        <v>0</v>
      </c>
    </row>
    <row r="188" spans="1:23" x14ac:dyDescent="0.25">
      <c r="A188" s="8">
        <v>185</v>
      </c>
      <c r="B188" s="9"/>
      <c r="C188" s="9"/>
      <c r="D188" s="33" t="str">
        <f t="shared" si="16"/>
        <v/>
      </c>
      <c r="E188" s="9"/>
      <c r="F188" s="31"/>
      <c r="G188" s="11"/>
      <c r="H188" s="11"/>
      <c r="I188" s="9"/>
      <c r="J188" s="12" t="str">
        <f t="shared" si="17"/>
        <v/>
      </c>
      <c r="K188" s="9"/>
      <c r="L188" s="31"/>
      <c r="M188" s="9"/>
      <c r="N188" s="9"/>
      <c r="O188" s="12" t="str">
        <f t="shared" si="18"/>
        <v/>
      </c>
      <c r="P188" s="12" t="str">
        <f t="shared" si="19"/>
        <v/>
      </c>
      <c r="Q188" s="12" t="str">
        <f t="shared" si="20"/>
        <v/>
      </c>
      <c r="R188" s="9"/>
      <c r="S188" s="31"/>
      <c r="T188" s="8" t="str">
        <f t="shared" si="21"/>
        <v/>
      </c>
      <c r="U188" s="8">
        <f t="shared" si="22"/>
        <v>0</v>
      </c>
      <c r="V188" s="8">
        <f>IF(B188="",0,IF(SUMPRODUCT(--(B$4:B188=B188))&gt;1,1,0))</f>
        <v>0</v>
      </c>
      <c r="W188" s="8">
        <f t="shared" si="23"/>
        <v>0</v>
      </c>
    </row>
    <row r="189" spans="1:23" x14ac:dyDescent="0.25">
      <c r="A189" s="8">
        <v>186</v>
      </c>
      <c r="B189" s="9"/>
      <c r="C189" s="9"/>
      <c r="D189" s="33" t="str">
        <f t="shared" si="16"/>
        <v/>
      </c>
      <c r="E189" s="9"/>
      <c r="F189" s="31"/>
      <c r="G189" s="11"/>
      <c r="H189" s="11"/>
      <c r="I189" s="9"/>
      <c r="J189" s="12" t="str">
        <f t="shared" si="17"/>
        <v/>
      </c>
      <c r="K189" s="9"/>
      <c r="L189" s="31"/>
      <c r="M189" s="9"/>
      <c r="N189" s="9"/>
      <c r="O189" s="12" t="str">
        <f t="shared" si="18"/>
        <v/>
      </c>
      <c r="P189" s="12" t="str">
        <f t="shared" si="19"/>
        <v/>
      </c>
      <c r="Q189" s="12" t="str">
        <f t="shared" si="20"/>
        <v/>
      </c>
      <c r="R189" s="9"/>
      <c r="S189" s="31"/>
      <c r="T189" s="8" t="str">
        <f t="shared" si="21"/>
        <v/>
      </c>
      <c r="U189" s="8">
        <f t="shared" si="22"/>
        <v>0</v>
      </c>
      <c r="V189" s="8">
        <f>IF(B189="",0,IF(SUMPRODUCT(--(B$4:B189=B189))&gt;1,1,0))</f>
        <v>0</v>
      </c>
      <c r="W189" s="8">
        <f t="shared" si="23"/>
        <v>0</v>
      </c>
    </row>
    <row r="190" spans="1:23" x14ac:dyDescent="0.25">
      <c r="A190" s="8">
        <v>187</v>
      </c>
      <c r="B190" s="9"/>
      <c r="C190" s="9"/>
      <c r="D190" s="33" t="str">
        <f t="shared" si="16"/>
        <v/>
      </c>
      <c r="E190" s="9"/>
      <c r="F190" s="31"/>
      <c r="G190" s="11"/>
      <c r="H190" s="11"/>
      <c r="I190" s="9"/>
      <c r="J190" s="12" t="str">
        <f t="shared" si="17"/>
        <v/>
      </c>
      <c r="K190" s="9"/>
      <c r="L190" s="31"/>
      <c r="M190" s="9"/>
      <c r="N190" s="9"/>
      <c r="O190" s="12" t="str">
        <f t="shared" si="18"/>
        <v/>
      </c>
      <c r="P190" s="12" t="str">
        <f t="shared" si="19"/>
        <v/>
      </c>
      <c r="Q190" s="12" t="str">
        <f t="shared" si="20"/>
        <v/>
      </c>
      <c r="R190" s="9"/>
      <c r="S190" s="31"/>
      <c r="T190" s="8" t="str">
        <f t="shared" si="21"/>
        <v/>
      </c>
      <c r="U190" s="8">
        <f t="shared" si="22"/>
        <v>0</v>
      </c>
      <c r="V190" s="8">
        <f>IF(B190="",0,IF(SUMPRODUCT(--(B$4:B190=B190))&gt;1,1,0))</f>
        <v>0</v>
      </c>
      <c r="W190" s="8">
        <f t="shared" si="23"/>
        <v>0</v>
      </c>
    </row>
    <row r="191" spans="1:23" x14ac:dyDescent="0.25">
      <c r="A191" s="8">
        <v>188</v>
      </c>
      <c r="B191" s="9"/>
      <c r="C191" s="9"/>
      <c r="D191" s="33" t="str">
        <f t="shared" si="16"/>
        <v/>
      </c>
      <c r="E191" s="9"/>
      <c r="F191" s="31"/>
      <c r="G191" s="11"/>
      <c r="H191" s="11"/>
      <c r="I191" s="9"/>
      <c r="J191" s="12" t="str">
        <f t="shared" si="17"/>
        <v/>
      </c>
      <c r="K191" s="9"/>
      <c r="L191" s="31"/>
      <c r="M191" s="9"/>
      <c r="N191" s="9"/>
      <c r="O191" s="12" t="str">
        <f t="shared" si="18"/>
        <v/>
      </c>
      <c r="P191" s="12" t="str">
        <f t="shared" si="19"/>
        <v/>
      </c>
      <c r="Q191" s="12" t="str">
        <f t="shared" si="20"/>
        <v/>
      </c>
      <c r="R191" s="9"/>
      <c r="S191" s="31"/>
      <c r="T191" s="8" t="str">
        <f t="shared" si="21"/>
        <v/>
      </c>
      <c r="U191" s="8">
        <f t="shared" si="22"/>
        <v>0</v>
      </c>
      <c r="V191" s="8">
        <f>IF(B191="",0,IF(SUMPRODUCT(--(B$4:B191=B191))&gt;1,1,0))</f>
        <v>0</v>
      </c>
      <c r="W191" s="8">
        <f t="shared" si="23"/>
        <v>0</v>
      </c>
    </row>
    <row r="192" spans="1:23" x14ac:dyDescent="0.25">
      <c r="A192" s="8">
        <v>189</v>
      </c>
      <c r="B192" s="9"/>
      <c r="C192" s="9"/>
      <c r="D192" s="33" t="str">
        <f t="shared" si="16"/>
        <v/>
      </c>
      <c r="E192" s="9"/>
      <c r="F192" s="31"/>
      <c r="G192" s="11"/>
      <c r="H192" s="11"/>
      <c r="I192" s="9"/>
      <c r="J192" s="12" t="str">
        <f t="shared" si="17"/>
        <v/>
      </c>
      <c r="K192" s="9"/>
      <c r="L192" s="31"/>
      <c r="M192" s="9"/>
      <c r="N192" s="9"/>
      <c r="O192" s="12" t="str">
        <f t="shared" si="18"/>
        <v/>
      </c>
      <c r="P192" s="12" t="str">
        <f t="shared" si="19"/>
        <v/>
      </c>
      <c r="Q192" s="12" t="str">
        <f t="shared" si="20"/>
        <v/>
      </c>
      <c r="R192" s="9"/>
      <c r="S192" s="31"/>
      <c r="T192" s="8" t="str">
        <f t="shared" si="21"/>
        <v/>
      </c>
      <c r="U192" s="8">
        <f t="shared" si="22"/>
        <v>0</v>
      </c>
      <c r="V192" s="8">
        <f>IF(B192="",0,IF(SUMPRODUCT(--(B$4:B192=B192))&gt;1,1,0))</f>
        <v>0</v>
      </c>
      <c r="W192" s="8">
        <f t="shared" si="23"/>
        <v>0</v>
      </c>
    </row>
    <row r="193" spans="1:23" x14ac:dyDescent="0.25">
      <c r="A193" s="8">
        <v>190</v>
      </c>
      <c r="B193" s="9"/>
      <c r="C193" s="9"/>
      <c r="D193" s="33" t="str">
        <f t="shared" si="16"/>
        <v/>
      </c>
      <c r="E193" s="9"/>
      <c r="F193" s="31"/>
      <c r="G193" s="11"/>
      <c r="H193" s="11"/>
      <c r="I193" s="9"/>
      <c r="J193" s="12" t="str">
        <f t="shared" si="17"/>
        <v/>
      </c>
      <c r="K193" s="9"/>
      <c r="L193" s="31"/>
      <c r="M193" s="9"/>
      <c r="N193" s="9"/>
      <c r="O193" s="12" t="str">
        <f t="shared" si="18"/>
        <v/>
      </c>
      <c r="P193" s="12" t="str">
        <f t="shared" si="19"/>
        <v/>
      </c>
      <c r="Q193" s="12" t="str">
        <f t="shared" si="20"/>
        <v/>
      </c>
      <c r="R193" s="9"/>
      <c r="S193" s="31"/>
      <c r="T193" s="8" t="str">
        <f t="shared" si="21"/>
        <v/>
      </c>
      <c r="U193" s="8">
        <f t="shared" si="22"/>
        <v>0</v>
      </c>
      <c r="V193" s="8">
        <f>IF(B193="",0,IF(SUMPRODUCT(--(B$4:B193=B193))&gt;1,1,0))</f>
        <v>0</v>
      </c>
      <c r="W193" s="8">
        <f t="shared" si="23"/>
        <v>0</v>
      </c>
    </row>
    <row r="194" spans="1:23" x14ac:dyDescent="0.25">
      <c r="A194" s="8">
        <v>191</v>
      </c>
      <c r="B194" s="9"/>
      <c r="C194" s="9"/>
      <c r="D194" s="33" t="str">
        <f t="shared" si="16"/>
        <v/>
      </c>
      <c r="E194" s="9"/>
      <c r="F194" s="31"/>
      <c r="G194" s="11"/>
      <c r="H194" s="11"/>
      <c r="I194" s="9"/>
      <c r="J194" s="12" t="str">
        <f t="shared" si="17"/>
        <v/>
      </c>
      <c r="K194" s="9"/>
      <c r="L194" s="31"/>
      <c r="M194" s="9"/>
      <c r="N194" s="9"/>
      <c r="O194" s="12" t="str">
        <f t="shared" si="18"/>
        <v/>
      </c>
      <c r="P194" s="12" t="str">
        <f t="shared" si="19"/>
        <v/>
      </c>
      <c r="Q194" s="12" t="str">
        <f t="shared" si="20"/>
        <v/>
      </c>
      <c r="R194" s="9"/>
      <c r="S194" s="31"/>
      <c r="T194" s="8" t="str">
        <f t="shared" si="21"/>
        <v/>
      </c>
      <c r="U194" s="8">
        <f t="shared" si="22"/>
        <v>0</v>
      </c>
      <c r="V194" s="8">
        <f>IF(B194="",0,IF(SUMPRODUCT(--(B$4:B194=B194))&gt;1,1,0))</f>
        <v>0</v>
      </c>
      <c r="W194" s="8">
        <f t="shared" si="23"/>
        <v>0</v>
      </c>
    </row>
    <row r="195" spans="1:23" x14ac:dyDescent="0.25">
      <c r="A195" s="8">
        <v>192</v>
      </c>
      <c r="B195" s="9"/>
      <c r="C195" s="9"/>
      <c r="D195" s="33" t="str">
        <f t="shared" si="16"/>
        <v/>
      </c>
      <c r="E195" s="9"/>
      <c r="F195" s="31"/>
      <c r="G195" s="11"/>
      <c r="H195" s="11"/>
      <c r="I195" s="9"/>
      <c r="J195" s="12" t="str">
        <f t="shared" si="17"/>
        <v/>
      </c>
      <c r="K195" s="9"/>
      <c r="L195" s="31"/>
      <c r="M195" s="9"/>
      <c r="N195" s="9"/>
      <c r="O195" s="12" t="str">
        <f t="shared" si="18"/>
        <v/>
      </c>
      <c r="P195" s="12" t="str">
        <f t="shared" si="19"/>
        <v/>
      </c>
      <c r="Q195" s="12" t="str">
        <f t="shared" si="20"/>
        <v/>
      </c>
      <c r="R195" s="9"/>
      <c r="S195" s="31"/>
      <c r="T195" s="8" t="str">
        <f t="shared" si="21"/>
        <v/>
      </c>
      <c r="U195" s="8">
        <f t="shared" si="22"/>
        <v>0</v>
      </c>
      <c r="V195" s="8">
        <f>IF(B195="",0,IF(SUMPRODUCT(--(B$4:B195=B195))&gt;1,1,0))</f>
        <v>0</v>
      </c>
      <c r="W195" s="8">
        <f t="shared" si="23"/>
        <v>0</v>
      </c>
    </row>
    <row r="196" spans="1:23" x14ac:dyDescent="0.25">
      <c r="A196" s="8">
        <v>193</v>
      </c>
      <c r="B196" s="9"/>
      <c r="C196" s="9"/>
      <c r="D196" s="33" t="str">
        <f t="shared" ref="D196:D259" si="24">IF(C196="","",IFERROR(INDEX(SpaceNames,MATCH(C196,SpaceCodes,0))&amp;"",""))</f>
        <v/>
      </c>
      <c r="E196" s="9"/>
      <c r="F196" s="31"/>
      <c r="G196" s="11"/>
      <c r="H196" s="11"/>
      <c r="I196" s="9"/>
      <c r="J196" s="12" t="str">
        <f t="shared" ref="J196:J259" si="25">IF(W196=0,"",IF(V196=1,0,IF(AND(G196&lt;&gt;"",H196&lt;&gt;""),G196*H196*IF(I196="",1,I196),"")))</f>
        <v/>
      </c>
      <c r="K196" s="9"/>
      <c r="L196" s="31"/>
      <c r="M196" s="9"/>
      <c r="N196" s="9"/>
      <c r="O196" s="12" t="str">
        <f t="shared" ref="O196:O259" si="26">IF(OR(W196=0,J196=""),"",IF(OR(K196&lt;&gt;"نعم",C196="",E196=""),0,IF(L196&lt;&gt;"",IF(COUNTIFS(WL_Space,C196,WL_Wall,E196,WL_Mat,L196,WL_DedOn,1)&gt;0,J196,0),IF(AND(COUNTIFS(WL_Space,C196,WL_Wall,E196,WL_Dup,0)=1,COUNTIFS(WL_Space,C196,WL_Wall,E196,WL_DedOn,1)=1),J196,0))))</f>
        <v/>
      </c>
      <c r="P196" s="12" t="str">
        <f t="shared" ref="P196:P259" si="27">IF(OR(W196=0,J196=""),"",IF(OR(M196&lt;&gt;"نعم",C196="",E196=""),0,J196*SUMIFS(PL_FacesEff,PL_Space,C196,PL_Wall,E196)))</f>
        <v/>
      </c>
      <c r="Q196" s="12" t="str">
        <f t="shared" ref="Q196:Q259" si="28">IF(W196=0,"",IF(OR(N196&lt;&gt;"نعم",C196=""),0,IF(COUNTIFS(LN_Space,C196,LN_AutoEff,1)&gt;0,U196,0)))</f>
        <v/>
      </c>
      <c r="R196" s="9"/>
      <c r="S196" s="31"/>
      <c r="T196" s="8" t="str">
        <f t="shared" ref="T196:T259" si="29">IF(W196=0,"",IF(B196="","ناقص بيانات: كود الفتحة",IF(V196=1,"تكرار كود الفتحة — غير محتسب",IF(C196="","ناقص بيانات: كود الفراغ",IF(COUNTIF(SpaceCodes,C196)=0,"ناقص بيانات: الفراغ غير مسجل",IF(E196="","ناقص بيانات: كود الحائط",IF(J196="","ناقص قياس",IF(AND(K196="",M196="",N196=""),"ناقص بيانات: حدد خيارات الخصم (نعم/لا)",IF(AND(K196="نعم",N(O196)=0,L196="",COUNTIFS(WL_Space,C196,WL_Wall,E196,WL_Dup,0)&gt;1),"تنبيه خصم: للحائط أكثر من خامة — حدد الخامة المخصوم منها",IF(AND(K196="نعم",N(O196)=0,IF(L196="",COUNTIFS(WL_Space,C196,WL_Wall,E196,WL_Dup,0),COUNTIFS(WL_Space,C196,WL_Wall,E196,WL_Mat,L196,WL_Dup,0))&gt;0),"تنبيه خصم: خصم الفتحات موقوف («لا») في سجل الحائط",IF(AND(K196="نعم",N(O196)=0),"تنبيه خصم: الحائط/الخامة غير مسجلة في حصر الحوائط",IF(AND(M196="نعم",N(P196)=0),"تنبيه خصم: الحائط غير مسجل في حصر اللياسة",IF(AND(N196="نعم",N(Q196)=0),"تنبيه خصم: لا يوجد سجل وزرات بخصم تلقائي للفراغ",IF(R196="نعم","يحتاج مراجعة","مكتمل"))))))))))))))</f>
        <v/>
      </c>
      <c r="U196" s="8">
        <f t="shared" ref="U196:U259" si="30">IF(OR(W196=0,V196=1,G196=""),0,G196*IF(I196="",1,I196))</f>
        <v>0</v>
      </c>
      <c r="V196" s="8">
        <f>IF(B196="",0,IF(SUMPRODUCT(--(B$4:B196=B196))&gt;1,1,0))</f>
        <v>0</v>
      </c>
      <c r="W196" s="8">
        <f t="shared" ref="W196:W259" si="31">IF(COUNTA(B196:C196,E196:I196,K196:N196)=0,0,1)</f>
        <v>0</v>
      </c>
    </row>
    <row r="197" spans="1:23" x14ac:dyDescent="0.25">
      <c r="A197" s="8">
        <v>194</v>
      </c>
      <c r="B197" s="9"/>
      <c r="C197" s="9"/>
      <c r="D197" s="33" t="str">
        <f t="shared" si="24"/>
        <v/>
      </c>
      <c r="E197" s="9"/>
      <c r="F197" s="31"/>
      <c r="G197" s="11"/>
      <c r="H197" s="11"/>
      <c r="I197" s="9"/>
      <c r="J197" s="12" t="str">
        <f t="shared" si="25"/>
        <v/>
      </c>
      <c r="K197" s="9"/>
      <c r="L197" s="31"/>
      <c r="M197" s="9"/>
      <c r="N197" s="9"/>
      <c r="O197" s="12" t="str">
        <f t="shared" si="26"/>
        <v/>
      </c>
      <c r="P197" s="12" t="str">
        <f t="shared" si="27"/>
        <v/>
      </c>
      <c r="Q197" s="12" t="str">
        <f t="shared" si="28"/>
        <v/>
      </c>
      <c r="R197" s="9"/>
      <c r="S197" s="31"/>
      <c r="T197" s="8" t="str">
        <f t="shared" si="29"/>
        <v/>
      </c>
      <c r="U197" s="8">
        <f t="shared" si="30"/>
        <v>0</v>
      </c>
      <c r="V197" s="8">
        <f>IF(B197="",0,IF(SUMPRODUCT(--(B$4:B197=B197))&gt;1,1,0))</f>
        <v>0</v>
      </c>
      <c r="W197" s="8">
        <f t="shared" si="31"/>
        <v>0</v>
      </c>
    </row>
    <row r="198" spans="1:23" x14ac:dyDescent="0.25">
      <c r="A198" s="8">
        <v>195</v>
      </c>
      <c r="B198" s="9"/>
      <c r="C198" s="9"/>
      <c r="D198" s="33" t="str">
        <f t="shared" si="24"/>
        <v/>
      </c>
      <c r="E198" s="9"/>
      <c r="F198" s="31"/>
      <c r="G198" s="11"/>
      <c r="H198" s="11"/>
      <c r="I198" s="9"/>
      <c r="J198" s="12" t="str">
        <f t="shared" si="25"/>
        <v/>
      </c>
      <c r="K198" s="9"/>
      <c r="L198" s="31"/>
      <c r="M198" s="9"/>
      <c r="N198" s="9"/>
      <c r="O198" s="12" t="str">
        <f t="shared" si="26"/>
        <v/>
      </c>
      <c r="P198" s="12" t="str">
        <f t="shared" si="27"/>
        <v/>
      </c>
      <c r="Q198" s="12" t="str">
        <f t="shared" si="28"/>
        <v/>
      </c>
      <c r="R198" s="9"/>
      <c r="S198" s="31"/>
      <c r="T198" s="8" t="str">
        <f t="shared" si="29"/>
        <v/>
      </c>
      <c r="U198" s="8">
        <f t="shared" si="30"/>
        <v>0</v>
      </c>
      <c r="V198" s="8">
        <f>IF(B198="",0,IF(SUMPRODUCT(--(B$4:B198=B198))&gt;1,1,0))</f>
        <v>0</v>
      </c>
      <c r="W198" s="8">
        <f t="shared" si="31"/>
        <v>0</v>
      </c>
    </row>
    <row r="199" spans="1:23" x14ac:dyDescent="0.25">
      <c r="A199" s="8">
        <v>196</v>
      </c>
      <c r="B199" s="9"/>
      <c r="C199" s="9"/>
      <c r="D199" s="33" t="str">
        <f t="shared" si="24"/>
        <v/>
      </c>
      <c r="E199" s="9"/>
      <c r="F199" s="31"/>
      <c r="G199" s="11"/>
      <c r="H199" s="11"/>
      <c r="I199" s="9"/>
      <c r="J199" s="12" t="str">
        <f t="shared" si="25"/>
        <v/>
      </c>
      <c r="K199" s="9"/>
      <c r="L199" s="31"/>
      <c r="M199" s="9"/>
      <c r="N199" s="9"/>
      <c r="O199" s="12" t="str">
        <f t="shared" si="26"/>
        <v/>
      </c>
      <c r="P199" s="12" t="str">
        <f t="shared" si="27"/>
        <v/>
      </c>
      <c r="Q199" s="12" t="str">
        <f t="shared" si="28"/>
        <v/>
      </c>
      <c r="R199" s="9"/>
      <c r="S199" s="31"/>
      <c r="T199" s="8" t="str">
        <f t="shared" si="29"/>
        <v/>
      </c>
      <c r="U199" s="8">
        <f t="shared" si="30"/>
        <v>0</v>
      </c>
      <c r="V199" s="8">
        <f>IF(B199="",0,IF(SUMPRODUCT(--(B$4:B199=B199))&gt;1,1,0))</f>
        <v>0</v>
      </c>
      <c r="W199" s="8">
        <f t="shared" si="31"/>
        <v>0</v>
      </c>
    </row>
    <row r="200" spans="1:23" x14ac:dyDescent="0.25">
      <c r="A200" s="8">
        <v>197</v>
      </c>
      <c r="B200" s="9"/>
      <c r="C200" s="9"/>
      <c r="D200" s="33" t="str">
        <f t="shared" si="24"/>
        <v/>
      </c>
      <c r="E200" s="9"/>
      <c r="F200" s="31"/>
      <c r="G200" s="11"/>
      <c r="H200" s="11"/>
      <c r="I200" s="9"/>
      <c r="J200" s="12" t="str">
        <f t="shared" si="25"/>
        <v/>
      </c>
      <c r="K200" s="9"/>
      <c r="L200" s="31"/>
      <c r="M200" s="9"/>
      <c r="N200" s="9"/>
      <c r="O200" s="12" t="str">
        <f t="shared" si="26"/>
        <v/>
      </c>
      <c r="P200" s="12" t="str">
        <f t="shared" si="27"/>
        <v/>
      </c>
      <c r="Q200" s="12" t="str">
        <f t="shared" si="28"/>
        <v/>
      </c>
      <c r="R200" s="9"/>
      <c r="S200" s="31"/>
      <c r="T200" s="8" t="str">
        <f t="shared" si="29"/>
        <v/>
      </c>
      <c r="U200" s="8">
        <f t="shared" si="30"/>
        <v>0</v>
      </c>
      <c r="V200" s="8">
        <f>IF(B200="",0,IF(SUMPRODUCT(--(B$4:B200=B200))&gt;1,1,0))</f>
        <v>0</v>
      </c>
      <c r="W200" s="8">
        <f t="shared" si="31"/>
        <v>0</v>
      </c>
    </row>
    <row r="201" spans="1:23" x14ac:dyDescent="0.25">
      <c r="A201" s="8">
        <v>198</v>
      </c>
      <c r="B201" s="9"/>
      <c r="C201" s="9"/>
      <c r="D201" s="33" t="str">
        <f t="shared" si="24"/>
        <v/>
      </c>
      <c r="E201" s="9"/>
      <c r="F201" s="31"/>
      <c r="G201" s="11"/>
      <c r="H201" s="11"/>
      <c r="I201" s="9"/>
      <c r="J201" s="12" t="str">
        <f t="shared" si="25"/>
        <v/>
      </c>
      <c r="K201" s="9"/>
      <c r="L201" s="31"/>
      <c r="M201" s="9"/>
      <c r="N201" s="9"/>
      <c r="O201" s="12" t="str">
        <f t="shared" si="26"/>
        <v/>
      </c>
      <c r="P201" s="12" t="str">
        <f t="shared" si="27"/>
        <v/>
      </c>
      <c r="Q201" s="12" t="str">
        <f t="shared" si="28"/>
        <v/>
      </c>
      <c r="R201" s="9"/>
      <c r="S201" s="31"/>
      <c r="T201" s="8" t="str">
        <f t="shared" si="29"/>
        <v/>
      </c>
      <c r="U201" s="8">
        <f t="shared" si="30"/>
        <v>0</v>
      </c>
      <c r="V201" s="8">
        <f>IF(B201="",0,IF(SUMPRODUCT(--(B$4:B201=B201))&gt;1,1,0))</f>
        <v>0</v>
      </c>
      <c r="W201" s="8">
        <f t="shared" si="31"/>
        <v>0</v>
      </c>
    </row>
    <row r="202" spans="1:23" x14ac:dyDescent="0.25">
      <c r="A202" s="8">
        <v>199</v>
      </c>
      <c r="B202" s="9"/>
      <c r="C202" s="9"/>
      <c r="D202" s="33" t="str">
        <f t="shared" si="24"/>
        <v/>
      </c>
      <c r="E202" s="9"/>
      <c r="F202" s="31"/>
      <c r="G202" s="11"/>
      <c r="H202" s="11"/>
      <c r="I202" s="9"/>
      <c r="J202" s="12" t="str">
        <f t="shared" si="25"/>
        <v/>
      </c>
      <c r="K202" s="9"/>
      <c r="L202" s="31"/>
      <c r="M202" s="9"/>
      <c r="N202" s="9"/>
      <c r="O202" s="12" t="str">
        <f t="shared" si="26"/>
        <v/>
      </c>
      <c r="P202" s="12" t="str">
        <f t="shared" si="27"/>
        <v/>
      </c>
      <c r="Q202" s="12" t="str">
        <f t="shared" si="28"/>
        <v/>
      </c>
      <c r="R202" s="9"/>
      <c r="S202" s="31"/>
      <c r="T202" s="8" t="str">
        <f t="shared" si="29"/>
        <v/>
      </c>
      <c r="U202" s="8">
        <f t="shared" si="30"/>
        <v>0</v>
      </c>
      <c r="V202" s="8">
        <f>IF(B202="",0,IF(SUMPRODUCT(--(B$4:B202=B202))&gt;1,1,0))</f>
        <v>0</v>
      </c>
      <c r="W202" s="8">
        <f t="shared" si="31"/>
        <v>0</v>
      </c>
    </row>
    <row r="203" spans="1:23" x14ac:dyDescent="0.25">
      <c r="A203" s="8">
        <v>200</v>
      </c>
      <c r="B203" s="9"/>
      <c r="C203" s="9"/>
      <c r="D203" s="33" t="str">
        <f t="shared" si="24"/>
        <v/>
      </c>
      <c r="E203" s="9"/>
      <c r="F203" s="31"/>
      <c r="G203" s="11"/>
      <c r="H203" s="11"/>
      <c r="I203" s="9"/>
      <c r="J203" s="12" t="str">
        <f t="shared" si="25"/>
        <v/>
      </c>
      <c r="K203" s="9"/>
      <c r="L203" s="31"/>
      <c r="M203" s="9"/>
      <c r="N203" s="9"/>
      <c r="O203" s="12" t="str">
        <f t="shared" si="26"/>
        <v/>
      </c>
      <c r="P203" s="12" t="str">
        <f t="shared" si="27"/>
        <v/>
      </c>
      <c r="Q203" s="12" t="str">
        <f t="shared" si="28"/>
        <v/>
      </c>
      <c r="R203" s="9"/>
      <c r="S203" s="31"/>
      <c r="T203" s="8" t="str">
        <f t="shared" si="29"/>
        <v/>
      </c>
      <c r="U203" s="8">
        <f t="shared" si="30"/>
        <v>0</v>
      </c>
      <c r="V203" s="8">
        <f>IF(B203="",0,IF(SUMPRODUCT(--(B$4:B203=B203))&gt;1,1,0))</f>
        <v>0</v>
      </c>
      <c r="W203" s="8">
        <f t="shared" si="31"/>
        <v>0</v>
      </c>
    </row>
    <row r="204" spans="1:23" x14ac:dyDescent="0.25">
      <c r="A204" s="8">
        <v>201</v>
      </c>
      <c r="B204" s="9"/>
      <c r="C204" s="9"/>
      <c r="D204" s="33" t="str">
        <f t="shared" si="24"/>
        <v/>
      </c>
      <c r="E204" s="9"/>
      <c r="F204" s="31"/>
      <c r="G204" s="11"/>
      <c r="H204" s="11"/>
      <c r="I204" s="9"/>
      <c r="J204" s="12" t="str">
        <f t="shared" si="25"/>
        <v/>
      </c>
      <c r="K204" s="9"/>
      <c r="L204" s="31"/>
      <c r="M204" s="9"/>
      <c r="N204" s="9"/>
      <c r="O204" s="12" t="str">
        <f t="shared" si="26"/>
        <v/>
      </c>
      <c r="P204" s="12" t="str">
        <f t="shared" si="27"/>
        <v/>
      </c>
      <c r="Q204" s="12" t="str">
        <f t="shared" si="28"/>
        <v/>
      </c>
      <c r="R204" s="9"/>
      <c r="S204" s="31"/>
      <c r="T204" s="8" t="str">
        <f t="shared" si="29"/>
        <v/>
      </c>
      <c r="U204" s="8">
        <f t="shared" si="30"/>
        <v>0</v>
      </c>
      <c r="V204" s="8">
        <f>IF(B204="",0,IF(SUMPRODUCT(--(B$4:B204=B204))&gt;1,1,0))</f>
        <v>0</v>
      </c>
      <c r="W204" s="8">
        <f t="shared" si="31"/>
        <v>0</v>
      </c>
    </row>
    <row r="205" spans="1:23" x14ac:dyDescent="0.25">
      <c r="A205" s="8">
        <v>202</v>
      </c>
      <c r="B205" s="9"/>
      <c r="C205" s="9"/>
      <c r="D205" s="33" t="str">
        <f t="shared" si="24"/>
        <v/>
      </c>
      <c r="E205" s="9"/>
      <c r="F205" s="31"/>
      <c r="G205" s="11"/>
      <c r="H205" s="11"/>
      <c r="I205" s="9"/>
      <c r="J205" s="12" t="str">
        <f t="shared" si="25"/>
        <v/>
      </c>
      <c r="K205" s="9"/>
      <c r="L205" s="31"/>
      <c r="M205" s="9"/>
      <c r="N205" s="9"/>
      <c r="O205" s="12" t="str">
        <f t="shared" si="26"/>
        <v/>
      </c>
      <c r="P205" s="12" t="str">
        <f t="shared" si="27"/>
        <v/>
      </c>
      <c r="Q205" s="12" t="str">
        <f t="shared" si="28"/>
        <v/>
      </c>
      <c r="R205" s="9"/>
      <c r="S205" s="31"/>
      <c r="T205" s="8" t="str">
        <f t="shared" si="29"/>
        <v/>
      </c>
      <c r="U205" s="8">
        <f t="shared" si="30"/>
        <v>0</v>
      </c>
      <c r="V205" s="8">
        <f>IF(B205="",0,IF(SUMPRODUCT(--(B$4:B205=B205))&gt;1,1,0))</f>
        <v>0</v>
      </c>
      <c r="W205" s="8">
        <f t="shared" si="31"/>
        <v>0</v>
      </c>
    </row>
    <row r="206" spans="1:23" x14ac:dyDescent="0.25">
      <c r="A206" s="8">
        <v>203</v>
      </c>
      <c r="B206" s="9"/>
      <c r="C206" s="9"/>
      <c r="D206" s="33" t="str">
        <f t="shared" si="24"/>
        <v/>
      </c>
      <c r="E206" s="9"/>
      <c r="F206" s="31"/>
      <c r="G206" s="11"/>
      <c r="H206" s="11"/>
      <c r="I206" s="9"/>
      <c r="J206" s="12" t="str">
        <f t="shared" si="25"/>
        <v/>
      </c>
      <c r="K206" s="9"/>
      <c r="L206" s="31"/>
      <c r="M206" s="9"/>
      <c r="N206" s="9"/>
      <c r="O206" s="12" t="str">
        <f t="shared" si="26"/>
        <v/>
      </c>
      <c r="P206" s="12" t="str">
        <f t="shared" si="27"/>
        <v/>
      </c>
      <c r="Q206" s="12" t="str">
        <f t="shared" si="28"/>
        <v/>
      </c>
      <c r="R206" s="9"/>
      <c r="S206" s="31"/>
      <c r="T206" s="8" t="str">
        <f t="shared" si="29"/>
        <v/>
      </c>
      <c r="U206" s="8">
        <f t="shared" si="30"/>
        <v>0</v>
      </c>
      <c r="V206" s="8">
        <f>IF(B206="",0,IF(SUMPRODUCT(--(B$4:B206=B206))&gt;1,1,0))</f>
        <v>0</v>
      </c>
      <c r="W206" s="8">
        <f t="shared" si="31"/>
        <v>0</v>
      </c>
    </row>
    <row r="207" spans="1:23" x14ac:dyDescent="0.25">
      <c r="A207" s="8">
        <v>204</v>
      </c>
      <c r="B207" s="9"/>
      <c r="C207" s="9"/>
      <c r="D207" s="33" t="str">
        <f t="shared" si="24"/>
        <v/>
      </c>
      <c r="E207" s="9"/>
      <c r="F207" s="31"/>
      <c r="G207" s="11"/>
      <c r="H207" s="11"/>
      <c r="I207" s="9"/>
      <c r="J207" s="12" t="str">
        <f t="shared" si="25"/>
        <v/>
      </c>
      <c r="K207" s="9"/>
      <c r="L207" s="31"/>
      <c r="M207" s="9"/>
      <c r="N207" s="9"/>
      <c r="O207" s="12" t="str">
        <f t="shared" si="26"/>
        <v/>
      </c>
      <c r="P207" s="12" t="str">
        <f t="shared" si="27"/>
        <v/>
      </c>
      <c r="Q207" s="12" t="str">
        <f t="shared" si="28"/>
        <v/>
      </c>
      <c r="R207" s="9"/>
      <c r="S207" s="31"/>
      <c r="T207" s="8" t="str">
        <f t="shared" si="29"/>
        <v/>
      </c>
      <c r="U207" s="8">
        <f t="shared" si="30"/>
        <v>0</v>
      </c>
      <c r="V207" s="8">
        <f>IF(B207="",0,IF(SUMPRODUCT(--(B$4:B207=B207))&gt;1,1,0))</f>
        <v>0</v>
      </c>
      <c r="W207" s="8">
        <f t="shared" si="31"/>
        <v>0</v>
      </c>
    </row>
    <row r="208" spans="1:23" x14ac:dyDescent="0.25">
      <c r="A208" s="8">
        <v>205</v>
      </c>
      <c r="B208" s="9"/>
      <c r="C208" s="9"/>
      <c r="D208" s="33" t="str">
        <f t="shared" si="24"/>
        <v/>
      </c>
      <c r="E208" s="9"/>
      <c r="F208" s="31"/>
      <c r="G208" s="11"/>
      <c r="H208" s="11"/>
      <c r="I208" s="9"/>
      <c r="J208" s="12" t="str">
        <f t="shared" si="25"/>
        <v/>
      </c>
      <c r="K208" s="9"/>
      <c r="L208" s="31"/>
      <c r="M208" s="9"/>
      <c r="N208" s="9"/>
      <c r="O208" s="12" t="str">
        <f t="shared" si="26"/>
        <v/>
      </c>
      <c r="P208" s="12" t="str">
        <f t="shared" si="27"/>
        <v/>
      </c>
      <c r="Q208" s="12" t="str">
        <f t="shared" si="28"/>
        <v/>
      </c>
      <c r="R208" s="9"/>
      <c r="S208" s="31"/>
      <c r="T208" s="8" t="str">
        <f t="shared" si="29"/>
        <v/>
      </c>
      <c r="U208" s="8">
        <f t="shared" si="30"/>
        <v>0</v>
      </c>
      <c r="V208" s="8">
        <f>IF(B208="",0,IF(SUMPRODUCT(--(B$4:B208=B208))&gt;1,1,0))</f>
        <v>0</v>
      </c>
      <c r="W208" s="8">
        <f t="shared" si="31"/>
        <v>0</v>
      </c>
    </row>
    <row r="209" spans="1:23" x14ac:dyDescent="0.25">
      <c r="A209" s="8">
        <v>206</v>
      </c>
      <c r="B209" s="9"/>
      <c r="C209" s="9"/>
      <c r="D209" s="33" t="str">
        <f t="shared" si="24"/>
        <v/>
      </c>
      <c r="E209" s="9"/>
      <c r="F209" s="31"/>
      <c r="G209" s="11"/>
      <c r="H209" s="11"/>
      <c r="I209" s="9"/>
      <c r="J209" s="12" t="str">
        <f t="shared" si="25"/>
        <v/>
      </c>
      <c r="K209" s="9"/>
      <c r="L209" s="31"/>
      <c r="M209" s="9"/>
      <c r="N209" s="9"/>
      <c r="O209" s="12" t="str">
        <f t="shared" si="26"/>
        <v/>
      </c>
      <c r="P209" s="12" t="str">
        <f t="shared" si="27"/>
        <v/>
      </c>
      <c r="Q209" s="12" t="str">
        <f t="shared" si="28"/>
        <v/>
      </c>
      <c r="R209" s="9"/>
      <c r="S209" s="31"/>
      <c r="T209" s="8" t="str">
        <f t="shared" si="29"/>
        <v/>
      </c>
      <c r="U209" s="8">
        <f t="shared" si="30"/>
        <v>0</v>
      </c>
      <c r="V209" s="8">
        <f>IF(B209="",0,IF(SUMPRODUCT(--(B$4:B209=B209))&gt;1,1,0))</f>
        <v>0</v>
      </c>
      <c r="W209" s="8">
        <f t="shared" si="31"/>
        <v>0</v>
      </c>
    </row>
    <row r="210" spans="1:23" x14ac:dyDescent="0.25">
      <c r="A210" s="8">
        <v>207</v>
      </c>
      <c r="B210" s="9"/>
      <c r="C210" s="9"/>
      <c r="D210" s="33" t="str">
        <f t="shared" si="24"/>
        <v/>
      </c>
      <c r="E210" s="9"/>
      <c r="F210" s="31"/>
      <c r="G210" s="11"/>
      <c r="H210" s="11"/>
      <c r="I210" s="9"/>
      <c r="J210" s="12" t="str">
        <f t="shared" si="25"/>
        <v/>
      </c>
      <c r="K210" s="9"/>
      <c r="L210" s="31"/>
      <c r="M210" s="9"/>
      <c r="N210" s="9"/>
      <c r="O210" s="12" t="str">
        <f t="shared" si="26"/>
        <v/>
      </c>
      <c r="P210" s="12" t="str">
        <f t="shared" si="27"/>
        <v/>
      </c>
      <c r="Q210" s="12" t="str">
        <f t="shared" si="28"/>
        <v/>
      </c>
      <c r="R210" s="9"/>
      <c r="S210" s="31"/>
      <c r="T210" s="8" t="str">
        <f t="shared" si="29"/>
        <v/>
      </c>
      <c r="U210" s="8">
        <f t="shared" si="30"/>
        <v>0</v>
      </c>
      <c r="V210" s="8">
        <f>IF(B210="",0,IF(SUMPRODUCT(--(B$4:B210=B210))&gt;1,1,0))</f>
        <v>0</v>
      </c>
      <c r="W210" s="8">
        <f t="shared" si="31"/>
        <v>0</v>
      </c>
    </row>
    <row r="211" spans="1:23" x14ac:dyDescent="0.25">
      <c r="A211" s="8">
        <v>208</v>
      </c>
      <c r="B211" s="9"/>
      <c r="C211" s="9"/>
      <c r="D211" s="33" t="str">
        <f t="shared" si="24"/>
        <v/>
      </c>
      <c r="E211" s="9"/>
      <c r="F211" s="31"/>
      <c r="G211" s="11"/>
      <c r="H211" s="11"/>
      <c r="I211" s="9"/>
      <c r="J211" s="12" t="str">
        <f t="shared" si="25"/>
        <v/>
      </c>
      <c r="K211" s="9"/>
      <c r="L211" s="31"/>
      <c r="M211" s="9"/>
      <c r="N211" s="9"/>
      <c r="O211" s="12" t="str">
        <f t="shared" si="26"/>
        <v/>
      </c>
      <c r="P211" s="12" t="str">
        <f t="shared" si="27"/>
        <v/>
      </c>
      <c r="Q211" s="12" t="str">
        <f t="shared" si="28"/>
        <v/>
      </c>
      <c r="R211" s="9"/>
      <c r="S211" s="31"/>
      <c r="T211" s="8" t="str">
        <f t="shared" si="29"/>
        <v/>
      </c>
      <c r="U211" s="8">
        <f t="shared" si="30"/>
        <v>0</v>
      </c>
      <c r="V211" s="8">
        <f>IF(B211="",0,IF(SUMPRODUCT(--(B$4:B211=B211))&gt;1,1,0))</f>
        <v>0</v>
      </c>
      <c r="W211" s="8">
        <f t="shared" si="31"/>
        <v>0</v>
      </c>
    </row>
    <row r="212" spans="1:23" x14ac:dyDescent="0.25">
      <c r="A212" s="8">
        <v>209</v>
      </c>
      <c r="B212" s="9"/>
      <c r="C212" s="9"/>
      <c r="D212" s="33" t="str">
        <f t="shared" si="24"/>
        <v/>
      </c>
      <c r="E212" s="9"/>
      <c r="F212" s="31"/>
      <c r="G212" s="11"/>
      <c r="H212" s="11"/>
      <c r="I212" s="9"/>
      <c r="J212" s="12" t="str">
        <f t="shared" si="25"/>
        <v/>
      </c>
      <c r="K212" s="9"/>
      <c r="L212" s="31"/>
      <c r="M212" s="9"/>
      <c r="N212" s="9"/>
      <c r="O212" s="12" t="str">
        <f t="shared" si="26"/>
        <v/>
      </c>
      <c r="P212" s="12" t="str">
        <f t="shared" si="27"/>
        <v/>
      </c>
      <c r="Q212" s="12" t="str">
        <f t="shared" si="28"/>
        <v/>
      </c>
      <c r="R212" s="9"/>
      <c r="S212" s="31"/>
      <c r="T212" s="8" t="str">
        <f t="shared" si="29"/>
        <v/>
      </c>
      <c r="U212" s="8">
        <f t="shared" si="30"/>
        <v>0</v>
      </c>
      <c r="V212" s="8">
        <f>IF(B212="",0,IF(SUMPRODUCT(--(B$4:B212=B212))&gt;1,1,0))</f>
        <v>0</v>
      </c>
      <c r="W212" s="8">
        <f t="shared" si="31"/>
        <v>0</v>
      </c>
    </row>
    <row r="213" spans="1:23" x14ac:dyDescent="0.25">
      <c r="A213" s="8">
        <v>210</v>
      </c>
      <c r="B213" s="9"/>
      <c r="C213" s="9"/>
      <c r="D213" s="33" t="str">
        <f t="shared" si="24"/>
        <v/>
      </c>
      <c r="E213" s="9"/>
      <c r="F213" s="31"/>
      <c r="G213" s="11"/>
      <c r="H213" s="11"/>
      <c r="I213" s="9"/>
      <c r="J213" s="12" t="str">
        <f t="shared" si="25"/>
        <v/>
      </c>
      <c r="K213" s="9"/>
      <c r="L213" s="31"/>
      <c r="M213" s="9"/>
      <c r="N213" s="9"/>
      <c r="O213" s="12" t="str">
        <f t="shared" si="26"/>
        <v/>
      </c>
      <c r="P213" s="12" t="str">
        <f t="shared" si="27"/>
        <v/>
      </c>
      <c r="Q213" s="12" t="str">
        <f t="shared" si="28"/>
        <v/>
      </c>
      <c r="R213" s="9"/>
      <c r="S213" s="31"/>
      <c r="T213" s="8" t="str">
        <f t="shared" si="29"/>
        <v/>
      </c>
      <c r="U213" s="8">
        <f t="shared" si="30"/>
        <v>0</v>
      </c>
      <c r="V213" s="8">
        <f>IF(B213="",0,IF(SUMPRODUCT(--(B$4:B213=B213))&gt;1,1,0))</f>
        <v>0</v>
      </c>
      <c r="W213" s="8">
        <f t="shared" si="31"/>
        <v>0</v>
      </c>
    </row>
    <row r="214" spans="1:23" x14ac:dyDescent="0.25">
      <c r="A214" s="8">
        <v>211</v>
      </c>
      <c r="B214" s="9"/>
      <c r="C214" s="9"/>
      <c r="D214" s="33" t="str">
        <f t="shared" si="24"/>
        <v/>
      </c>
      <c r="E214" s="9"/>
      <c r="F214" s="31"/>
      <c r="G214" s="11"/>
      <c r="H214" s="11"/>
      <c r="I214" s="9"/>
      <c r="J214" s="12" t="str">
        <f t="shared" si="25"/>
        <v/>
      </c>
      <c r="K214" s="9"/>
      <c r="L214" s="31"/>
      <c r="M214" s="9"/>
      <c r="N214" s="9"/>
      <c r="O214" s="12" t="str">
        <f t="shared" si="26"/>
        <v/>
      </c>
      <c r="P214" s="12" t="str">
        <f t="shared" si="27"/>
        <v/>
      </c>
      <c r="Q214" s="12" t="str">
        <f t="shared" si="28"/>
        <v/>
      </c>
      <c r="R214" s="9"/>
      <c r="S214" s="31"/>
      <c r="T214" s="8" t="str">
        <f t="shared" si="29"/>
        <v/>
      </c>
      <c r="U214" s="8">
        <f t="shared" si="30"/>
        <v>0</v>
      </c>
      <c r="V214" s="8">
        <f>IF(B214="",0,IF(SUMPRODUCT(--(B$4:B214=B214))&gt;1,1,0))</f>
        <v>0</v>
      </c>
      <c r="W214" s="8">
        <f t="shared" si="31"/>
        <v>0</v>
      </c>
    </row>
    <row r="215" spans="1:23" x14ac:dyDescent="0.25">
      <c r="A215" s="8">
        <v>212</v>
      </c>
      <c r="B215" s="9"/>
      <c r="C215" s="9"/>
      <c r="D215" s="33" t="str">
        <f t="shared" si="24"/>
        <v/>
      </c>
      <c r="E215" s="9"/>
      <c r="F215" s="31"/>
      <c r="G215" s="11"/>
      <c r="H215" s="11"/>
      <c r="I215" s="9"/>
      <c r="J215" s="12" t="str">
        <f t="shared" si="25"/>
        <v/>
      </c>
      <c r="K215" s="9"/>
      <c r="L215" s="31"/>
      <c r="M215" s="9"/>
      <c r="N215" s="9"/>
      <c r="O215" s="12" t="str">
        <f t="shared" si="26"/>
        <v/>
      </c>
      <c r="P215" s="12" t="str">
        <f t="shared" si="27"/>
        <v/>
      </c>
      <c r="Q215" s="12" t="str">
        <f t="shared" si="28"/>
        <v/>
      </c>
      <c r="R215" s="9"/>
      <c r="S215" s="31"/>
      <c r="T215" s="8" t="str">
        <f t="shared" si="29"/>
        <v/>
      </c>
      <c r="U215" s="8">
        <f t="shared" si="30"/>
        <v>0</v>
      </c>
      <c r="V215" s="8">
        <f>IF(B215="",0,IF(SUMPRODUCT(--(B$4:B215=B215))&gt;1,1,0))</f>
        <v>0</v>
      </c>
      <c r="W215" s="8">
        <f t="shared" si="31"/>
        <v>0</v>
      </c>
    </row>
    <row r="216" spans="1:23" x14ac:dyDescent="0.25">
      <c r="A216" s="8">
        <v>213</v>
      </c>
      <c r="B216" s="9"/>
      <c r="C216" s="9"/>
      <c r="D216" s="33" t="str">
        <f t="shared" si="24"/>
        <v/>
      </c>
      <c r="E216" s="9"/>
      <c r="F216" s="31"/>
      <c r="G216" s="11"/>
      <c r="H216" s="11"/>
      <c r="I216" s="9"/>
      <c r="J216" s="12" t="str">
        <f t="shared" si="25"/>
        <v/>
      </c>
      <c r="K216" s="9"/>
      <c r="L216" s="31"/>
      <c r="M216" s="9"/>
      <c r="N216" s="9"/>
      <c r="O216" s="12" t="str">
        <f t="shared" si="26"/>
        <v/>
      </c>
      <c r="P216" s="12" t="str">
        <f t="shared" si="27"/>
        <v/>
      </c>
      <c r="Q216" s="12" t="str">
        <f t="shared" si="28"/>
        <v/>
      </c>
      <c r="R216" s="9"/>
      <c r="S216" s="31"/>
      <c r="T216" s="8" t="str">
        <f t="shared" si="29"/>
        <v/>
      </c>
      <c r="U216" s="8">
        <f t="shared" si="30"/>
        <v>0</v>
      </c>
      <c r="V216" s="8">
        <f>IF(B216="",0,IF(SUMPRODUCT(--(B$4:B216=B216))&gt;1,1,0))</f>
        <v>0</v>
      </c>
      <c r="W216" s="8">
        <f t="shared" si="31"/>
        <v>0</v>
      </c>
    </row>
    <row r="217" spans="1:23" x14ac:dyDescent="0.25">
      <c r="A217" s="8">
        <v>214</v>
      </c>
      <c r="B217" s="9"/>
      <c r="C217" s="9"/>
      <c r="D217" s="33" t="str">
        <f t="shared" si="24"/>
        <v/>
      </c>
      <c r="E217" s="9"/>
      <c r="F217" s="31"/>
      <c r="G217" s="11"/>
      <c r="H217" s="11"/>
      <c r="I217" s="9"/>
      <c r="J217" s="12" t="str">
        <f t="shared" si="25"/>
        <v/>
      </c>
      <c r="K217" s="9"/>
      <c r="L217" s="31"/>
      <c r="M217" s="9"/>
      <c r="N217" s="9"/>
      <c r="O217" s="12" t="str">
        <f t="shared" si="26"/>
        <v/>
      </c>
      <c r="P217" s="12" t="str">
        <f t="shared" si="27"/>
        <v/>
      </c>
      <c r="Q217" s="12" t="str">
        <f t="shared" si="28"/>
        <v/>
      </c>
      <c r="R217" s="9"/>
      <c r="S217" s="31"/>
      <c r="T217" s="8" t="str">
        <f t="shared" si="29"/>
        <v/>
      </c>
      <c r="U217" s="8">
        <f t="shared" si="30"/>
        <v>0</v>
      </c>
      <c r="V217" s="8">
        <f>IF(B217="",0,IF(SUMPRODUCT(--(B$4:B217=B217))&gt;1,1,0))</f>
        <v>0</v>
      </c>
      <c r="W217" s="8">
        <f t="shared" si="31"/>
        <v>0</v>
      </c>
    </row>
    <row r="218" spans="1:23" x14ac:dyDescent="0.25">
      <c r="A218" s="8">
        <v>215</v>
      </c>
      <c r="B218" s="9"/>
      <c r="C218" s="9"/>
      <c r="D218" s="33" t="str">
        <f t="shared" si="24"/>
        <v/>
      </c>
      <c r="E218" s="9"/>
      <c r="F218" s="31"/>
      <c r="G218" s="11"/>
      <c r="H218" s="11"/>
      <c r="I218" s="9"/>
      <c r="J218" s="12" t="str">
        <f t="shared" si="25"/>
        <v/>
      </c>
      <c r="K218" s="9"/>
      <c r="L218" s="31"/>
      <c r="M218" s="9"/>
      <c r="N218" s="9"/>
      <c r="O218" s="12" t="str">
        <f t="shared" si="26"/>
        <v/>
      </c>
      <c r="P218" s="12" t="str">
        <f t="shared" si="27"/>
        <v/>
      </c>
      <c r="Q218" s="12" t="str">
        <f t="shared" si="28"/>
        <v/>
      </c>
      <c r="R218" s="9"/>
      <c r="S218" s="31"/>
      <c r="T218" s="8" t="str">
        <f t="shared" si="29"/>
        <v/>
      </c>
      <c r="U218" s="8">
        <f t="shared" si="30"/>
        <v>0</v>
      </c>
      <c r="V218" s="8">
        <f>IF(B218="",0,IF(SUMPRODUCT(--(B$4:B218=B218))&gt;1,1,0))</f>
        <v>0</v>
      </c>
      <c r="W218" s="8">
        <f t="shared" si="31"/>
        <v>0</v>
      </c>
    </row>
    <row r="219" spans="1:23" x14ac:dyDescent="0.25">
      <c r="A219" s="8">
        <v>216</v>
      </c>
      <c r="B219" s="9"/>
      <c r="C219" s="9"/>
      <c r="D219" s="33" t="str">
        <f t="shared" si="24"/>
        <v/>
      </c>
      <c r="E219" s="9"/>
      <c r="F219" s="31"/>
      <c r="G219" s="11"/>
      <c r="H219" s="11"/>
      <c r="I219" s="9"/>
      <c r="J219" s="12" t="str">
        <f t="shared" si="25"/>
        <v/>
      </c>
      <c r="K219" s="9"/>
      <c r="L219" s="31"/>
      <c r="M219" s="9"/>
      <c r="N219" s="9"/>
      <c r="O219" s="12" t="str">
        <f t="shared" si="26"/>
        <v/>
      </c>
      <c r="P219" s="12" t="str">
        <f t="shared" si="27"/>
        <v/>
      </c>
      <c r="Q219" s="12" t="str">
        <f t="shared" si="28"/>
        <v/>
      </c>
      <c r="R219" s="9"/>
      <c r="S219" s="31"/>
      <c r="T219" s="8" t="str">
        <f t="shared" si="29"/>
        <v/>
      </c>
      <c r="U219" s="8">
        <f t="shared" si="30"/>
        <v>0</v>
      </c>
      <c r="V219" s="8">
        <f>IF(B219="",0,IF(SUMPRODUCT(--(B$4:B219=B219))&gt;1,1,0))</f>
        <v>0</v>
      </c>
      <c r="W219" s="8">
        <f t="shared" si="31"/>
        <v>0</v>
      </c>
    </row>
    <row r="220" spans="1:23" x14ac:dyDescent="0.25">
      <c r="A220" s="8">
        <v>217</v>
      </c>
      <c r="B220" s="9"/>
      <c r="C220" s="9"/>
      <c r="D220" s="33" t="str">
        <f t="shared" si="24"/>
        <v/>
      </c>
      <c r="E220" s="9"/>
      <c r="F220" s="31"/>
      <c r="G220" s="11"/>
      <c r="H220" s="11"/>
      <c r="I220" s="9"/>
      <c r="J220" s="12" t="str">
        <f t="shared" si="25"/>
        <v/>
      </c>
      <c r="K220" s="9"/>
      <c r="L220" s="31"/>
      <c r="M220" s="9"/>
      <c r="N220" s="9"/>
      <c r="O220" s="12" t="str">
        <f t="shared" si="26"/>
        <v/>
      </c>
      <c r="P220" s="12" t="str">
        <f t="shared" si="27"/>
        <v/>
      </c>
      <c r="Q220" s="12" t="str">
        <f t="shared" si="28"/>
        <v/>
      </c>
      <c r="R220" s="9"/>
      <c r="S220" s="31"/>
      <c r="T220" s="8" t="str">
        <f t="shared" si="29"/>
        <v/>
      </c>
      <c r="U220" s="8">
        <f t="shared" si="30"/>
        <v>0</v>
      </c>
      <c r="V220" s="8">
        <f>IF(B220="",0,IF(SUMPRODUCT(--(B$4:B220=B220))&gt;1,1,0))</f>
        <v>0</v>
      </c>
      <c r="W220" s="8">
        <f t="shared" si="31"/>
        <v>0</v>
      </c>
    </row>
    <row r="221" spans="1:23" x14ac:dyDescent="0.25">
      <c r="A221" s="8">
        <v>218</v>
      </c>
      <c r="B221" s="9"/>
      <c r="C221" s="9"/>
      <c r="D221" s="33" t="str">
        <f t="shared" si="24"/>
        <v/>
      </c>
      <c r="E221" s="9"/>
      <c r="F221" s="31"/>
      <c r="G221" s="11"/>
      <c r="H221" s="11"/>
      <c r="I221" s="9"/>
      <c r="J221" s="12" t="str">
        <f t="shared" si="25"/>
        <v/>
      </c>
      <c r="K221" s="9"/>
      <c r="L221" s="31"/>
      <c r="M221" s="9"/>
      <c r="N221" s="9"/>
      <c r="O221" s="12" t="str">
        <f t="shared" si="26"/>
        <v/>
      </c>
      <c r="P221" s="12" t="str">
        <f t="shared" si="27"/>
        <v/>
      </c>
      <c r="Q221" s="12" t="str">
        <f t="shared" si="28"/>
        <v/>
      </c>
      <c r="R221" s="9"/>
      <c r="S221" s="31"/>
      <c r="T221" s="8" t="str">
        <f t="shared" si="29"/>
        <v/>
      </c>
      <c r="U221" s="8">
        <f t="shared" si="30"/>
        <v>0</v>
      </c>
      <c r="V221" s="8">
        <f>IF(B221="",0,IF(SUMPRODUCT(--(B$4:B221=B221))&gt;1,1,0))</f>
        <v>0</v>
      </c>
      <c r="W221" s="8">
        <f t="shared" si="31"/>
        <v>0</v>
      </c>
    </row>
    <row r="222" spans="1:23" x14ac:dyDescent="0.25">
      <c r="A222" s="8">
        <v>219</v>
      </c>
      <c r="B222" s="9"/>
      <c r="C222" s="9"/>
      <c r="D222" s="33" t="str">
        <f t="shared" si="24"/>
        <v/>
      </c>
      <c r="E222" s="9"/>
      <c r="F222" s="31"/>
      <c r="G222" s="11"/>
      <c r="H222" s="11"/>
      <c r="I222" s="9"/>
      <c r="J222" s="12" t="str">
        <f t="shared" si="25"/>
        <v/>
      </c>
      <c r="K222" s="9"/>
      <c r="L222" s="31"/>
      <c r="M222" s="9"/>
      <c r="N222" s="9"/>
      <c r="O222" s="12" t="str">
        <f t="shared" si="26"/>
        <v/>
      </c>
      <c r="P222" s="12" t="str">
        <f t="shared" si="27"/>
        <v/>
      </c>
      <c r="Q222" s="12" t="str">
        <f t="shared" si="28"/>
        <v/>
      </c>
      <c r="R222" s="9"/>
      <c r="S222" s="31"/>
      <c r="T222" s="8" t="str">
        <f t="shared" si="29"/>
        <v/>
      </c>
      <c r="U222" s="8">
        <f t="shared" si="30"/>
        <v>0</v>
      </c>
      <c r="V222" s="8">
        <f>IF(B222="",0,IF(SUMPRODUCT(--(B$4:B222=B222))&gt;1,1,0))</f>
        <v>0</v>
      </c>
      <c r="W222" s="8">
        <f t="shared" si="31"/>
        <v>0</v>
      </c>
    </row>
    <row r="223" spans="1:23" x14ac:dyDescent="0.25">
      <c r="A223" s="8">
        <v>220</v>
      </c>
      <c r="B223" s="9"/>
      <c r="C223" s="9"/>
      <c r="D223" s="33" t="str">
        <f t="shared" si="24"/>
        <v/>
      </c>
      <c r="E223" s="9"/>
      <c r="F223" s="31"/>
      <c r="G223" s="11"/>
      <c r="H223" s="11"/>
      <c r="I223" s="9"/>
      <c r="J223" s="12" t="str">
        <f t="shared" si="25"/>
        <v/>
      </c>
      <c r="K223" s="9"/>
      <c r="L223" s="31"/>
      <c r="M223" s="9"/>
      <c r="N223" s="9"/>
      <c r="O223" s="12" t="str">
        <f t="shared" si="26"/>
        <v/>
      </c>
      <c r="P223" s="12" t="str">
        <f t="shared" si="27"/>
        <v/>
      </c>
      <c r="Q223" s="12" t="str">
        <f t="shared" si="28"/>
        <v/>
      </c>
      <c r="R223" s="9"/>
      <c r="S223" s="31"/>
      <c r="T223" s="8" t="str">
        <f t="shared" si="29"/>
        <v/>
      </c>
      <c r="U223" s="8">
        <f t="shared" si="30"/>
        <v>0</v>
      </c>
      <c r="V223" s="8">
        <f>IF(B223="",0,IF(SUMPRODUCT(--(B$4:B223=B223))&gt;1,1,0))</f>
        <v>0</v>
      </c>
      <c r="W223" s="8">
        <f t="shared" si="31"/>
        <v>0</v>
      </c>
    </row>
    <row r="224" spans="1:23" x14ac:dyDescent="0.25">
      <c r="A224" s="8">
        <v>221</v>
      </c>
      <c r="B224" s="9"/>
      <c r="C224" s="9"/>
      <c r="D224" s="33" t="str">
        <f t="shared" si="24"/>
        <v/>
      </c>
      <c r="E224" s="9"/>
      <c r="F224" s="31"/>
      <c r="G224" s="11"/>
      <c r="H224" s="11"/>
      <c r="I224" s="9"/>
      <c r="J224" s="12" t="str">
        <f t="shared" si="25"/>
        <v/>
      </c>
      <c r="K224" s="9"/>
      <c r="L224" s="31"/>
      <c r="M224" s="9"/>
      <c r="N224" s="9"/>
      <c r="O224" s="12" t="str">
        <f t="shared" si="26"/>
        <v/>
      </c>
      <c r="P224" s="12" t="str">
        <f t="shared" si="27"/>
        <v/>
      </c>
      <c r="Q224" s="12" t="str">
        <f t="shared" si="28"/>
        <v/>
      </c>
      <c r="R224" s="9"/>
      <c r="S224" s="31"/>
      <c r="T224" s="8" t="str">
        <f t="shared" si="29"/>
        <v/>
      </c>
      <c r="U224" s="8">
        <f t="shared" si="30"/>
        <v>0</v>
      </c>
      <c r="V224" s="8">
        <f>IF(B224="",0,IF(SUMPRODUCT(--(B$4:B224=B224))&gt;1,1,0))</f>
        <v>0</v>
      </c>
      <c r="W224" s="8">
        <f t="shared" si="31"/>
        <v>0</v>
      </c>
    </row>
    <row r="225" spans="1:23" x14ac:dyDescent="0.25">
      <c r="A225" s="8">
        <v>222</v>
      </c>
      <c r="B225" s="9"/>
      <c r="C225" s="9"/>
      <c r="D225" s="33" t="str">
        <f t="shared" si="24"/>
        <v/>
      </c>
      <c r="E225" s="9"/>
      <c r="F225" s="31"/>
      <c r="G225" s="11"/>
      <c r="H225" s="11"/>
      <c r="I225" s="9"/>
      <c r="J225" s="12" t="str">
        <f t="shared" si="25"/>
        <v/>
      </c>
      <c r="K225" s="9"/>
      <c r="L225" s="31"/>
      <c r="M225" s="9"/>
      <c r="N225" s="9"/>
      <c r="O225" s="12" t="str">
        <f t="shared" si="26"/>
        <v/>
      </c>
      <c r="P225" s="12" t="str">
        <f t="shared" si="27"/>
        <v/>
      </c>
      <c r="Q225" s="12" t="str">
        <f t="shared" si="28"/>
        <v/>
      </c>
      <c r="R225" s="9"/>
      <c r="S225" s="31"/>
      <c r="T225" s="8" t="str">
        <f t="shared" si="29"/>
        <v/>
      </c>
      <c r="U225" s="8">
        <f t="shared" si="30"/>
        <v>0</v>
      </c>
      <c r="V225" s="8">
        <f>IF(B225="",0,IF(SUMPRODUCT(--(B$4:B225=B225))&gt;1,1,0))</f>
        <v>0</v>
      </c>
      <c r="W225" s="8">
        <f t="shared" si="31"/>
        <v>0</v>
      </c>
    </row>
    <row r="226" spans="1:23" x14ac:dyDescent="0.25">
      <c r="A226" s="8">
        <v>223</v>
      </c>
      <c r="B226" s="9"/>
      <c r="C226" s="9"/>
      <c r="D226" s="33" t="str">
        <f t="shared" si="24"/>
        <v/>
      </c>
      <c r="E226" s="9"/>
      <c r="F226" s="31"/>
      <c r="G226" s="11"/>
      <c r="H226" s="11"/>
      <c r="I226" s="9"/>
      <c r="J226" s="12" t="str">
        <f t="shared" si="25"/>
        <v/>
      </c>
      <c r="K226" s="9"/>
      <c r="L226" s="31"/>
      <c r="M226" s="9"/>
      <c r="N226" s="9"/>
      <c r="O226" s="12" t="str">
        <f t="shared" si="26"/>
        <v/>
      </c>
      <c r="P226" s="12" t="str">
        <f t="shared" si="27"/>
        <v/>
      </c>
      <c r="Q226" s="12" t="str">
        <f t="shared" si="28"/>
        <v/>
      </c>
      <c r="R226" s="9"/>
      <c r="S226" s="31"/>
      <c r="T226" s="8" t="str">
        <f t="shared" si="29"/>
        <v/>
      </c>
      <c r="U226" s="8">
        <f t="shared" si="30"/>
        <v>0</v>
      </c>
      <c r="V226" s="8">
        <f>IF(B226="",0,IF(SUMPRODUCT(--(B$4:B226=B226))&gt;1,1,0))</f>
        <v>0</v>
      </c>
      <c r="W226" s="8">
        <f t="shared" si="31"/>
        <v>0</v>
      </c>
    </row>
    <row r="227" spans="1:23" x14ac:dyDescent="0.25">
      <c r="A227" s="8">
        <v>224</v>
      </c>
      <c r="B227" s="9"/>
      <c r="C227" s="9"/>
      <c r="D227" s="33" t="str">
        <f t="shared" si="24"/>
        <v/>
      </c>
      <c r="E227" s="9"/>
      <c r="F227" s="31"/>
      <c r="G227" s="11"/>
      <c r="H227" s="11"/>
      <c r="I227" s="9"/>
      <c r="J227" s="12" t="str">
        <f t="shared" si="25"/>
        <v/>
      </c>
      <c r="K227" s="9"/>
      <c r="L227" s="31"/>
      <c r="M227" s="9"/>
      <c r="N227" s="9"/>
      <c r="O227" s="12" t="str">
        <f t="shared" si="26"/>
        <v/>
      </c>
      <c r="P227" s="12" t="str">
        <f t="shared" si="27"/>
        <v/>
      </c>
      <c r="Q227" s="12" t="str">
        <f t="shared" si="28"/>
        <v/>
      </c>
      <c r="R227" s="9"/>
      <c r="S227" s="31"/>
      <c r="T227" s="8" t="str">
        <f t="shared" si="29"/>
        <v/>
      </c>
      <c r="U227" s="8">
        <f t="shared" si="30"/>
        <v>0</v>
      </c>
      <c r="V227" s="8">
        <f>IF(B227="",0,IF(SUMPRODUCT(--(B$4:B227=B227))&gt;1,1,0))</f>
        <v>0</v>
      </c>
      <c r="W227" s="8">
        <f t="shared" si="31"/>
        <v>0</v>
      </c>
    </row>
    <row r="228" spans="1:23" x14ac:dyDescent="0.25">
      <c r="A228" s="8">
        <v>225</v>
      </c>
      <c r="B228" s="9"/>
      <c r="C228" s="9"/>
      <c r="D228" s="33" t="str">
        <f t="shared" si="24"/>
        <v/>
      </c>
      <c r="E228" s="9"/>
      <c r="F228" s="31"/>
      <c r="G228" s="11"/>
      <c r="H228" s="11"/>
      <c r="I228" s="9"/>
      <c r="J228" s="12" t="str">
        <f t="shared" si="25"/>
        <v/>
      </c>
      <c r="K228" s="9"/>
      <c r="L228" s="31"/>
      <c r="M228" s="9"/>
      <c r="N228" s="9"/>
      <c r="O228" s="12" t="str">
        <f t="shared" si="26"/>
        <v/>
      </c>
      <c r="P228" s="12" t="str">
        <f t="shared" si="27"/>
        <v/>
      </c>
      <c r="Q228" s="12" t="str">
        <f t="shared" si="28"/>
        <v/>
      </c>
      <c r="R228" s="9"/>
      <c r="S228" s="31"/>
      <c r="T228" s="8" t="str">
        <f t="shared" si="29"/>
        <v/>
      </c>
      <c r="U228" s="8">
        <f t="shared" si="30"/>
        <v>0</v>
      </c>
      <c r="V228" s="8">
        <f>IF(B228="",0,IF(SUMPRODUCT(--(B$4:B228=B228))&gt;1,1,0))</f>
        <v>0</v>
      </c>
      <c r="W228" s="8">
        <f t="shared" si="31"/>
        <v>0</v>
      </c>
    </row>
    <row r="229" spans="1:23" x14ac:dyDescent="0.25">
      <c r="A229" s="8">
        <v>226</v>
      </c>
      <c r="B229" s="9"/>
      <c r="C229" s="9"/>
      <c r="D229" s="33" t="str">
        <f t="shared" si="24"/>
        <v/>
      </c>
      <c r="E229" s="9"/>
      <c r="F229" s="31"/>
      <c r="G229" s="11"/>
      <c r="H229" s="11"/>
      <c r="I229" s="9"/>
      <c r="J229" s="12" t="str">
        <f t="shared" si="25"/>
        <v/>
      </c>
      <c r="K229" s="9"/>
      <c r="L229" s="31"/>
      <c r="M229" s="9"/>
      <c r="N229" s="9"/>
      <c r="O229" s="12" t="str">
        <f t="shared" si="26"/>
        <v/>
      </c>
      <c r="P229" s="12" t="str">
        <f t="shared" si="27"/>
        <v/>
      </c>
      <c r="Q229" s="12" t="str">
        <f t="shared" si="28"/>
        <v/>
      </c>
      <c r="R229" s="9"/>
      <c r="S229" s="31"/>
      <c r="T229" s="8" t="str">
        <f t="shared" si="29"/>
        <v/>
      </c>
      <c r="U229" s="8">
        <f t="shared" si="30"/>
        <v>0</v>
      </c>
      <c r="V229" s="8">
        <f>IF(B229="",0,IF(SUMPRODUCT(--(B$4:B229=B229))&gt;1,1,0))</f>
        <v>0</v>
      </c>
      <c r="W229" s="8">
        <f t="shared" si="31"/>
        <v>0</v>
      </c>
    </row>
    <row r="230" spans="1:23" x14ac:dyDescent="0.25">
      <c r="A230" s="8">
        <v>227</v>
      </c>
      <c r="B230" s="9"/>
      <c r="C230" s="9"/>
      <c r="D230" s="33" t="str">
        <f t="shared" si="24"/>
        <v/>
      </c>
      <c r="E230" s="9"/>
      <c r="F230" s="31"/>
      <c r="G230" s="11"/>
      <c r="H230" s="11"/>
      <c r="I230" s="9"/>
      <c r="J230" s="12" t="str">
        <f t="shared" si="25"/>
        <v/>
      </c>
      <c r="K230" s="9"/>
      <c r="L230" s="31"/>
      <c r="M230" s="9"/>
      <c r="N230" s="9"/>
      <c r="O230" s="12" t="str">
        <f t="shared" si="26"/>
        <v/>
      </c>
      <c r="P230" s="12" t="str">
        <f t="shared" si="27"/>
        <v/>
      </c>
      <c r="Q230" s="12" t="str">
        <f t="shared" si="28"/>
        <v/>
      </c>
      <c r="R230" s="9"/>
      <c r="S230" s="31"/>
      <c r="T230" s="8" t="str">
        <f t="shared" si="29"/>
        <v/>
      </c>
      <c r="U230" s="8">
        <f t="shared" si="30"/>
        <v>0</v>
      </c>
      <c r="V230" s="8">
        <f>IF(B230="",0,IF(SUMPRODUCT(--(B$4:B230=B230))&gt;1,1,0))</f>
        <v>0</v>
      </c>
      <c r="W230" s="8">
        <f t="shared" si="31"/>
        <v>0</v>
      </c>
    </row>
    <row r="231" spans="1:23" x14ac:dyDescent="0.25">
      <c r="A231" s="8">
        <v>228</v>
      </c>
      <c r="B231" s="9"/>
      <c r="C231" s="9"/>
      <c r="D231" s="33" t="str">
        <f t="shared" si="24"/>
        <v/>
      </c>
      <c r="E231" s="9"/>
      <c r="F231" s="31"/>
      <c r="G231" s="11"/>
      <c r="H231" s="11"/>
      <c r="I231" s="9"/>
      <c r="J231" s="12" t="str">
        <f t="shared" si="25"/>
        <v/>
      </c>
      <c r="K231" s="9"/>
      <c r="L231" s="31"/>
      <c r="M231" s="9"/>
      <c r="N231" s="9"/>
      <c r="O231" s="12" t="str">
        <f t="shared" si="26"/>
        <v/>
      </c>
      <c r="P231" s="12" t="str">
        <f t="shared" si="27"/>
        <v/>
      </c>
      <c r="Q231" s="12" t="str">
        <f t="shared" si="28"/>
        <v/>
      </c>
      <c r="R231" s="9"/>
      <c r="S231" s="31"/>
      <c r="T231" s="8" t="str">
        <f t="shared" si="29"/>
        <v/>
      </c>
      <c r="U231" s="8">
        <f t="shared" si="30"/>
        <v>0</v>
      </c>
      <c r="V231" s="8">
        <f>IF(B231="",0,IF(SUMPRODUCT(--(B$4:B231=B231))&gt;1,1,0))</f>
        <v>0</v>
      </c>
      <c r="W231" s="8">
        <f t="shared" si="31"/>
        <v>0</v>
      </c>
    </row>
    <row r="232" spans="1:23" x14ac:dyDescent="0.25">
      <c r="A232" s="8">
        <v>229</v>
      </c>
      <c r="B232" s="9"/>
      <c r="C232" s="9"/>
      <c r="D232" s="33" t="str">
        <f t="shared" si="24"/>
        <v/>
      </c>
      <c r="E232" s="9"/>
      <c r="F232" s="31"/>
      <c r="G232" s="11"/>
      <c r="H232" s="11"/>
      <c r="I232" s="9"/>
      <c r="J232" s="12" t="str">
        <f t="shared" si="25"/>
        <v/>
      </c>
      <c r="K232" s="9"/>
      <c r="L232" s="31"/>
      <c r="M232" s="9"/>
      <c r="N232" s="9"/>
      <c r="O232" s="12" t="str">
        <f t="shared" si="26"/>
        <v/>
      </c>
      <c r="P232" s="12" t="str">
        <f t="shared" si="27"/>
        <v/>
      </c>
      <c r="Q232" s="12" t="str">
        <f t="shared" si="28"/>
        <v/>
      </c>
      <c r="R232" s="9"/>
      <c r="S232" s="31"/>
      <c r="T232" s="8" t="str">
        <f t="shared" si="29"/>
        <v/>
      </c>
      <c r="U232" s="8">
        <f t="shared" si="30"/>
        <v>0</v>
      </c>
      <c r="V232" s="8">
        <f>IF(B232="",0,IF(SUMPRODUCT(--(B$4:B232=B232))&gt;1,1,0))</f>
        <v>0</v>
      </c>
      <c r="W232" s="8">
        <f t="shared" si="31"/>
        <v>0</v>
      </c>
    </row>
    <row r="233" spans="1:23" x14ac:dyDescent="0.25">
      <c r="A233" s="8">
        <v>230</v>
      </c>
      <c r="B233" s="9"/>
      <c r="C233" s="9"/>
      <c r="D233" s="33" t="str">
        <f t="shared" si="24"/>
        <v/>
      </c>
      <c r="E233" s="9"/>
      <c r="F233" s="31"/>
      <c r="G233" s="11"/>
      <c r="H233" s="11"/>
      <c r="I233" s="9"/>
      <c r="J233" s="12" t="str">
        <f t="shared" si="25"/>
        <v/>
      </c>
      <c r="K233" s="9"/>
      <c r="L233" s="31"/>
      <c r="M233" s="9"/>
      <c r="N233" s="9"/>
      <c r="O233" s="12" t="str">
        <f t="shared" si="26"/>
        <v/>
      </c>
      <c r="P233" s="12" t="str">
        <f t="shared" si="27"/>
        <v/>
      </c>
      <c r="Q233" s="12" t="str">
        <f t="shared" si="28"/>
        <v/>
      </c>
      <c r="R233" s="9"/>
      <c r="S233" s="31"/>
      <c r="T233" s="8" t="str">
        <f t="shared" si="29"/>
        <v/>
      </c>
      <c r="U233" s="8">
        <f t="shared" si="30"/>
        <v>0</v>
      </c>
      <c r="V233" s="8">
        <f>IF(B233="",0,IF(SUMPRODUCT(--(B$4:B233=B233))&gt;1,1,0))</f>
        <v>0</v>
      </c>
      <c r="W233" s="8">
        <f t="shared" si="31"/>
        <v>0</v>
      </c>
    </row>
    <row r="234" spans="1:23" x14ac:dyDescent="0.25">
      <c r="A234" s="8">
        <v>231</v>
      </c>
      <c r="B234" s="9"/>
      <c r="C234" s="9"/>
      <c r="D234" s="33" t="str">
        <f t="shared" si="24"/>
        <v/>
      </c>
      <c r="E234" s="9"/>
      <c r="F234" s="31"/>
      <c r="G234" s="11"/>
      <c r="H234" s="11"/>
      <c r="I234" s="9"/>
      <c r="J234" s="12" t="str">
        <f t="shared" si="25"/>
        <v/>
      </c>
      <c r="K234" s="9"/>
      <c r="L234" s="31"/>
      <c r="M234" s="9"/>
      <c r="N234" s="9"/>
      <c r="O234" s="12" t="str">
        <f t="shared" si="26"/>
        <v/>
      </c>
      <c r="P234" s="12" t="str">
        <f t="shared" si="27"/>
        <v/>
      </c>
      <c r="Q234" s="12" t="str">
        <f t="shared" si="28"/>
        <v/>
      </c>
      <c r="R234" s="9"/>
      <c r="S234" s="31"/>
      <c r="T234" s="8" t="str">
        <f t="shared" si="29"/>
        <v/>
      </c>
      <c r="U234" s="8">
        <f t="shared" si="30"/>
        <v>0</v>
      </c>
      <c r="V234" s="8">
        <f>IF(B234="",0,IF(SUMPRODUCT(--(B$4:B234=B234))&gt;1,1,0))</f>
        <v>0</v>
      </c>
      <c r="W234" s="8">
        <f t="shared" si="31"/>
        <v>0</v>
      </c>
    </row>
    <row r="235" spans="1:23" x14ac:dyDescent="0.25">
      <c r="A235" s="8">
        <v>232</v>
      </c>
      <c r="B235" s="9"/>
      <c r="C235" s="9"/>
      <c r="D235" s="33" t="str">
        <f t="shared" si="24"/>
        <v/>
      </c>
      <c r="E235" s="9"/>
      <c r="F235" s="31"/>
      <c r="G235" s="11"/>
      <c r="H235" s="11"/>
      <c r="I235" s="9"/>
      <c r="J235" s="12" t="str">
        <f t="shared" si="25"/>
        <v/>
      </c>
      <c r="K235" s="9"/>
      <c r="L235" s="31"/>
      <c r="M235" s="9"/>
      <c r="N235" s="9"/>
      <c r="O235" s="12" t="str">
        <f t="shared" si="26"/>
        <v/>
      </c>
      <c r="P235" s="12" t="str">
        <f t="shared" si="27"/>
        <v/>
      </c>
      <c r="Q235" s="12" t="str">
        <f t="shared" si="28"/>
        <v/>
      </c>
      <c r="R235" s="9"/>
      <c r="S235" s="31"/>
      <c r="T235" s="8" t="str">
        <f t="shared" si="29"/>
        <v/>
      </c>
      <c r="U235" s="8">
        <f t="shared" si="30"/>
        <v>0</v>
      </c>
      <c r="V235" s="8">
        <f>IF(B235="",0,IF(SUMPRODUCT(--(B$4:B235=B235))&gt;1,1,0))</f>
        <v>0</v>
      </c>
      <c r="W235" s="8">
        <f t="shared" si="31"/>
        <v>0</v>
      </c>
    </row>
    <row r="236" spans="1:23" x14ac:dyDescent="0.25">
      <c r="A236" s="8">
        <v>233</v>
      </c>
      <c r="B236" s="9"/>
      <c r="C236" s="9"/>
      <c r="D236" s="33" t="str">
        <f t="shared" si="24"/>
        <v/>
      </c>
      <c r="E236" s="9"/>
      <c r="F236" s="31"/>
      <c r="G236" s="11"/>
      <c r="H236" s="11"/>
      <c r="I236" s="9"/>
      <c r="J236" s="12" t="str">
        <f t="shared" si="25"/>
        <v/>
      </c>
      <c r="K236" s="9"/>
      <c r="L236" s="31"/>
      <c r="M236" s="9"/>
      <c r="N236" s="9"/>
      <c r="O236" s="12" t="str">
        <f t="shared" si="26"/>
        <v/>
      </c>
      <c r="P236" s="12" t="str">
        <f t="shared" si="27"/>
        <v/>
      </c>
      <c r="Q236" s="12" t="str">
        <f t="shared" si="28"/>
        <v/>
      </c>
      <c r="R236" s="9"/>
      <c r="S236" s="31"/>
      <c r="T236" s="8" t="str">
        <f t="shared" si="29"/>
        <v/>
      </c>
      <c r="U236" s="8">
        <f t="shared" si="30"/>
        <v>0</v>
      </c>
      <c r="V236" s="8">
        <f>IF(B236="",0,IF(SUMPRODUCT(--(B$4:B236=B236))&gt;1,1,0))</f>
        <v>0</v>
      </c>
      <c r="W236" s="8">
        <f t="shared" si="31"/>
        <v>0</v>
      </c>
    </row>
    <row r="237" spans="1:23" x14ac:dyDescent="0.25">
      <c r="A237" s="8">
        <v>234</v>
      </c>
      <c r="B237" s="9"/>
      <c r="C237" s="9"/>
      <c r="D237" s="33" t="str">
        <f t="shared" si="24"/>
        <v/>
      </c>
      <c r="E237" s="9"/>
      <c r="F237" s="31"/>
      <c r="G237" s="11"/>
      <c r="H237" s="11"/>
      <c r="I237" s="9"/>
      <c r="J237" s="12" t="str">
        <f t="shared" si="25"/>
        <v/>
      </c>
      <c r="K237" s="9"/>
      <c r="L237" s="31"/>
      <c r="M237" s="9"/>
      <c r="N237" s="9"/>
      <c r="O237" s="12" t="str">
        <f t="shared" si="26"/>
        <v/>
      </c>
      <c r="P237" s="12" t="str">
        <f t="shared" si="27"/>
        <v/>
      </c>
      <c r="Q237" s="12" t="str">
        <f t="shared" si="28"/>
        <v/>
      </c>
      <c r="R237" s="9"/>
      <c r="S237" s="31"/>
      <c r="T237" s="8" t="str">
        <f t="shared" si="29"/>
        <v/>
      </c>
      <c r="U237" s="8">
        <f t="shared" si="30"/>
        <v>0</v>
      </c>
      <c r="V237" s="8">
        <f>IF(B237="",0,IF(SUMPRODUCT(--(B$4:B237=B237))&gt;1,1,0))</f>
        <v>0</v>
      </c>
      <c r="W237" s="8">
        <f t="shared" si="31"/>
        <v>0</v>
      </c>
    </row>
    <row r="238" spans="1:23" x14ac:dyDescent="0.25">
      <c r="A238" s="8">
        <v>235</v>
      </c>
      <c r="B238" s="9"/>
      <c r="C238" s="9"/>
      <c r="D238" s="33" t="str">
        <f t="shared" si="24"/>
        <v/>
      </c>
      <c r="E238" s="9"/>
      <c r="F238" s="31"/>
      <c r="G238" s="11"/>
      <c r="H238" s="11"/>
      <c r="I238" s="9"/>
      <c r="J238" s="12" t="str">
        <f t="shared" si="25"/>
        <v/>
      </c>
      <c r="K238" s="9"/>
      <c r="L238" s="31"/>
      <c r="M238" s="9"/>
      <c r="N238" s="9"/>
      <c r="O238" s="12" t="str">
        <f t="shared" si="26"/>
        <v/>
      </c>
      <c r="P238" s="12" t="str">
        <f t="shared" si="27"/>
        <v/>
      </c>
      <c r="Q238" s="12" t="str">
        <f t="shared" si="28"/>
        <v/>
      </c>
      <c r="R238" s="9"/>
      <c r="S238" s="31"/>
      <c r="T238" s="8" t="str">
        <f t="shared" si="29"/>
        <v/>
      </c>
      <c r="U238" s="8">
        <f t="shared" si="30"/>
        <v>0</v>
      </c>
      <c r="V238" s="8">
        <f>IF(B238="",0,IF(SUMPRODUCT(--(B$4:B238=B238))&gt;1,1,0))</f>
        <v>0</v>
      </c>
      <c r="W238" s="8">
        <f t="shared" si="31"/>
        <v>0</v>
      </c>
    </row>
    <row r="239" spans="1:23" x14ac:dyDescent="0.25">
      <c r="A239" s="8">
        <v>236</v>
      </c>
      <c r="B239" s="9"/>
      <c r="C239" s="9"/>
      <c r="D239" s="33" t="str">
        <f t="shared" si="24"/>
        <v/>
      </c>
      <c r="E239" s="9"/>
      <c r="F239" s="31"/>
      <c r="G239" s="11"/>
      <c r="H239" s="11"/>
      <c r="I239" s="9"/>
      <c r="J239" s="12" t="str">
        <f t="shared" si="25"/>
        <v/>
      </c>
      <c r="K239" s="9"/>
      <c r="L239" s="31"/>
      <c r="M239" s="9"/>
      <c r="N239" s="9"/>
      <c r="O239" s="12" t="str">
        <f t="shared" si="26"/>
        <v/>
      </c>
      <c r="P239" s="12" t="str">
        <f t="shared" si="27"/>
        <v/>
      </c>
      <c r="Q239" s="12" t="str">
        <f t="shared" si="28"/>
        <v/>
      </c>
      <c r="R239" s="9"/>
      <c r="S239" s="31"/>
      <c r="T239" s="8" t="str">
        <f t="shared" si="29"/>
        <v/>
      </c>
      <c r="U239" s="8">
        <f t="shared" si="30"/>
        <v>0</v>
      </c>
      <c r="V239" s="8">
        <f>IF(B239="",0,IF(SUMPRODUCT(--(B$4:B239=B239))&gt;1,1,0))</f>
        <v>0</v>
      </c>
      <c r="W239" s="8">
        <f t="shared" si="31"/>
        <v>0</v>
      </c>
    </row>
    <row r="240" spans="1:23" x14ac:dyDescent="0.25">
      <c r="A240" s="8">
        <v>237</v>
      </c>
      <c r="B240" s="9"/>
      <c r="C240" s="9"/>
      <c r="D240" s="33" t="str">
        <f t="shared" si="24"/>
        <v/>
      </c>
      <c r="E240" s="9"/>
      <c r="F240" s="31"/>
      <c r="G240" s="11"/>
      <c r="H240" s="11"/>
      <c r="I240" s="9"/>
      <c r="J240" s="12" t="str">
        <f t="shared" si="25"/>
        <v/>
      </c>
      <c r="K240" s="9"/>
      <c r="L240" s="31"/>
      <c r="M240" s="9"/>
      <c r="N240" s="9"/>
      <c r="O240" s="12" t="str">
        <f t="shared" si="26"/>
        <v/>
      </c>
      <c r="P240" s="12" t="str">
        <f t="shared" si="27"/>
        <v/>
      </c>
      <c r="Q240" s="12" t="str">
        <f t="shared" si="28"/>
        <v/>
      </c>
      <c r="R240" s="9"/>
      <c r="S240" s="31"/>
      <c r="T240" s="8" t="str">
        <f t="shared" si="29"/>
        <v/>
      </c>
      <c r="U240" s="8">
        <f t="shared" si="30"/>
        <v>0</v>
      </c>
      <c r="V240" s="8">
        <f>IF(B240="",0,IF(SUMPRODUCT(--(B$4:B240=B240))&gt;1,1,0))</f>
        <v>0</v>
      </c>
      <c r="W240" s="8">
        <f t="shared" si="31"/>
        <v>0</v>
      </c>
    </row>
    <row r="241" spans="1:23" x14ac:dyDescent="0.25">
      <c r="A241" s="8">
        <v>238</v>
      </c>
      <c r="B241" s="9"/>
      <c r="C241" s="9"/>
      <c r="D241" s="33" t="str">
        <f t="shared" si="24"/>
        <v/>
      </c>
      <c r="E241" s="9"/>
      <c r="F241" s="31"/>
      <c r="G241" s="11"/>
      <c r="H241" s="11"/>
      <c r="I241" s="9"/>
      <c r="J241" s="12" t="str">
        <f t="shared" si="25"/>
        <v/>
      </c>
      <c r="K241" s="9"/>
      <c r="L241" s="31"/>
      <c r="M241" s="9"/>
      <c r="N241" s="9"/>
      <c r="O241" s="12" t="str">
        <f t="shared" si="26"/>
        <v/>
      </c>
      <c r="P241" s="12" t="str">
        <f t="shared" si="27"/>
        <v/>
      </c>
      <c r="Q241" s="12" t="str">
        <f t="shared" si="28"/>
        <v/>
      </c>
      <c r="R241" s="9"/>
      <c r="S241" s="31"/>
      <c r="T241" s="8" t="str">
        <f t="shared" si="29"/>
        <v/>
      </c>
      <c r="U241" s="8">
        <f t="shared" si="30"/>
        <v>0</v>
      </c>
      <c r="V241" s="8">
        <f>IF(B241="",0,IF(SUMPRODUCT(--(B$4:B241=B241))&gt;1,1,0))</f>
        <v>0</v>
      </c>
      <c r="W241" s="8">
        <f t="shared" si="31"/>
        <v>0</v>
      </c>
    </row>
    <row r="242" spans="1:23" x14ac:dyDescent="0.25">
      <c r="A242" s="8">
        <v>239</v>
      </c>
      <c r="B242" s="9"/>
      <c r="C242" s="9"/>
      <c r="D242" s="33" t="str">
        <f t="shared" si="24"/>
        <v/>
      </c>
      <c r="E242" s="9"/>
      <c r="F242" s="31"/>
      <c r="G242" s="11"/>
      <c r="H242" s="11"/>
      <c r="I242" s="9"/>
      <c r="J242" s="12" t="str">
        <f t="shared" si="25"/>
        <v/>
      </c>
      <c r="K242" s="9"/>
      <c r="L242" s="31"/>
      <c r="M242" s="9"/>
      <c r="N242" s="9"/>
      <c r="O242" s="12" t="str">
        <f t="shared" si="26"/>
        <v/>
      </c>
      <c r="P242" s="12" t="str">
        <f t="shared" si="27"/>
        <v/>
      </c>
      <c r="Q242" s="12" t="str">
        <f t="shared" si="28"/>
        <v/>
      </c>
      <c r="R242" s="9"/>
      <c r="S242" s="31"/>
      <c r="T242" s="8" t="str">
        <f t="shared" si="29"/>
        <v/>
      </c>
      <c r="U242" s="8">
        <f t="shared" si="30"/>
        <v>0</v>
      </c>
      <c r="V242" s="8">
        <f>IF(B242="",0,IF(SUMPRODUCT(--(B$4:B242=B242))&gt;1,1,0))</f>
        <v>0</v>
      </c>
      <c r="W242" s="8">
        <f t="shared" si="31"/>
        <v>0</v>
      </c>
    </row>
    <row r="243" spans="1:23" x14ac:dyDescent="0.25">
      <c r="A243" s="8">
        <v>240</v>
      </c>
      <c r="B243" s="9"/>
      <c r="C243" s="9"/>
      <c r="D243" s="33" t="str">
        <f t="shared" si="24"/>
        <v/>
      </c>
      <c r="E243" s="9"/>
      <c r="F243" s="31"/>
      <c r="G243" s="11"/>
      <c r="H243" s="11"/>
      <c r="I243" s="9"/>
      <c r="J243" s="12" t="str">
        <f t="shared" si="25"/>
        <v/>
      </c>
      <c r="K243" s="9"/>
      <c r="L243" s="31"/>
      <c r="M243" s="9"/>
      <c r="N243" s="9"/>
      <c r="O243" s="12" t="str">
        <f t="shared" si="26"/>
        <v/>
      </c>
      <c r="P243" s="12" t="str">
        <f t="shared" si="27"/>
        <v/>
      </c>
      <c r="Q243" s="12" t="str">
        <f t="shared" si="28"/>
        <v/>
      </c>
      <c r="R243" s="9"/>
      <c r="S243" s="31"/>
      <c r="T243" s="8" t="str">
        <f t="shared" si="29"/>
        <v/>
      </c>
      <c r="U243" s="8">
        <f t="shared" si="30"/>
        <v>0</v>
      </c>
      <c r="V243" s="8">
        <f>IF(B243="",0,IF(SUMPRODUCT(--(B$4:B243=B243))&gt;1,1,0))</f>
        <v>0</v>
      </c>
      <c r="W243" s="8">
        <f t="shared" si="31"/>
        <v>0</v>
      </c>
    </row>
    <row r="244" spans="1:23" x14ac:dyDescent="0.25">
      <c r="A244" s="8">
        <v>241</v>
      </c>
      <c r="B244" s="9"/>
      <c r="C244" s="9"/>
      <c r="D244" s="33" t="str">
        <f t="shared" si="24"/>
        <v/>
      </c>
      <c r="E244" s="9"/>
      <c r="F244" s="31"/>
      <c r="G244" s="11"/>
      <c r="H244" s="11"/>
      <c r="I244" s="9"/>
      <c r="J244" s="12" t="str">
        <f t="shared" si="25"/>
        <v/>
      </c>
      <c r="K244" s="9"/>
      <c r="L244" s="31"/>
      <c r="M244" s="9"/>
      <c r="N244" s="9"/>
      <c r="O244" s="12" t="str">
        <f t="shared" si="26"/>
        <v/>
      </c>
      <c r="P244" s="12" t="str">
        <f t="shared" si="27"/>
        <v/>
      </c>
      <c r="Q244" s="12" t="str">
        <f t="shared" si="28"/>
        <v/>
      </c>
      <c r="R244" s="9"/>
      <c r="S244" s="31"/>
      <c r="T244" s="8" t="str">
        <f t="shared" si="29"/>
        <v/>
      </c>
      <c r="U244" s="8">
        <f t="shared" si="30"/>
        <v>0</v>
      </c>
      <c r="V244" s="8">
        <f>IF(B244="",0,IF(SUMPRODUCT(--(B$4:B244=B244))&gt;1,1,0))</f>
        <v>0</v>
      </c>
      <c r="W244" s="8">
        <f t="shared" si="31"/>
        <v>0</v>
      </c>
    </row>
    <row r="245" spans="1:23" x14ac:dyDescent="0.25">
      <c r="A245" s="8">
        <v>242</v>
      </c>
      <c r="B245" s="9"/>
      <c r="C245" s="9"/>
      <c r="D245" s="33" t="str">
        <f t="shared" si="24"/>
        <v/>
      </c>
      <c r="E245" s="9"/>
      <c r="F245" s="31"/>
      <c r="G245" s="11"/>
      <c r="H245" s="11"/>
      <c r="I245" s="9"/>
      <c r="J245" s="12" t="str">
        <f t="shared" si="25"/>
        <v/>
      </c>
      <c r="K245" s="9"/>
      <c r="L245" s="31"/>
      <c r="M245" s="9"/>
      <c r="N245" s="9"/>
      <c r="O245" s="12" t="str">
        <f t="shared" si="26"/>
        <v/>
      </c>
      <c r="P245" s="12" t="str">
        <f t="shared" si="27"/>
        <v/>
      </c>
      <c r="Q245" s="12" t="str">
        <f t="shared" si="28"/>
        <v/>
      </c>
      <c r="R245" s="9"/>
      <c r="S245" s="31"/>
      <c r="T245" s="8" t="str">
        <f t="shared" si="29"/>
        <v/>
      </c>
      <c r="U245" s="8">
        <f t="shared" si="30"/>
        <v>0</v>
      </c>
      <c r="V245" s="8">
        <f>IF(B245="",0,IF(SUMPRODUCT(--(B$4:B245=B245))&gt;1,1,0))</f>
        <v>0</v>
      </c>
      <c r="W245" s="8">
        <f t="shared" si="31"/>
        <v>0</v>
      </c>
    </row>
    <row r="246" spans="1:23" x14ac:dyDescent="0.25">
      <c r="A246" s="8">
        <v>243</v>
      </c>
      <c r="B246" s="9"/>
      <c r="C246" s="9"/>
      <c r="D246" s="33" t="str">
        <f t="shared" si="24"/>
        <v/>
      </c>
      <c r="E246" s="9"/>
      <c r="F246" s="31"/>
      <c r="G246" s="11"/>
      <c r="H246" s="11"/>
      <c r="I246" s="9"/>
      <c r="J246" s="12" t="str">
        <f t="shared" si="25"/>
        <v/>
      </c>
      <c r="K246" s="9"/>
      <c r="L246" s="31"/>
      <c r="M246" s="9"/>
      <c r="N246" s="9"/>
      <c r="O246" s="12" t="str">
        <f t="shared" si="26"/>
        <v/>
      </c>
      <c r="P246" s="12" t="str">
        <f t="shared" si="27"/>
        <v/>
      </c>
      <c r="Q246" s="12" t="str">
        <f t="shared" si="28"/>
        <v/>
      </c>
      <c r="R246" s="9"/>
      <c r="S246" s="31"/>
      <c r="T246" s="8" t="str">
        <f t="shared" si="29"/>
        <v/>
      </c>
      <c r="U246" s="8">
        <f t="shared" si="30"/>
        <v>0</v>
      </c>
      <c r="V246" s="8">
        <f>IF(B246="",0,IF(SUMPRODUCT(--(B$4:B246=B246))&gt;1,1,0))</f>
        <v>0</v>
      </c>
      <c r="W246" s="8">
        <f t="shared" si="31"/>
        <v>0</v>
      </c>
    </row>
    <row r="247" spans="1:23" x14ac:dyDescent="0.25">
      <c r="A247" s="8">
        <v>244</v>
      </c>
      <c r="B247" s="9"/>
      <c r="C247" s="9"/>
      <c r="D247" s="33" t="str">
        <f t="shared" si="24"/>
        <v/>
      </c>
      <c r="E247" s="9"/>
      <c r="F247" s="31"/>
      <c r="G247" s="11"/>
      <c r="H247" s="11"/>
      <c r="I247" s="9"/>
      <c r="J247" s="12" t="str">
        <f t="shared" si="25"/>
        <v/>
      </c>
      <c r="K247" s="9"/>
      <c r="L247" s="31"/>
      <c r="M247" s="9"/>
      <c r="N247" s="9"/>
      <c r="O247" s="12" t="str">
        <f t="shared" si="26"/>
        <v/>
      </c>
      <c r="P247" s="12" t="str">
        <f t="shared" si="27"/>
        <v/>
      </c>
      <c r="Q247" s="12" t="str">
        <f t="shared" si="28"/>
        <v/>
      </c>
      <c r="R247" s="9"/>
      <c r="S247" s="31"/>
      <c r="T247" s="8" t="str">
        <f t="shared" si="29"/>
        <v/>
      </c>
      <c r="U247" s="8">
        <f t="shared" si="30"/>
        <v>0</v>
      </c>
      <c r="V247" s="8">
        <f>IF(B247="",0,IF(SUMPRODUCT(--(B$4:B247=B247))&gt;1,1,0))</f>
        <v>0</v>
      </c>
      <c r="W247" s="8">
        <f t="shared" si="31"/>
        <v>0</v>
      </c>
    </row>
    <row r="248" spans="1:23" x14ac:dyDescent="0.25">
      <c r="A248" s="8">
        <v>245</v>
      </c>
      <c r="B248" s="9"/>
      <c r="C248" s="9"/>
      <c r="D248" s="33" t="str">
        <f t="shared" si="24"/>
        <v/>
      </c>
      <c r="E248" s="9"/>
      <c r="F248" s="31"/>
      <c r="G248" s="11"/>
      <c r="H248" s="11"/>
      <c r="I248" s="9"/>
      <c r="J248" s="12" t="str">
        <f t="shared" si="25"/>
        <v/>
      </c>
      <c r="K248" s="9"/>
      <c r="L248" s="31"/>
      <c r="M248" s="9"/>
      <c r="N248" s="9"/>
      <c r="O248" s="12" t="str">
        <f t="shared" si="26"/>
        <v/>
      </c>
      <c r="P248" s="12" t="str">
        <f t="shared" si="27"/>
        <v/>
      </c>
      <c r="Q248" s="12" t="str">
        <f t="shared" si="28"/>
        <v/>
      </c>
      <c r="R248" s="9"/>
      <c r="S248" s="31"/>
      <c r="T248" s="8" t="str">
        <f t="shared" si="29"/>
        <v/>
      </c>
      <c r="U248" s="8">
        <f t="shared" si="30"/>
        <v>0</v>
      </c>
      <c r="V248" s="8">
        <f>IF(B248="",0,IF(SUMPRODUCT(--(B$4:B248=B248))&gt;1,1,0))</f>
        <v>0</v>
      </c>
      <c r="W248" s="8">
        <f t="shared" si="31"/>
        <v>0</v>
      </c>
    </row>
    <row r="249" spans="1:23" x14ac:dyDescent="0.25">
      <c r="A249" s="8">
        <v>246</v>
      </c>
      <c r="B249" s="9"/>
      <c r="C249" s="9"/>
      <c r="D249" s="33" t="str">
        <f t="shared" si="24"/>
        <v/>
      </c>
      <c r="E249" s="9"/>
      <c r="F249" s="31"/>
      <c r="G249" s="11"/>
      <c r="H249" s="11"/>
      <c r="I249" s="9"/>
      <c r="J249" s="12" t="str">
        <f t="shared" si="25"/>
        <v/>
      </c>
      <c r="K249" s="9"/>
      <c r="L249" s="31"/>
      <c r="M249" s="9"/>
      <c r="N249" s="9"/>
      <c r="O249" s="12" t="str">
        <f t="shared" si="26"/>
        <v/>
      </c>
      <c r="P249" s="12" t="str">
        <f t="shared" si="27"/>
        <v/>
      </c>
      <c r="Q249" s="12" t="str">
        <f t="shared" si="28"/>
        <v/>
      </c>
      <c r="R249" s="9"/>
      <c r="S249" s="31"/>
      <c r="T249" s="8" t="str">
        <f t="shared" si="29"/>
        <v/>
      </c>
      <c r="U249" s="8">
        <f t="shared" si="30"/>
        <v>0</v>
      </c>
      <c r="V249" s="8">
        <f>IF(B249="",0,IF(SUMPRODUCT(--(B$4:B249=B249))&gt;1,1,0))</f>
        <v>0</v>
      </c>
      <c r="W249" s="8">
        <f t="shared" si="31"/>
        <v>0</v>
      </c>
    </row>
    <row r="250" spans="1:23" x14ac:dyDescent="0.25">
      <c r="A250" s="8">
        <v>247</v>
      </c>
      <c r="B250" s="9"/>
      <c r="C250" s="9"/>
      <c r="D250" s="33" t="str">
        <f t="shared" si="24"/>
        <v/>
      </c>
      <c r="E250" s="9"/>
      <c r="F250" s="31"/>
      <c r="G250" s="11"/>
      <c r="H250" s="11"/>
      <c r="I250" s="9"/>
      <c r="J250" s="12" t="str">
        <f t="shared" si="25"/>
        <v/>
      </c>
      <c r="K250" s="9"/>
      <c r="L250" s="31"/>
      <c r="M250" s="9"/>
      <c r="N250" s="9"/>
      <c r="O250" s="12" t="str">
        <f t="shared" si="26"/>
        <v/>
      </c>
      <c r="P250" s="12" t="str">
        <f t="shared" si="27"/>
        <v/>
      </c>
      <c r="Q250" s="12" t="str">
        <f t="shared" si="28"/>
        <v/>
      </c>
      <c r="R250" s="9"/>
      <c r="S250" s="31"/>
      <c r="T250" s="8" t="str">
        <f t="shared" si="29"/>
        <v/>
      </c>
      <c r="U250" s="8">
        <f t="shared" si="30"/>
        <v>0</v>
      </c>
      <c r="V250" s="8">
        <f>IF(B250="",0,IF(SUMPRODUCT(--(B$4:B250=B250))&gt;1,1,0))</f>
        <v>0</v>
      </c>
      <c r="W250" s="8">
        <f t="shared" si="31"/>
        <v>0</v>
      </c>
    </row>
    <row r="251" spans="1:23" x14ac:dyDescent="0.25">
      <c r="A251" s="8">
        <v>248</v>
      </c>
      <c r="B251" s="9"/>
      <c r="C251" s="9"/>
      <c r="D251" s="33" t="str">
        <f t="shared" si="24"/>
        <v/>
      </c>
      <c r="E251" s="9"/>
      <c r="F251" s="31"/>
      <c r="G251" s="11"/>
      <c r="H251" s="11"/>
      <c r="I251" s="9"/>
      <c r="J251" s="12" t="str">
        <f t="shared" si="25"/>
        <v/>
      </c>
      <c r="K251" s="9"/>
      <c r="L251" s="31"/>
      <c r="M251" s="9"/>
      <c r="N251" s="9"/>
      <c r="O251" s="12" t="str">
        <f t="shared" si="26"/>
        <v/>
      </c>
      <c r="P251" s="12" t="str">
        <f t="shared" si="27"/>
        <v/>
      </c>
      <c r="Q251" s="12" t="str">
        <f t="shared" si="28"/>
        <v/>
      </c>
      <c r="R251" s="9"/>
      <c r="S251" s="31"/>
      <c r="T251" s="8" t="str">
        <f t="shared" si="29"/>
        <v/>
      </c>
      <c r="U251" s="8">
        <f t="shared" si="30"/>
        <v>0</v>
      </c>
      <c r="V251" s="8">
        <f>IF(B251="",0,IF(SUMPRODUCT(--(B$4:B251=B251))&gt;1,1,0))</f>
        <v>0</v>
      </c>
      <c r="W251" s="8">
        <f t="shared" si="31"/>
        <v>0</v>
      </c>
    </row>
    <row r="252" spans="1:23" x14ac:dyDescent="0.25">
      <c r="A252" s="8">
        <v>249</v>
      </c>
      <c r="B252" s="9"/>
      <c r="C252" s="9"/>
      <c r="D252" s="33" t="str">
        <f t="shared" si="24"/>
        <v/>
      </c>
      <c r="E252" s="9"/>
      <c r="F252" s="31"/>
      <c r="G252" s="11"/>
      <c r="H252" s="11"/>
      <c r="I252" s="9"/>
      <c r="J252" s="12" t="str">
        <f t="shared" si="25"/>
        <v/>
      </c>
      <c r="K252" s="9"/>
      <c r="L252" s="31"/>
      <c r="M252" s="9"/>
      <c r="N252" s="9"/>
      <c r="O252" s="12" t="str">
        <f t="shared" si="26"/>
        <v/>
      </c>
      <c r="P252" s="12" t="str">
        <f t="shared" si="27"/>
        <v/>
      </c>
      <c r="Q252" s="12" t="str">
        <f t="shared" si="28"/>
        <v/>
      </c>
      <c r="R252" s="9"/>
      <c r="S252" s="31"/>
      <c r="T252" s="8" t="str">
        <f t="shared" si="29"/>
        <v/>
      </c>
      <c r="U252" s="8">
        <f t="shared" si="30"/>
        <v>0</v>
      </c>
      <c r="V252" s="8">
        <f>IF(B252="",0,IF(SUMPRODUCT(--(B$4:B252=B252))&gt;1,1,0))</f>
        <v>0</v>
      </c>
      <c r="W252" s="8">
        <f t="shared" si="31"/>
        <v>0</v>
      </c>
    </row>
    <row r="253" spans="1:23" x14ac:dyDescent="0.25">
      <c r="A253" s="8">
        <v>250</v>
      </c>
      <c r="B253" s="9"/>
      <c r="C253" s="9"/>
      <c r="D253" s="33" t="str">
        <f t="shared" si="24"/>
        <v/>
      </c>
      <c r="E253" s="9"/>
      <c r="F253" s="31"/>
      <c r="G253" s="11"/>
      <c r="H253" s="11"/>
      <c r="I253" s="9"/>
      <c r="J253" s="12" t="str">
        <f t="shared" si="25"/>
        <v/>
      </c>
      <c r="K253" s="9"/>
      <c r="L253" s="31"/>
      <c r="M253" s="9"/>
      <c r="N253" s="9"/>
      <c r="O253" s="12" t="str">
        <f t="shared" si="26"/>
        <v/>
      </c>
      <c r="P253" s="12" t="str">
        <f t="shared" si="27"/>
        <v/>
      </c>
      <c r="Q253" s="12" t="str">
        <f t="shared" si="28"/>
        <v/>
      </c>
      <c r="R253" s="9"/>
      <c r="S253" s="31"/>
      <c r="T253" s="8" t="str">
        <f t="shared" si="29"/>
        <v/>
      </c>
      <c r="U253" s="8">
        <f t="shared" si="30"/>
        <v>0</v>
      </c>
      <c r="V253" s="8">
        <f>IF(B253="",0,IF(SUMPRODUCT(--(B$4:B253=B253))&gt;1,1,0))</f>
        <v>0</v>
      </c>
      <c r="W253" s="8">
        <f t="shared" si="31"/>
        <v>0</v>
      </c>
    </row>
    <row r="254" spans="1:23" x14ac:dyDescent="0.25">
      <c r="A254" s="8">
        <v>251</v>
      </c>
      <c r="B254" s="9"/>
      <c r="C254" s="9"/>
      <c r="D254" s="33" t="str">
        <f t="shared" si="24"/>
        <v/>
      </c>
      <c r="E254" s="9"/>
      <c r="F254" s="31"/>
      <c r="G254" s="11"/>
      <c r="H254" s="11"/>
      <c r="I254" s="9"/>
      <c r="J254" s="12" t="str">
        <f t="shared" si="25"/>
        <v/>
      </c>
      <c r="K254" s="9"/>
      <c r="L254" s="31"/>
      <c r="M254" s="9"/>
      <c r="N254" s="9"/>
      <c r="O254" s="12" t="str">
        <f t="shared" si="26"/>
        <v/>
      </c>
      <c r="P254" s="12" t="str">
        <f t="shared" si="27"/>
        <v/>
      </c>
      <c r="Q254" s="12" t="str">
        <f t="shared" si="28"/>
        <v/>
      </c>
      <c r="R254" s="9"/>
      <c r="S254" s="31"/>
      <c r="T254" s="8" t="str">
        <f t="shared" si="29"/>
        <v/>
      </c>
      <c r="U254" s="8">
        <f t="shared" si="30"/>
        <v>0</v>
      </c>
      <c r="V254" s="8">
        <f>IF(B254="",0,IF(SUMPRODUCT(--(B$4:B254=B254))&gt;1,1,0))</f>
        <v>0</v>
      </c>
      <c r="W254" s="8">
        <f t="shared" si="31"/>
        <v>0</v>
      </c>
    </row>
    <row r="255" spans="1:23" x14ac:dyDescent="0.25">
      <c r="A255" s="8">
        <v>252</v>
      </c>
      <c r="B255" s="9"/>
      <c r="C255" s="9"/>
      <c r="D255" s="33" t="str">
        <f t="shared" si="24"/>
        <v/>
      </c>
      <c r="E255" s="9"/>
      <c r="F255" s="31"/>
      <c r="G255" s="11"/>
      <c r="H255" s="11"/>
      <c r="I255" s="9"/>
      <c r="J255" s="12" t="str">
        <f t="shared" si="25"/>
        <v/>
      </c>
      <c r="K255" s="9"/>
      <c r="L255" s="31"/>
      <c r="M255" s="9"/>
      <c r="N255" s="9"/>
      <c r="O255" s="12" t="str">
        <f t="shared" si="26"/>
        <v/>
      </c>
      <c r="P255" s="12" t="str">
        <f t="shared" si="27"/>
        <v/>
      </c>
      <c r="Q255" s="12" t="str">
        <f t="shared" si="28"/>
        <v/>
      </c>
      <c r="R255" s="9"/>
      <c r="S255" s="31"/>
      <c r="T255" s="8" t="str">
        <f t="shared" si="29"/>
        <v/>
      </c>
      <c r="U255" s="8">
        <f t="shared" si="30"/>
        <v>0</v>
      </c>
      <c r="V255" s="8">
        <f>IF(B255="",0,IF(SUMPRODUCT(--(B$4:B255=B255))&gt;1,1,0))</f>
        <v>0</v>
      </c>
      <c r="W255" s="8">
        <f t="shared" si="31"/>
        <v>0</v>
      </c>
    </row>
    <row r="256" spans="1:23" x14ac:dyDescent="0.25">
      <c r="A256" s="8">
        <v>253</v>
      </c>
      <c r="B256" s="9"/>
      <c r="C256" s="9"/>
      <c r="D256" s="33" t="str">
        <f t="shared" si="24"/>
        <v/>
      </c>
      <c r="E256" s="9"/>
      <c r="F256" s="31"/>
      <c r="G256" s="11"/>
      <c r="H256" s="11"/>
      <c r="I256" s="9"/>
      <c r="J256" s="12" t="str">
        <f t="shared" si="25"/>
        <v/>
      </c>
      <c r="K256" s="9"/>
      <c r="L256" s="31"/>
      <c r="M256" s="9"/>
      <c r="N256" s="9"/>
      <c r="O256" s="12" t="str">
        <f t="shared" si="26"/>
        <v/>
      </c>
      <c r="P256" s="12" t="str">
        <f t="shared" si="27"/>
        <v/>
      </c>
      <c r="Q256" s="12" t="str">
        <f t="shared" si="28"/>
        <v/>
      </c>
      <c r="R256" s="9"/>
      <c r="S256" s="31"/>
      <c r="T256" s="8" t="str">
        <f t="shared" si="29"/>
        <v/>
      </c>
      <c r="U256" s="8">
        <f t="shared" si="30"/>
        <v>0</v>
      </c>
      <c r="V256" s="8">
        <f>IF(B256="",0,IF(SUMPRODUCT(--(B$4:B256=B256))&gt;1,1,0))</f>
        <v>0</v>
      </c>
      <c r="W256" s="8">
        <f t="shared" si="31"/>
        <v>0</v>
      </c>
    </row>
    <row r="257" spans="1:23" x14ac:dyDescent="0.25">
      <c r="A257" s="8">
        <v>254</v>
      </c>
      <c r="B257" s="9"/>
      <c r="C257" s="9"/>
      <c r="D257" s="33" t="str">
        <f t="shared" si="24"/>
        <v/>
      </c>
      <c r="E257" s="9"/>
      <c r="F257" s="31"/>
      <c r="G257" s="11"/>
      <c r="H257" s="11"/>
      <c r="I257" s="9"/>
      <c r="J257" s="12" t="str">
        <f t="shared" si="25"/>
        <v/>
      </c>
      <c r="K257" s="9"/>
      <c r="L257" s="31"/>
      <c r="M257" s="9"/>
      <c r="N257" s="9"/>
      <c r="O257" s="12" t="str">
        <f t="shared" si="26"/>
        <v/>
      </c>
      <c r="P257" s="12" t="str">
        <f t="shared" si="27"/>
        <v/>
      </c>
      <c r="Q257" s="12" t="str">
        <f t="shared" si="28"/>
        <v/>
      </c>
      <c r="R257" s="9"/>
      <c r="S257" s="31"/>
      <c r="T257" s="8" t="str">
        <f t="shared" si="29"/>
        <v/>
      </c>
      <c r="U257" s="8">
        <f t="shared" si="30"/>
        <v>0</v>
      </c>
      <c r="V257" s="8">
        <f>IF(B257="",0,IF(SUMPRODUCT(--(B$4:B257=B257))&gt;1,1,0))</f>
        <v>0</v>
      </c>
      <c r="W257" s="8">
        <f t="shared" si="31"/>
        <v>0</v>
      </c>
    </row>
    <row r="258" spans="1:23" x14ac:dyDescent="0.25">
      <c r="A258" s="8">
        <v>255</v>
      </c>
      <c r="B258" s="9"/>
      <c r="C258" s="9"/>
      <c r="D258" s="33" t="str">
        <f t="shared" si="24"/>
        <v/>
      </c>
      <c r="E258" s="9"/>
      <c r="F258" s="31"/>
      <c r="G258" s="11"/>
      <c r="H258" s="11"/>
      <c r="I258" s="9"/>
      <c r="J258" s="12" t="str">
        <f t="shared" si="25"/>
        <v/>
      </c>
      <c r="K258" s="9"/>
      <c r="L258" s="31"/>
      <c r="M258" s="9"/>
      <c r="N258" s="9"/>
      <c r="O258" s="12" t="str">
        <f t="shared" si="26"/>
        <v/>
      </c>
      <c r="P258" s="12" t="str">
        <f t="shared" si="27"/>
        <v/>
      </c>
      <c r="Q258" s="12" t="str">
        <f t="shared" si="28"/>
        <v/>
      </c>
      <c r="R258" s="9"/>
      <c r="S258" s="31"/>
      <c r="T258" s="8" t="str">
        <f t="shared" si="29"/>
        <v/>
      </c>
      <c r="U258" s="8">
        <f t="shared" si="30"/>
        <v>0</v>
      </c>
      <c r="V258" s="8">
        <f>IF(B258="",0,IF(SUMPRODUCT(--(B$4:B258=B258))&gt;1,1,0))</f>
        <v>0</v>
      </c>
      <c r="W258" s="8">
        <f t="shared" si="31"/>
        <v>0</v>
      </c>
    </row>
    <row r="259" spans="1:23" x14ac:dyDescent="0.25">
      <c r="A259" s="8">
        <v>256</v>
      </c>
      <c r="B259" s="9"/>
      <c r="C259" s="9"/>
      <c r="D259" s="33" t="str">
        <f t="shared" si="24"/>
        <v/>
      </c>
      <c r="E259" s="9"/>
      <c r="F259" s="31"/>
      <c r="G259" s="11"/>
      <c r="H259" s="11"/>
      <c r="I259" s="9"/>
      <c r="J259" s="12" t="str">
        <f t="shared" si="25"/>
        <v/>
      </c>
      <c r="K259" s="9"/>
      <c r="L259" s="31"/>
      <c r="M259" s="9"/>
      <c r="N259" s="9"/>
      <c r="O259" s="12" t="str">
        <f t="shared" si="26"/>
        <v/>
      </c>
      <c r="P259" s="12" t="str">
        <f t="shared" si="27"/>
        <v/>
      </c>
      <c r="Q259" s="12" t="str">
        <f t="shared" si="28"/>
        <v/>
      </c>
      <c r="R259" s="9"/>
      <c r="S259" s="31"/>
      <c r="T259" s="8" t="str">
        <f t="shared" si="29"/>
        <v/>
      </c>
      <c r="U259" s="8">
        <f t="shared" si="30"/>
        <v>0</v>
      </c>
      <c r="V259" s="8">
        <f>IF(B259="",0,IF(SUMPRODUCT(--(B$4:B259=B259))&gt;1,1,0))</f>
        <v>0</v>
      </c>
      <c r="W259" s="8">
        <f t="shared" si="31"/>
        <v>0</v>
      </c>
    </row>
    <row r="260" spans="1:23" x14ac:dyDescent="0.25">
      <c r="A260" s="8">
        <v>257</v>
      </c>
      <c r="B260" s="9"/>
      <c r="C260" s="9"/>
      <c r="D260" s="33" t="str">
        <f t="shared" ref="D260:D323" si="32">IF(C260="","",IFERROR(INDEX(SpaceNames,MATCH(C260,SpaceCodes,0))&amp;"",""))</f>
        <v/>
      </c>
      <c r="E260" s="9"/>
      <c r="F260" s="31"/>
      <c r="G260" s="11"/>
      <c r="H260" s="11"/>
      <c r="I260" s="9"/>
      <c r="J260" s="12" t="str">
        <f t="shared" ref="J260:J323" si="33">IF(W260=0,"",IF(V260=1,0,IF(AND(G260&lt;&gt;"",H260&lt;&gt;""),G260*H260*IF(I260="",1,I260),"")))</f>
        <v/>
      </c>
      <c r="K260" s="9"/>
      <c r="L260" s="31"/>
      <c r="M260" s="9"/>
      <c r="N260" s="9"/>
      <c r="O260" s="12" t="str">
        <f t="shared" ref="O260:O303" si="34">IF(OR(W260=0,J260=""),"",IF(OR(K260&lt;&gt;"نعم",C260="",E260=""),0,IF(L260&lt;&gt;"",IF(COUNTIFS(WL_Space,C260,WL_Wall,E260,WL_Mat,L260,WL_DedOn,1)&gt;0,J260,0),IF(AND(COUNTIFS(WL_Space,C260,WL_Wall,E260,WL_Dup,0)=1,COUNTIFS(WL_Space,C260,WL_Wall,E260,WL_DedOn,1)=1),J260,0))))</f>
        <v/>
      </c>
      <c r="P260" s="12" t="str">
        <f t="shared" ref="P260:P303" si="35">IF(OR(W260=0,J260=""),"",IF(OR(M260&lt;&gt;"نعم",C260="",E260=""),0,J260*SUMIFS(PL_FacesEff,PL_Space,C260,PL_Wall,E260)))</f>
        <v/>
      </c>
      <c r="Q260" s="12" t="str">
        <f t="shared" ref="Q260:Q303" si="36">IF(W260=0,"",IF(OR(N260&lt;&gt;"نعم",C260=""),0,IF(COUNTIFS(LN_Space,C260,LN_AutoEff,1)&gt;0,U260,0)))</f>
        <v/>
      </c>
      <c r="R260" s="9"/>
      <c r="S260" s="31"/>
      <c r="T260" s="8" t="str">
        <f t="shared" ref="T260:T303" si="37">IF(W260=0,"",IF(B260="","ناقص بيانات: كود الفتحة",IF(V260=1,"تكرار كود الفتحة — غير محتسب",IF(C260="","ناقص بيانات: كود الفراغ",IF(COUNTIF(SpaceCodes,C260)=0,"ناقص بيانات: الفراغ غير مسجل",IF(E260="","ناقص بيانات: كود الحائط",IF(J260="","ناقص قياس",IF(AND(K260="",M260="",N260=""),"ناقص بيانات: حدد خيارات الخصم (نعم/لا)",IF(AND(K260="نعم",N(O260)=0,L260="",COUNTIFS(WL_Space,C260,WL_Wall,E260,WL_Dup,0)&gt;1),"تنبيه خصم: للحائط أكثر من خامة — حدد الخامة المخصوم منها",IF(AND(K260="نعم",N(O260)=0,IF(L260="",COUNTIFS(WL_Space,C260,WL_Wall,E260,WL_Dup,0),COUNTIFS(WL_Space,C260,WL_Wall,E260,WL_Mat,L260,WL_Dup,0))&gt;0),"تنبيه خصم: خصم الفتحات موقوف («لا») في سجل الحائط",IF(AND(K260="نعم",N(O260)=0),"تنبيه خصم: الحائط/الخامة غير مسجلة في حصر الحوائط",IF(AND(M260="نعم",N(P260)=0),"تنبيه خصم: الحائط غير مسجل في حصر اللياسة",IF(AND(N260="نعم",N(Q260)=0),"تنبيه خصم: لا يوجد سجل وزرات بخصم تلقائي للفراغ",IF(R260="نعم","يحتاج مراجعة","مكتمل"))))))))))))))</f>
        <v/>
      </c>
      <c r="U260" s="8">
        <f t="shared" ref="U260:U323" si="38">IF(OR(W260=0,V260=1,G260=""),0,G260*IF(I260="",1,I260))</f>
        <v>0</v>
      </c>
      <c r="V260" s="8">
        <f>IF(B260="",0,IF(SUMPRODUCT(--(B$4:B260=B260))&gt;1,1,0))</f>
        <v>0</v>
      </c>
      <c r="W260" s="8">
        <f t="shared" ref="W260:W303" si="39">IF(COUNTA(B260:C260,E260:I260,K260:N260)=0,0,1)</f>
        <v>0</v>
      </c>
    </row>
    <row r="261" spans="1:23" x14ac:dyDescent="0.25">
      <c r="A261" s="8">
        <v>258</v>
      </c>
      <c r="B261" s="9"/>
      <c r="C261" s="9"/>
      <c r="D261" s="33" t="str">
        <f t="shared" si="32"/>
        <v/>
      </c>
      <c r="E261" s="9"/>
      <c r="F261" s="31"/>
      <c r="G261" s="11"/>
      <c r="H261" s="11"/>
      <c r="I261" s="9"/>
      <c r="J261" s="12" t="str">
        <f t="shared" si="33"/>
        <v/>
      </c>
      <c r="K261" s="9"/>
      <c r="L261" s="31"/>
      <c r="M261" s="9"/>
      <c r="N261" s="9"/>
      <c r="O261" s="12" t="str">
        <f t="shared" si="34"/>
        <v/>
      </c>
      <c r="P261" s="12" t="str">
        <f t="shared" si="35"/>
        <v/>
      </c>
      <c r="Q261" s="12" t="str">
        <f t="shared" si="36"/>
        <v/>
      </c>
      <c r="R261" s="9"/>
      <c r="S261" s="31"/>
      <c r="T261" s="8" t="str">
        <f t="shared" si="37"/>
        <v/>
      </c>
      <c r="U261" s="8">
        <f t="shared" si="38"/>
        <v>0</v>
      </c>
      <c r="V261" s="8">
        <f>IF(B261="",0,IF(SUMPRODUCT(--(B$4:B261=B261))&gt;1,1,0))</f>
        <v>0</v>
      </c>
      <c r="W261" s="8">
        <f t="shared" si="39"/>
        <v>0</v>
      </c>
    </row>
    <row r="262" spans="1:23" x14ac:dyDescent="0.25">
      <c r="A262" s="8">
        <v>259</v>
      </c>
      <c r="B262" s="9"/>
      <c r="C262" s="9"/>
      <c r="D262" s="33" t="str">
        <f t="shared" si="32"/>
        <v/>
      </c>
      <c r="E262" s="9"/>
      <c r="F262" s="31"/>
      <c r="G262" s="11"/>
      <c r="H262" s="11"/>
      <c r="I262" s="9"/>
      <c r="J262" s="12" t="str">
        <f t="shared" si="33"/>
        <v/>
      </c>
      <c r="K262" s="9"/>
      <c r="L262" s="31"/>
      <c r="M262" s="9"/>
      <c r="N262" s="9"/>
      <c r="O262" s="12" t="str">
        <f t="shared" si="34"/>
        <v/>
      </c>
      <c r="P262" s="12" t="str">
        <f t="shared" si="35"/>
        <v/>
      </c>
      <c r="Q262" s="12" t="str">
        <f t="shared" si="36"/>
        <v/>
      </c>
      <c r="R262" s="9"/>
      <c r="S262" s="31"/>
      <c r="T262" s="8" t="str">
        <f t="shared" si="37"/>
        <v/>
      </c>
      <c r="U262" s="8">
        <f t="shared" si="38"/>
        <v>0</v>
      </c>
      <c r="V262" s="8">
        <f>IF(B262="",0,IF(SUMPRODUCT(--(B$4:B262=B262))&gt;1,1,0))</f>
        <v>0</v>
      </c>
      <c r="W262" s="8">
        <f t="shared" si="39"/>
        <v>0</v>
      </c>
    </row>
    <row r="263" spans="1:23" x14ac:dyDescent="0.25">
      <c r="A263" s="8">
        <v>260</v>
      </c>
      <c r="B263" s="9"/>
      <c r="C263" s="9"/>
      <c r="D263" s="33" t="str">
        <f t="shared" si="32"/>
        <v/>
      </c>
      <c r="E263" s="9"/>
      <c r="F263" s="31"/>
      <c r="G263" s="11"/>
      <c r="H263" s="11"/>
      <c r="I263" s="9"/>
      <c r="J263" s="12" t="str">
        <f t="shared" si="33"/>
        <v/>
      </c>
      <c r="K263" s="9"/>
      <c r="L263" s="31"/>
      <c r="M263" s="9"/>
      <c r="N263" s="9"/>
      <c r="O263" s="12" t="str">
        <f t="shared" si="34"/>
        <v/>
      </c>
      <c r="P263" s="12" t="str">
        <f t="shared" si="35"/>
        <v/>
      </c>
      <c r="Q263" s="12" t="str">
        <f t="shared" si="36"/>
        <v/>
      </c>
      <c r="R263" s="9"/>
      <c r="S263" s="31"/>
      <c r="T263" s="8" t="str">
        <f t="shared" si="37"/>
        <v/>
      </c>
      <c r="U263" s="8">
        <f t="shared" si="38"/>
        <v>0</v>
      </c>
      <c r="V263" s="8">
        <f>IF(B263="",0,IF(SUMPRODUCT(--(B$4:B263=B263))&gt;1,1,0))</f>
        <v>0</v>
      </c>
      <c r="W263" s="8">
        <f t="shared" si="39"/>
        <v>0</v>
      </c>
    </row>
    <row r="264" spans="1:23" x14ac:dyDescent="0.25">
      <c r="A264" s="8">
        <v>261</v>
      </c>
      <c r="B264" s="9"/>
      <c r="C264" s="9"/>
      <c r="D264" s="33" t="str">
        <f t="shared" si="32"/>
        <v/>
      </c>
      <c r="E264" s="9"/>
      <c r="F264" s="31"/>
      <c r="G264" s="11"/>
      <c r="H264" s="11"/>
      <c r="I264" s="9"/>
      <c r="J264" s="12" t="str">
        <f t="shared" si="33"/>
        <v/>
      </c>
      <c r="K264" s="9"/>
      <c r="L264" s="31"/>
      <c r="M264" s="9"/>
      <c r="N264" s="9"/>
      <c r="O264" s="12" t="str">
        <f t="shared" si="34"/>
        <v/>
      </c>
      <c r="P264" s="12" t="str">
        <f t="shared" si="35"/>
        <v/>
      </c>
      <c r="Q264" s="12" t="str">
        <f t="shared" si="36"/>
        <v/>
      </c>
      <c r="R264" s="9"/>
      <c r="S264" s="31"/>
      <c r="T264" s="8" t="str">
        <f t="shared" si="37"/>
        <v/>
      </c>
      <c r="U264" s="8">
        <f t="shared" si="38"/>
        <v>0</v>
      </c>
      <c r="V264" s="8">
        <f>IF(B264="",0,IF(SUMPRODUCT(--(B$4:B264=B264))&gt;1,1,0))</f>
        <v>0</v>
      </c>
      <c r="W264" s="8">
        <f t="shared" si="39"/>
        <v>0</v>
      </c>
    </row>
    <row r="265" spans="1:23" x14ac:dyDescent="0.25">
      <c r="A265" s="8">
        <v>262</v>
      </c>
      <c r="B265" s="9"/>
      <c r="C265" s="9"/>
      <c r="D265" s="33" t="str">
        <f t="shared" si="32"/>
        <v/>
      </c>
      <c r="E265" s="9"/>
      <c r="F265" s="31"/>
      <c r="G265" s="11"/>
      <c r="H265" s="11"/>
      <c r="I265" s="9"/>
      <c r="J265" s="12" t="str">
        <f t="shared" si="33"/>
        <v/>
      </c>
      <c r="K265" s="9"/>
      <c r="L265" s="31"/>
      <c r="M265" s="9"/>
      <c r="N265" s="9"/>
      <c r="O265" s="12" t="str">
        <f t="shared" si="34"/>
        <v/>
      </c>
      <c r="P265" s="12" t="str">
        <f t="shared" si="35"/>
        <v/>
      </c>
      <c r="Q265" s="12" t="str">
        <f t="shared" si="36"/>
        <v/>
      </c>
      <c r="R265" s="9"/>
      <c r="S265" s="31"/>
      <c r="T265" s="8" t="str">
        <f t="shared" si="37"/>
        <v/>
      </c>
      <c r="U265" s="8">
        <f t="shared" si="38"/>
        <v>0</v>
      </c>
      <c r="V265" s="8">
        <f>IF(B265="",0,IF(SUMPRODUCT(--(B$4:B265=B265))&gt;1,1,0))</f>
        <v>0</v>
      </c>
      <c r="W265" s="8">
        <f t="shared" si="39"/>
        <v>0</v>
      </c>
    </row>
    <row r="266" spans="1:23" x14ac:dyDescent="0.25">
      <c r="A266" s="8">
        <v>263</v>
      </c>
      <c r="B266" s="9"/>
      <c r="C266" s="9"/>
      <c r="D266" s="33" t="str">
        <f t="shared" si="32"/>
        <v/>
      </c>
      <c r="E266" s="9"/>
      <c r="F266" s="31"/>
      <c r="G266" s="11"/>
      <c r="H266" s="11"/>
      <c r="I266" s="9"/>
      <c r="J266" s="12" t="str">
        <f t="shared" si="33"/>
        <v/>
      </c>
      <c r="K266" s="9"/>
      <c r="L266" s="31"/>
      <c r="M266" s="9"/>
      <c r="N266" s="9"/>
      <c r="O266" s="12" t="str">
        <f t="shared" si="34"/>
        <v/>
      </c>
      <c r="P266" s="12" t="str">
        <f t="shared" si="35"/>
        <v/>
      </c>
      <c r="Q266" s="12" t="str">
        <f t="shared" si="36"/>
        <v/>
      </c>
      <c r="R266" s="9"/>
      <c r="S266" s="31"/>
      <c r="T266" s="8" t="str">
        <f t="shared" si="37"/>
        <v/>
      </c>
      <c r="U266" s="8">
        <f t="shared" si="38"/>
        <v>0</v>
      </c>
      <c r="V266" s="8">
        <f>IF(B266="",0,IF(SUMPRODUCT(--(B$4:B266=B266))&gt;1,1,0))</f>
        <v>0</v>
      </c>
      <c r="W266" s="8">
        <f t="shared" si="39"/>
        <v>0</v>
      </c>
    </row>
    <row r="267" spans="1:23" x14ac:dyDescent="0.25">
      <c r="A267" s="8">
        <v>264</v>
      </c>
      <c r="B267" s="9"/>
      <c r="C267" s="9"/>
      <c r="D267" s="33" t="str">
        <f t="shared" si="32"/>
        <v/>
      </c>
      <c r="E267" s="9"/>
      <c r="F267" s="31"/>
      <c r="G267" s="11"/>
      <c r="H267" s="11"/>
      <c r="I267" s="9"/>
      <c r="J267" s="12" t="str">
        <f t="shared" si="33"/>
        <v/>
      </c>
      <c r="K267" s="9"/>
      <c r="L267" s="31"/>
      <c r="M267" s="9"/>
      <c r="N267" s="9"/>
      <c r="O267" s="12" t="str">
        <f t="shared" si="34"/>
        <v/>
      </c>
      <c r="P267" s="12" t="str">
        <f t="shared" si="35"/>
        <v/>
      </c>
      <c r="Q267" s="12" t="str">
        <f t="shared" si="36"/>
        <v/>
      </c>
      <c r="R267" s="9"/>
      <c r="S267" s="31"/>
      <c r="T267" s="8" t="str">
        <f t="shared" si="37"/>
        <v/>
      </c>
      <c r="U267" s="8">
        <f t="shared" si="38"/>
        <v>0</v>
      </c>
      <c r="V267" s="8">
        <f>IF(B267="",0,IF(SUMPRODUCT(--(B$4:B267=B267))&gt;1,1,0))</f>
        <v>0</v>
      </c>
      <c r="W267" s="8">
        <f t="shared" si="39"/>
        <v>0</v>
      </c>
    </row>
    <row r="268" spans="1:23" x14ac:dyDescent="0.25">
      <c r="A268" s="8">
        <v>265</v>
      </c>
      <c r="B268" s="9"/>
      <c r="C268" s="9"/>
      <c r="D268" s="33" t="str">
        <f t="shared" si="32"/>
        <v/>
      </c>
      <c r="E268" s="9"/>
      <c r="F268" s="31"/>
      <c r="G268" s="11"/>
      <c r="H268" s="11"/>
      <c r="I268" s="9"/>
      <c r="J268" s="12" t="str">
        <f t="shared" si="33"/>
        <v/>
      </c>
      <c r="K268" s="9"/>
      <c r="L268" s="31"/>
      <c r="M268" s="9"/>
      <c r="N268" s="9"/>
      <c r="O268" s="12" t="str">
        <f t="shared" si="34"/>
        <v/>
      </c>
      <c r="P268" s="12" t="str">
        <f t="shared" si="35"/>
        <v/>
      </c>
      <c r="Q268" s="12" t="str">
        <f t="shared" si="36"/>
        <v/>
      </c>
      <c r="R268" s="9"/>
      <c r="S268" s="31"/>
      <c r="T268" s="8" t="str">
        <f t="shared" si="37"/>
        <v/>
      </c>
      <c r="U268" s="8">
        <f t="shared" si="38"/>
        <v>0</v>
      </c>
      <c r="V268" s="8">
        <f>IF(B268="",0,IF(SUMPRODUCT(--(B$4:B268=B268))&gt;1,1,0))</f>
        <v>0</v>
      </c>
      <c r="W268" s="8">
        <f t="shared" si="39"/>
        <v>0</v>
      </c>
    </row>
    <row r="269" spans="1:23" x14ac:dyDescent="0.25">
      <c r="A269" s="8">
        <v>266</v>
      </c>
      <c r="B269" s="9"/>
      <c r="C269" s="9"/>
      <c r="D269" s="33" t="str">
        <f t="shared" si="32"/>
        <v/>
      </c>
      <c r="E269" s="9"/>
      <c r="F269" s="31"/>
      <c r="G269" s="11"/>
      <c r="H269" s="11"/>
      <c r="I269" s="9"/>
      <c r="J269" s="12" t="str">
        <f t="shared" si="33"/>
        <v/>
      </c>
      <c r="K269" s="9"/>
      <c r="L269" s="31"/>
      <c r="M269" s="9"/>
      <c r="N269" s="9"/>
      <c r="O269" s="12" t="str">
        <f t="shared" si="34"/>
        <v/>
      </c>
      <c r="P269" s="12" t="str">
        <f t="shared" si="35"/>
        <v/>
      </c>
      <c r="Q269" s="12" t="str">
        <f t="shared" si="36"/>
        <v/>
      </c>
      <c r="R269" s="9"/>
      <c r="S269" s="31"/>
      <c r="T269" s="8" t="str">
        <f t="shared" si="37"/>
        <v/>
      </c>
      <c r="U269" s="8">
        <f t="shared" si="38"/>
        <v>0</v>
      </c>
      <c r="V269" s="8">
        <f>IF(B269="",0,IF(SUMPRODUCT(--(B$4:B269=B269))&gt;1,1,0))</f>
        <v>0</v>
      </c>
      <c r="W269" s="8">
        <f t="shared" si="39"/>
        <v>0</v>
      </c>
    </row>
    <row r="270" spans="1:23" x14ac:dyDescent="0.25">
      <c r="A270" s="8">
        <v>267</v>
      </c>
      <c r="B270" s="9"/>
      <c r="C270" s="9"/>
      <c r="D270" s="33" t="str">
        <f t="shared" si="32"/>
        <v/>
      </c>
      <c r="E270" s="9"/>
      <c r="F270" s="31"/>
      <c r="G270" s="11"/>
      <c r="H270" s="11"/>
      <c r="I270" s="9"/>
      <c r="J270" s="12" t="str">
        <f t="shared" si="33"/>
        <v/>
      </c>
      <c r="K270" s="9"/>
      <c r="L270" s="31"/>
      <c r="M270" s="9"/>
      <c r="N270" s="9"/>
      <c r="O270" s="12" t="str">
        <f t="shared" si="34"/>
        <v/>
      </c>
      <c r="P270" s="12" t="str">
        <f t="shared" si="35"/>
        <v/>
      </c>
      <c r="Q270" s="12" t="str">
        <f t="shared" si="36"/>
        <v/>
      </c>
      <c r="R270" s="9"/>
      <c r="S270" s="31"/>
      <c r="T270" s="8" t="str">
        <f t="shared" si="37"/>
        <v/>
      </c>
      <c r="U270" s="8">
        <f t="shared" si="38"/>
        <v>0</v>
      </c>
      <c r="V270" s="8">
        <f>IF(B270="",0,IF(SUMPRODUCT(--(B$4:B270=B270))&gt;1,1,0))</f>
        <v>0</v>
      </c>
      <c r="W270" s="8">
        <f t="shared" si="39"/>
        <v>0</v>
      </c>
    </row>
    <row r="271" spans="1:23" x14ac:dyDescent="0.25">
      <c r="A271" s="8">
        <v>268</v>
      </c>
      <c r="B271" s="9"/>
      <c r="C271" s="9"/>
      <c r="D271" s="33" t="str">
        <f t="shared" si="32"/>
        <v/>
      </c>
      <c r="E271" s="9"/>
      <c r="F271" s="31"/>
      <c r="G271" s="11"/>
      <c r="H271" s="11"/>
      <c r="I271" s="9"/>
      <c r="J271" s="12" t="str">
        <f t="shared" si="33"/>
        <v/>
      </c>
      <c r="K271" s="9"/>
      <c r="L271" s="31"/>
      <c r="M271" s="9"/>
      <c r="N271" s="9"/>
      <c r="O271" s="12" t="str">
        <f t="shared" si="34"/>
        <v/>
      </c>
      <c r="P271" s="12" t="str">
        <f t="shared" si="35"/>
        <v/>
      </c>
      <c r="Q271" s="12" t="str">
        <f t="shared" si="36"/>
        <v/>
      </c>
      <c r="R271" s="9"/>
      <c r="S271" s="31"/>
      <c r="T271" s="8" t="str">
        <f t="shared" si="37"/>
        <v/>
      </c>
      <c r="U271" s="8">
        <f t="shared" si="38"/>
        <v>0</v>
      </c>
      <c r="V271" s="8">
        <f>IF(B271="",0,IF(SUMPRODUCT(--(B$4:B271=B271))&gt;1,1,0))</f>
        <v>0</v>
      </c>
      <c r="W271" s="8">
        <f t="shared" si="39"/>
        <v>0</v>
      </c>
    </row>
    <row r="272" spans="1:23" x14ac:dyDescent="0.25">
      <c r="A272" s="8">
        <v>269</v>
      </c>
      <c r="B272" s="9"/>
      <c r="C272" s="9"/>
      <c r="D272" s="33" t="str">
        <f t="shared" si="32"/>
        <v/>
      </c>
      <c r="E272" s="9"/>
      <c r="F272" s="31"/>
      <c r="G272" s="11"/>
      <c r="H272" s="11"/>
      <c r="I272" s="9"/>
      <c r="J272" s="12" t="str">
        <f t="shared" si="33"/>
        <v/>
      </c>
      <c r="K272" s="9"/>
      <c r="L272" s="31"/>
      <c r="M272" s="9"/>
      <c r="N272" s="9"/>
      <c r="O272" s="12" t="str">
        <f t="shared" si="34"/>
        <v/>
      </c>
      <c r="P272" s="12" t="str">
        <f t="shared" si="35"/>
        <v/>
      </c>
      <c r="Q272" s="12" t="str">
        <f t="shared" si="36"/>
        <v/>
      </c>
      <c r="R272" s="9"/>
      <c r="S272" s="31"/>
      <c r="T272" s="8" t="str">
        <f t="shared" si="37"/>
        <v/>
      </c>
      <c r="U272" s="8">
        <f t="shared" si="38"/>
        <v>0</v>
      </c>
      <c r="V272" s="8">
        <f>IF(B272="",0,IF(SUMPRODUCT(--(B$4:B272=B272))&gt;1,1,0))</f>
        <v>0</v>
      </c>
      <c r="W272" s="8">
        <f t="shared" si="39"/>
        <v>0</v>
      </c>
    </row>
    <row r="273" spans="1:23" x14ac:dyDescent="0.25">
      <c r="A273" s="8">
        <v>270</v>
      </c>
      <c r="B273" s="9"/>
      <c r="C273" s="9"/>
      <c r="D273" s="33" t="str">
        <f t="shared" si="32"/>
        <v/>
      </c>
      <c r="E273" s="9"/>
      <c r="F273" s="31"/>
      <c r="G273" s="11"/>
      <c r="H273" s="11"/>
      <c r="I273" s="9"/>
      <c r="J273" s="12" t="str">
        <f t="shared" si="33"/>
        <v/>
      </c>
      <c r="K273" s="9"/>
      <c r="L273" s="31"/>
      <c r="M273" s="9"/>
      <c r="N273" s="9"/>
      <c r="O273" s="12" t="str">
        <f t="shared" si="34"/>
        <v/>
      </c>
      <c r="P273" s="12" t="str">
        <f t="shared" si="35"/>
        <v/>
      </c>
      <c r="Q273" s="12" t="str">
        <f t="shared" si="36"/>
        <v/>
      </c>
      <c r="R273" s="9"/>
      <c r="S273" s="31"/>
      <c r="T273" s="8" t="str">
        <f t="shared" si="37"/>
        <v/>
      </c>
      <c r="U273" s="8">
        <f t="shared" si="38"/>
        <v>0</v>
      </c>
      <c r="V273" s="8">
        <f>IF(B273="",0,IF(SUMPRODUCT(--(B$4:B273=B273))&gt;1,1,0))</f>
        <v>0</v>
      </c>
      <c r="W273" s="8">
        <f t="shared" si="39"/>
        <v>0</v>
      </c>
    </row>
    <row r="274" spans="1:23" x14ac:dyDescent="0.25">
      <c r="A274" s="8">
        <v>271</v>
      </c>
      <c r="B274" s="9"/>
      <c r="C274" s="9"/>
      <c r="D274" s="33" t="str">
        <f t="shared" si="32"/>
        <v/>
      </c>
      <c r="E274" s="9"/>
      <c r="F274" s="31"/>
      <c r="G274" s="11"/>
      <c r="H274" s="11"/>
      <c r="I274" s="9"/>
      <c r="J274" s="12" t="str">
        <f t="shared" si="33"/>
        <v/>
      </c>
      <c r="K274" s="9"/>
      <c r="L274" s="31"/>
      <c r="M274" s="9"/>
      <c r="N274" s="9"/>
      <c r="O274" s="12" t="str">
        <f t="shared" si="34"/>
        <v/>
      </c>
      <c r="P274" s="12" t="str">
        <f t="shared" si="35"/>
        <v/>
      </c>
      <c r="Q274" s="12" t="str">
        <f t="shared" si="36"/>
        <v/>
      </c>
      <c r="R274" s="9"/>
      <c r="S274" s="31"/>
      <c r="T274" s="8" t="str">
        <f t="shared" si="37"/>
        <v/>
      </c>
      <c r="U274" s="8">
        <f t="shared" si="38"/>
        <v>0</v>
      </c>
      <c r="V274" s="8">
        <f>IF(B274="",0,IF(SUMPRODUCT(--(B$4:B274=B274))&gt;1,1,0))</f>
        <v>0</v>
      </c>
      <c r="W274" s="8">
        <f t="shared" si="39"/>
        <v>0</v>
      </c>
    </row>
    <row r="275" spans="1:23" x14ac:dyDescent="0.25">
      <c r="A275" s="8">
        <v>272</v>
      </c>
      <c r="B275" s="9"/>
      <c r="C275" s="9"/>
      <c r="D275" s="33" t="str">
        <f t="shared" si="32"/>
        <v/>
      </c>
      <c r="E275" s="9"/>
      <c r="F275" s="31"/>
      <c r="G275" s="11"/>
      <c r="H275" s="11"/>
      <c r="I275" s="9"/>
      <c r="J275" s="12" t="str">
        <f t="shared" si="33"/>
        <v/>
      </c>
      <c r="K275" s="9"/>
      <c r="L275" s="31"/>
      <c r="M275" s="9"/>
      <c r="N275" s="9"/>
      <c r="O275" s="12" t="str">
        <f t="shared" si="34"/>
        <v/>
      </c>
      <c r="P275" s="12" t="str">
        <f t="shared" si="35"/>
        <v/>
      </c>
      <c r="Q275" s="12" t="str">
        <f t="shared" si="36"/>
        <v/>
      </c>
      <c r="R275" s="9"/>
      <c r="S275" s="31"/>
      <c r="T275" s="8" t="str">
        <f t="shared" si="37"/>
        <v/>
      </c>
      <c r="U275" s="8">
        <f t="shared" si="38"/>
        <v>0</v>
      </c>
      <c r="V275" s="8">
        <f>IF(B275="",0,IF(SUMPRODUCT(--(B$4:B275=B275))&gt;1,1,0))</f>
        <v>0</v>
      </c>
      <c r="W275" s="8">
        <f t="shared" si="39"/>
        <v>0</v>
      </c>
    </row>
    <row r="276" spans="1:23" x14ac:dyDescent="0.25">
      <c r="A276" s="8">
        <v>273</v>
      </c>
      <c r="B276" s="9"/>
      <c r="C276" s="9"/>
      <c r="D276" s="33" t="str">
        <f t="shared" si="32"/>
        <v/>
      </c>
      <c r="E276" s="9"/>
      <c r="F276" s="31"/>
      <c r="G276" s="11"/>
      <c r="H276" s="11"/>
      <c r="I276" s="9"/>
      <c r="J276" s="12" t="str">
        <f t="shared" si="33"/>
        <v/>
      </c>
      <c r="K276" s="9"/>
      <c r="L276" s="31"/>
      <c r="M276" s="9"/>
      <c r="N276" s="9"/>
      <c r="O276" s="12" t="str">
        <f t="shared" si="34"/>
        <v/>
      </c>
      <c r="P276" s="12" t="str">
        <f t="shared" si="35"/>
        <v/>
      </c>
      <c r="Q276" s="12" t="str">
        <f t="shared" si="36"/>
        <v/>
      </c>
      <c r="R276" s="9"/>
      <c r="S276" s="31"/>
      <c r="T276" s="8" t="str">
        <f t="shared" si="37"/>
        <v/>
      </c>
      <c r="U276" s="8">
        <f t="shared" si="38"/>
        <v>0</v>
      </c>
      <c r="V276" s="8">
        <f>IF(B276="",0,IF(SUMPRODUCT(--(B$4:B276=B276))&gt;1,1,0))</f>
        <v>0</v>
      </c>
      <c r="W276" s="8">
        <f t="shared" si="39"/>
        <v>0</v>
      </c>
    </row>
    <row r="277" spans="1:23" x14ac:dyDescent="0.25">
      <c r="A277" s="8">
        <v>274</v>
      </c>
      <c r="B277" s="9"/>
      <c r="C277" s="9"/>
      <c r="D277" s="33" t="str">
        <f t="shared" si="32"/>
        <v/>
      </c>
      <c r="E277" s="9"/>
      <c r="F277" s="31"/>
      <c r="G277" s="11"/>
      <c r="H277" s="11"/>
      <c r="I277" s="9"/>
      <c r="J277" s="12" t="str">
        <f t="shared" si="33"/>
        <v/>
      </c>
      <c r="K277" s="9"/>
      <c r="L277" s="31"/>
      <c r="M277" s="9"/>
      <c r="N277" s="9"/>
      <c r="O277" s="12" t="str">
        <f t="shared" si="34"/>
        <v/>
      </c>
      <c r="P277" s="12" t="str">
        <f t="shared" si="35"/>
        <v/>
      </c>
      <c r="Q277" s="12" t="str">
        <f t="shared" si="36"/>
        <v/>
      </c>
      <c r="R277" s="9"/>
      <c r="S277" s="31"/>
      <c r="T277" s="8" t="str">
        <f t="shared" si="37"/>
        <v/>
      </c>
      <c r="U277" s="8">
        <f t="shared" si="38"/>
        <v>0</v>
      </c>
      <c r="V277" s="8">
        <f>IF(B277="",0,IF(SUMPRODUCT(--(B$4:B277=B277))&gt;1,1,0))</f>
        <v>0</v>
      </c>
      <c r="W277" s="8">
        <f t="shared" si="39"/>
        <v>0</v>
      </c>
    </row>
    <row r="278" spans="1:23" x14ac:dyDescent="0.25">
      <c r="A278" s="8">
        <v>275</v>
      </c>
      <c r="B278" s="9"/>
      <c r="C278" s="9"/>
      <c r="D278" s="33" t="str">
        <f t="shared" si="32"/>
        <v/>
      </c>
      <c r="E278" s="9"/>
      <c r="F278" s="31"/>
      <c r="G278" s="11"/>
      <c r="H278" s="11"/>
      <c r="I278" s="9"/>
      <c r="J278" s="12" t="str">
        <f t="shared" si="33"/>
        <v/>
      </c>
      <c r="K278" s="9"/>
      <c r="L278" s="31"/>
      <c r="M278" s="9"/>
      <c r="N278" s="9"/>
      <c r="O278" s="12" t="str">
        <f t="shared" si="34"/>
        <v/>
      </c>
      <c r="P278" s="12" t="str">
        <f t="shared" si="35"/>
        <v/>
      </c>
      <c r="Q278" s="12" t="str">
        <f t="shared" si="36"/>
        <v/>
      </c>
      <c r="R278" s="9"/>
      <c r="S278" s="31"/>
      <c r="T278" s="8" t="str">
        <f t="shared" si="37"/>
        <v/>
      </c>
      <c r="U278" s="8">
        <f t="shared" si="38"/>
        <v>0</v>
      </c>
      <c r="V278" s="8">
        <f>IF(B278="",0,IF(SUMPRODUCT(--(B$4:B278=B278))&gt;1,1,0))</f>
        <v>0</v>
      </c>
      <c r="W278" s="8">
        <f t="shared" si="39"/>
        <v>0</v>
      </c>
    </row>
    <row r="279" spans="1:23" x14ac:dyDescent="0.25">
      <c r="A279" s="8">
        <v>276</v>
      </c>
      <c r="B279" s="9"/>
      <c r="C279" s="9"/>
      <c r="D279" s="33" t="str">
        <f t="shared" si="32"/>
        <v/>
      </c>
      <c r="E279" s="9"/>
      <c r="F279" s="31"/>
      <c r="G279" s="11"/>
      <c r="H279" s="11"/>
      <c r="I279" s="9"/>
      <c r="J279" s="12" t="str">
        <f t="shared" si="33"/>
        <v/>
      </c>
      <c r="K279" s="9"/>
      <c r="L279" s="31"/>
      <c r="M279" s="9"/>
      <c r="N279" s="9"/>
      <c r="O279" s="12" t="str">
        <f t="shared" si="34"/>
        <v/>
      </c>
      <c r="P279" s="12" t="str">
        <f t="shared" si="35"/>
        <v/>
      </c>
      <c r="Q279" s="12" t="str">
        <f t="shared" si="36"/>
        <v/>
      </c>
      <c r="R279" s="9"/>
      <c r="S279" s="31"/>
      <c r="T279" s="8" t="str">
        <f t="shared" si="37"/>
        <v/>
      </c>
      <c r="U279" s="8">
        <f t="shared" si="38"/>
        <v>0</v>
      </c>
      <c r="V279" s="8">
        <f>IF(B279="",0,IF(SUMPRODUCT(--(B$4:B279=B279))&gt;1,1,0))</f>
        <v>0</v>
      </c>
      <c r="W279" s="8">
        <f t="shared" si="39"/>
        <v>0</v>
      </c>
    </row>
    <row r="280" spans="1:23" x14ac:dyDescent="0.25">
      <c r="A280" s="8">
        <v>277</v>
      </c>
      <c r="B280" s="9"/>
      <c r="C280" s="9"/>
      <c r="D280" s="33" t="str">
        <f t="shared" si="32"/>
        <v/>
      </c>
      <c r="E280" s="9"/>
      <c r="F280" s="31"/>
      <c r="G280" s="11"/>
      <c r="H280" s="11"/>
      <c r="I280" s="9"/>
      <c r="J280" s="12" t="str">
        <f t="shared" si="33"/>
        <v/>
      </c>
      <c r="K280" s="9"/>
      <c r="L280" s="31"/>
      <c r="M280" s="9"/>
      <c r="N280" s="9"/>
      <c r="O280" s="12" t="str">
        <f t="shared" si="34"/>
        <v/>
      </c>
      <c r="P280" s="12" t="str">
        <f t="shared" si="35"/>
        <v/>
      </c>
      <c r="Q280" s="12" t="str">
        <f t="shared" si="36"/>
        <v/>
      </c>
      <c r="R280" s="9"/>
      <c r="S280" s="31"/>
      <c r="T280" s="8" t="str">
        <f t="shared" si="37"/>
        <v/>
      </c>
      <c r="U280" s="8">
        <f t="shared" si="38"/>
        <v>0</v>
      </c>
      <c r="V280" s="8">
        <f>IF(B280="",0,IF(SUMPRODUCT(--(B$4:B280=B280))&gt;1,1,0))</f>
        <v>0</v>
      </c>
      <c r="W280" s="8">
        <f t="shared" si="39"/>
        <v>0</v>
      </c>
    </row>
    <row r="281" spans="1:23" x14ac:dyDescent="0.25">
      <c r="A281" s="8">
        <v>278</v>
      </c>
      <c r="B281" s="9"/>
      <c r="C281" s="9"/>
      <c r="D281" s="33" t="str">
        <f t="shared" si="32"/>
        <v/>
      </c>
      <c r="E281" s="9"/>
      <c r="F281" s="31"/>
      <c r="G281" s="11"/>
      <c r="H281" s="11"/>
      <c r="I281" s="9"/>
      <c r="J281" s="12" t="str">
        <f t="shared" si="33"/>
        <v/>
      </c>
      <c r="K281" s="9"/>
      <c r="L281" s="31"/>
      <c r="M281" s="9"/>
      <c r="N281" s="9"/>
      <c r="O281" s="12" t="str">
        <f t="shared" si="34"/>
        <v/>
      </c>
      <c r="P281" s="12" t="str">
        <f t="shared" si="35"/>
        <v/>
      </c>
      <c r="Q281" s="12" t="str">
        <f t="shared" si="36"/>
        <v/>
      </c>
      <c r="R281" s="9"/>
      <c r="S281" s="31"/>
      <c r="T281" s="8" t="str">
        <f t="shared" si="37"/>
        <v/>
      </c>
      <c r="U281" s="8">
        <f t="shared" si="38"/>
        <v>0</v>
      </c>
      <c r="V281" s="8">
        <f>IF(B281="",0,IF(SUMPRODUCT(--(B$4:B281=B281))&gt;1,1,0))</f>
        <v>0</v>
      </c>
      <c r="W281" s="8">
        <f t="shared" si="39"/>
        <v>0</v>
      </c>
    </row>
    <row r="282" spans="1:23" x14ac:dyDescent="0.25">
      <c r="A282" s="8">
        <v>279</v>
      </c>
      <c r="B282" s="9"/>
      <c r="C282" s="9"/>
      <c r="D282" s="33" t="str">
        <f t="shared" si="32"/>
        <v/>
      </c>
      <c r="E282" s="9"/>
      <c r="F282" s="31"/>
      <c r="G282" s="11"/>
      <c r="H282" s="11"/>
      <c r="I282" s="9"/>
      <c r="J282" s="12" t="str">
        <f t="shared" si="33"/>
        <v/>
      </c>
      <c r="K282" s="9"/>
      <c r="L282" s="31"/>
      <c r="M282" s="9"/>
      <c r="N282" s="9"/>
      <c r="O282" s="12" t="str">
        <f t="shared" si="34"/>
        <v/>
      </c>
      <c r="P282" s="12" t="str">
        <f t="shared" si="35"/>
        <v/>
      </c>
      <c r="Q282" s="12" t="str">
        <f t="shared" si="36"/>
        <v/>
      </c>
      <c r="R282" s="9"/>
      <c r="S282" s="31"/>
      <c r="T282" s="8" t="str">
        <f t="shared" si="37"/>
        <v/>
      </c>
      <c r="U282" s="8">
        <f t="shared" si="38"/>
        <v>0</v>
      </c>
      <c r="V282" s="8">
        <f>IF(B282="",0,IF(SUMPRODUCT(--(B$4:B282=B282))&gt;1,1,0))</f>
        <v>0</v>
      </c>
      <c r="W282" s="8">
        <f t="shared" si="39"/>
        <v>0</v>
      </c>
    </row>
    <row r="283" spans="1:23" x14ac:dyDescent="0.25">
      <c r="A283" s="8">
        <v>280</v>
      </c>
      <c r="B283" s="9"/>
      <c r="C283" s="9"/>
      <c r="D283" s="33" t="str">
        <f t="shared" si="32"/>
        <v/>
      </c>
      <c r="E283" s="9"/>
      <c r="F283" s="31"/>
      <c r="G283" s="11"/>
      <c r="H283" s="11"/>
      <c r="I283" s="9"/>
      <c r="J283" s="12" t="str">
        <f t="shared" si="33"/>
        <v/>
      </c>
      <c r="K283" s="9"/>
      <c r="L283" s="31"/>
      <c r="M283" s="9"/>
      <c r="N283" s="9"/>
      <c r="O283" s="12" t="str">
        <f t="shared" si="34"/>
        <v/>
      </c>
      <c r="P283" s="12" t="str">
        <f t="shared" si="35"/>
        <v/>
      </c>
      <c r="Q283" s="12" t="str">
        <f t="shared" si="36"/>
        <v/>
      </c>
      <c r="R283" s="9"/>
      <c r="S283" s="31"/>
      <c r="T283" s="8" t="str">
        <f t="shared" si="37"/>
        <v/>
      </c>
      <c r="U283" s="8">
        <f t="shared" si="38"/>
        <v>0</v>
      </c>
      <c r="V283" s="8">
        <f>IF(B283="",0,IF(SUMPRODUCT(--(B$4:B283=B283))&gt;1,1,0))</f>
        <v>0</v>
      </c>
      <c r="W283" s="8">
        <f t="shared" si="39"/>
        <v>0</v>
      </c>
    </row>
    <row r="284" spans="1:23" x14ac:dyDescent="0.25">
      <c r="A284" s="8">
        <v>281</v>
      </c>
      <c r="B284" s="9"/>
      <c r="C284" s="9"/>
      <c r="D284" s="33" t="str">
        <f t="shared" si="32"/>
        <v/>
      </c>
      <c r="E284" s="9"/>
      <c r="F284" s="31"/>
      <c r="G284" s="11"/>
      <c r="H284" s="11"/>
      <c r="I284" s="9"/>
      <c r="J284" s="12" t="str">
        <f t="shared" si="33"/>
        <v/>
      </c>
      <c r="K284" s="9"/>
      <c r="L284" s="31"/>
      <c r="M284" s="9"/>
      <c r="N284" s="9"/>
      <c r="O284" s="12" t="str">
        <f t="shared" si="34"/>
        <v/>
      </c>
      <c r="P284" s="12" t="str">
        <f t="shared" si="35"/>
        <v/>
      </c>
      <c r="Q284" s="12" t="str">
        <f t="shared" si="36"/>
        <v/>
      </c>
      <c r="R284" s="9"/>
      <c r="S284" s="31"/>
      <c r="T284" s="8" t="str">
        <f t="shared" si="37"/>
        <v/>
      </c>
      <c r="U284" s="8">
        <f t="shared" si="38"/>
        <v>0</v>
      </c>
      <c r="V284" s="8">
        <f>IF(B284="",0,IF(SUMPRODUCT(--(B$4:B284=B284))&gt;1,1,0))</f>
        <v>0</v>
      </c>
      <c r="W284" s="8">
        <f t="shared" si="39"/>
        <v>0</v>
      </c>
    </row>
    <row r="285" spans="1:23" x14ac:dyDescent="0.25">
      <c r="A285" s="8">
        <v>282</v>
      </c>
      <c r="B285" s="9"/>
      <c r="C285" s="9"/>
      <c r="D285" s="33" t="str">
        <f t="shared" si="32"/>
        <v/>
      </c>
      <c r="E285" s="9"/>
      <c r="F285" s="31"/>
      <c r="G285" s="11"/>
      <c r="H285" s="11"/>
      <c r="I285" s="9"/>
      <c r="J285" s="12" t="str">
        <f t="shared" si="33"/>
        <v/>
      </c>
      <c r="K285" s="9"/>
      <c r="L285" s="31"/>
      <c r="M285" s="9"/>
      <c r="N285" s="9"/>
      <c r="O285" s="12" t="str">
        <f t="shared" si="34"/>
        <v/>
      </c>
      <c r="P285" s="12" t="str">
        <f t="shared" si="35"/>
        <v/>
      </c>
      <c r="Q285" s="12" t="str">
        <f t="shared" si="36"/>
        <v/>
      </c>
      <c r="R285" s="9"/>
      <c r="S285" s="31"/>
      <c r="T285" s="8" t="str">
        <f t="shared" si="37"/>
        <v/>
      </c>
      <c r="U285" s="8">
        <f t="shared" si="38"/>
        <v>0</v>
      </c>
      <c r="V285" s="8">
        <f>IF(B285="",0,IF(SUMPRODUCT(--(B$4:B285=B285))&gt;1,1,0))</f>
        <v>0</v>
      </c>
      <c r="W285" s="8">
        <f t="shared" si="39"/>
        <v>0</v>
      </c>
    </row>
    <row r="286" spans="1:23" x14ac:dyDescent="0.25">
      <c r="A286" s="8">
        <v>283</v>
      </c>
      <c r="B286" s="9"/>
      <c r="C286" s="9"/>
      <c r="D286" s="33" t="str">
        <f t="shared" si="32"/>
        <v/>
      </c>
      <c r="E286" s="9"/>
      <c r="F286" s="31"/>
      <c r="G286" s="11"/>
      <c r="H286" s="11"/>
      <c r="I286" s="9"/>
      <c r="J286" s="12" t="str">
        <f t="shared" si="33"/>
        <v/>
      </c>
      <c r="K286" s="9"/>
      <c r="L286" s="31"/>
      <c r="M286" s="9"/>
      <c r="N286" s="9"/>
      <c r="O286" s="12" t="str">
        <f t="shared" si="34"/>
        <v/>
      </c>
      <c r="P286" s="12" t="str">
        <f t="shared" si="35"/>
        <v/>
      </c>
      <c r="Q286" s="12" t="str">
        <f t="shared" si="36"/>
        <v/>
      </c>
      <c r="R286" s="9"/>
      <c r="S286" s="31"/>
      <c r="T286" s="8" t="str">
        <f t="shared" si="37"/>
        <v/>
      </c>
      <c r="U286" s="8">
        <f t="shared" si="38"/>
        <v>0</v>
      </c>
      <c r="V286" s="8">
        <f>IF(B286="",0,IF(SUMPRODUCT(--(B$4:B286=B286))&gt;1,1,0))</f>
        <v>0</v>
      </c>
      <c r="W286" s="8">
        <f t="shared" si="39"/>
        <v>0</v>
      </c>
    </row>
    <row r="287" spans="1:23" x14ac:dyDescent="0.25">
      <c r="A287" s="8">
        <v>284</v>
      </c>
      <c r="B287" s="9"/>
      <c r="C287" s="9"/>
      <c r="D287" s="33" t="str">
        <f t="shared" si="32"/>
        <v/>
      </c>
      <c r="E287" s="9"/>
      <c r="F287" s="31"/>
      <c r="G287" s="11"/>
      <c r="H287" s="11"/>
      <c r="I287" s="9"/>
      <c r="J287" s="12" t="str">
        <f t="shared" si="33"/>
        <v/>
      </c>
      <c r="K287" s="9"/>
      <c r="L287" s="31"/>
      <c r="M287" s="9"/>
      <c r="N287" s="9"/>
      <c r="O287" s="12" t="str">
        <f t="shared" si="34"/>
        <v/>
      </c>
      <c r="P287" s="12" t="str">
        <f t="shared" si="35"/>
        <v/>
      </c>
      <c r="Q287" s="12" t="str">
        <f t="shared" si="36"/>
        <v/>
      </c>
      <c r="R287" s="9"/>
      <c r="S287" s="31"/>
      <c r="T287" s="8" t="str">
        <f t="shared" si="37"/>
        <v/>
      </c>
      <c r="U287" s="8">
        <f t="shared" si="38"/>
        <v>0</v>
      </c>
      <c r="V287" s="8">
        <f>IF(B287="",0,IF(SUMPRODUCT(--(B$4:B287=B287))&gt;1,1,0))</f>
        <v>0</v>
      </c>
      <c r="W287" s="8">
        <f t="shared" si="39"/>
        <v>0</v>
      </c>
    </row>
    <row r="288" spans="1:23" x14ac:dyDescent="0.25">
      <c r="A288" s="8">
        <v>285</v>
      </c>
      <c r="B288" s="9"/>
      <c r="C288" s="9"/>
      <c r="D288" s="33" t="str">
        <f t="shared" si="32"/>
        <v/>
      </c>
      <c r="E288" s="9"/>
      <c r="F288" s="31"/>
      <c r="G288" s="11"/>
      <c r="H288" s="11"/>
      <c r="I288" s="9"/>
      <c r="J288" s="12" t="str">
        <f t="shared" si="33"/>
        <v/>
      </c>
      <c r="K288" s="9"/>
      <c r="L288" s="31"/>
      <c r="M288" s="9"/>
      <c r="N288" s="9"/>
      <c r="O288" s="12" t="str">
        <f t="shared" si="34"/>
        <v/>
      </c>
      <c r="P288" s="12" t="str">
        <f t="shared" si="35"/>
        <v/>
      </c>
      <c r="Q288" s="12" t="str">
        <f t="shared" si="36"/>
        <v/>
      </c>
      <c r="R288" s="9"/>
      <c r="S288" s="31"/>
      <c r="T288" s="8" t="str">
        <f t="shared" si="37"/>
        <v/>
      </c>
      <c r="U288" s="8">
        <f t="shared" si="38"/>
        <v>0</v>
      </c>
      <c r="V288" s="8">
        <f>IF(B288="",0,IF(SUMPRODUCT(--(B$4:B288=B288))&gt;1,1,0))</f>
        <v>0</v>
      </c>
      <c r="W288" s="8">
        <f t="shared" si="39"/>
        <v>0</v>
      </c>
    </row>
    <row r="289" spans="1:23" x14ac:dyDescent="0.25">
      <c r="A289" s="8">
        <v>286</v>
      </c>
      <c r="B289" s="9"/>
      <c r="C289" s="9"/>
      <c r="D289" s="33" t="str">
        <f t="shared" si="32"/>
        <v/>
      </c>
      <c r="E289" s="9"/>
      <c r="F289" s="31"/>
      <c r="G289" s="11"/>
      <c r="H289" s="11"/>
      <c r="I289" s="9"/>
      <c r="J289" s="12" t="str">
        <f t="shared" si="33"/>
        <v/>
      </c>
      <c r="K289" s="9"/>
      <c r="L289" s="31"/>
      <c r="M289" s="9"/>
      <c r="N289" s="9"/>
      <c r="O289" s="12" t="str">
        <f t="shared" si="34"/>
        <v/>
      </c>
      <c r="P289" s="12" t="str">
        <f t="shared" si="35"/>
        <v/>
      </c>
      <c r="Q289" s="12" t="str">
        <f t="shared" si="36"/>
        <v/>
      </c>
      <c r="R289" s="9"/>
      <c r="S289" s="31"/>
      <c r="T289" s="8" t="str">
        <f t="shared" si="37"/>
        <v/>
      </c>
      <c r="U289" s="8">
        <f t="shared" si="38"/>
        <v>0</v>
      </c>
      <c r="V289" s="8">
        <f>IF(B289="",0,IF(SUMPRODUCT(--(B$4:B289=B289))&gt;1,1,0))</f>
        <v>0</v>
      </c>
      <c r="W289" s="8">
        <f t="shared" si="39"/>
        <v>0</v>
      </c>
    </row>
    <row r="290" spans="1:23" x14ac:dyDescent="0.25">
      <c r="A290" s="8">
        <v>287</v>
      </c>
      <c r="B290" s="9"/>
      <c r="C290" s="9"/>
      <c r="D290" s="33" t="str">
        <f t="shared" si="32"/>
        <v/>
      </c>
      <c r="E290" s="9"/>
      <c r="F290" s="31"/>
      <c r="G290" s="11"/>
      <c r="H290" s="11"/>
      <c r="I290" s="9"/>
      <c r="J290" s="12" t="str">
        <f t="shared" si="33"/>
        <v/>
      </c>
      <c r="K290" s="9"/>
      <c r="L290" s="31"/>
      <c r="M290" s="9"/>
      <c r="N290" s="9"/>
      <c r="O290" s="12" t="str">
        <f t="shared" si="34"/>
        <v/>
      </c>
      <c r="P290" s="12" t="str">
        <f t="shared" si="35"/>
        <v/>
      </c>
      <c r="Q290" s="12" t="str">
        <f t="shared" si="36"/>
        <v/>
      </c>
      <c r="R290" s="9"/>
      <c r="S290" s="31"/>
      <c r="T290" s="8" t="str">
        <f t="shared" si="37"/>
        <v/>
      </c>
      <c r="U290" s="8">
        <f t="shared" si="38"/>
        <v>0</v>
      </c>
      <c r="V290" s="8">
        <f>IF(B290="",0,IF(SUMPRODUCT(--(B$4:B290=B290))&gt;1,1,0))</f>
        <v>0</v>
      </c>
      <c r="W290" s="8">
        <f t="shared" si="39"/>
        <v>0</v>
      </c>
    </row>
    <row r="291" spans="1:23" x14ac:dyDescent="0.25">
      <c r="A291" s="8">
        <v>288</v>
      </c>
      <c r="B291" s="9"/>
      <c r="C291" s="9"/>
      <c r="D291" s="33" t="str">
        <f t="shared" si="32"/>
        <v/>
      </c>
      <c r="E291" s="9"/>
      <c r="F291" s="31"/>
      <c r="G291" s="11"/>
      <c r="H291" s="11"/>
      <c r="I291" s="9"/>
      <c r="J291" s="12" t="str">
        <f t="shared" si="33"/>
        <v/>
      </c>
      <c r="K291" s="9"/>
      <c r="L291" s="31"/>
      <c r="M291" s="9"/>
      <c r="N291" s="9"/>
      <c r="O291" s="12" t="str">
        <f t="shared" si="34"/>
        <v/>
      </c>
      <c r="P291" s="12" t="str">
        <f t="shared" si="35"/>
        <v/>
      </c>
      <c r="Q291" s="12" t="str">
        <f t="shared" si="36"/>
        <v/>
      </c>
      <c r="R291" s="9"/>
      <c r="S291" s="31"/>
      <c r="T291" s="8" t="str">
        <f t="shared" si="37"/>
        <v/>
      </c>
      <c r="U291" s="8">
        <f t="shared" si="38"/>
        <v>0</v>
      </c>
      <c r="V291" s="8">
        <f>IF(B291="",0,IF(SUMPRODUCT(--(B$4:B291=B291))&gt;1,1,0))</f>
        <v>0</v>
      </c>
      <c r="W291" s="8">
        <f t="shared" si="39"/>
        <v>0</v>
      </c>
    </row>
    <row r="292" spans="1:23" x14ac:dyDescent="0.25">
      <c r="A292" s="8">
        <v>289</v>
      </c>
      <c r="B292" s="9"/>
      <c r="C292" s="9"/>
      <c r="D292" s="33" t="str">
        <f t="shared" si="32"/>
        <v/>
      </c>
      <c r="E292" s="9"/>
      <c r="F292" s="31"/>
      <c r="G292" s="11"/>
      <c r="H292" s="11"/>
      <c r="I292" s="9"/>
      <c r="J292" s="12" t="str">
        <f t="shared" si="33"/>
        <v/>
      </c>
      <c r="K292" s="9"/>
      <c r="L292" s="31"/>
      <c r="M292" s="9"/>
      <c r="N292" s="9"/>
      <c r="O292" s="12" t="str">
        <f t="shared" si="34"/>
        <v/>
      </c>
      <c r="P292" s="12" t="str">
        <f t="shared" si="35"/>
        <v/>
      </c>
      <c r="Q292" s="12" t="str">
        <f t="shared" si="36"/>
        <v/>
      </c>
      <c r="R292" s="9"/>
      <c r="S292" s="31"/>
      <c r="T292" s="8" t="str">
        <f t="shared" si="37"/>
        <v/>
      </c>
      <c r="U292" s="8">
        <f t="shared" si="38"/>
        <v>0</v>
      </c>
      <c r="V292" s="8">
        <f>IF(B292="",0,IF(SUMPRODUCT(--(B$4:B292=B292))&gt;1,1,0))</f>
        <v>0</v>
      </c>
      <c r="W292" s="8">
        <f t="shared" si="39"/>
        <v>0</v>
      </c>
    </row>
    <row r="293" spans="1:23" x14ac:dyDescent="0.25">
      <c r="A293" s="8">
        <v>290</v>
      </c>
      <c r="B293" s="9"/>
      <c r="C293" s="9"/>
      <c r="D293" s="33" t="str">
        <f t="shared" si="32"/>
        <v/>
      </c>
      <c r="E293" s="9"/>
      <c r="F293" s="31"/>
      <c r="G293" s="11"/>
      <c r="H293" s="11"/>
      <c r="I293" s="9"/>
      <c r="J293" s="12" t="str">
        <f t="shared" si="33"/>
        <v/>
      </c>
      <c r="K293" s="9"/>
      <c r="L293" s="31"/>
      <c r="M293" s="9"/>
      <c r="N293" s="9"/>
      <c r="O293" s="12" t="str">
        <f t="shared" si="34"/>
        <v/>
      </c>
      <c r="P293" s="12" t="str">
        <f t="shared" si="35"/>
        <v/>
      </c>
      <c r="Q293" s="12" t="str">
        <f t="shared" si="36"/>
        <v/>
      </c>
      <c r="R293" s="9"/>
      <c r="S293" s="31"/>
      <c r="T293" s="8" t="str">
        <f t="shared" si="37"/>
        <v/>
      </c>
      <c r="U293" s="8">
        <f t="shared" si="38"/>
        <v>0</v>
      </c>
      <c r="V293" s="8">
        <f>IF(B293="",0,IF(SUMPRODUCT(--(B$4:B293=B293))&gt;1,1,0))</f>
        <v>0</v>
      </c>
      <c r="W293" s="8">
        <f t="shared" si="39"/>
        <v>0</v>
      </c>
    </row>
    <row r="294" spans="1:23" x14ac:dyDescent="0.25">
      <c r="A294" s="8">
        <v>291</v>
      </c>
      <c r="B294" s="9"/>
      <c r="C294" s="9"/>
      <c r="D294" s="33" t="str">
        <f t="shared" si="32"/>
        <v/>
      </c>
      <c r="E294" s="9"/>
      <c r="F294" s="31"/>
      <c r="G294" s="11"/>
      <c r="H294" s="11"/>
      <c r="I294" s="9"/>
      <c r="J294" s="12" t="str">
        <f t="shared" si="33"/>
        <v/>
      </c>
      <c r="K294" s="9"/>
      <c r="L294" s="31"/>
      <c r="M294" s="9"/>
      <c r="N294" s="9"/>
      <c r="O294" s="12" t="str">
        <f t="shared" si="34"/>
        <v/>
      </c>
      <c r="P294" s="12" t="str">
        <f t="shared" si="35"/>
        <v/>
      </c>
      <c r="Q294" s="12" t="str">
        <f t="shared" si="36"/>
        <v/>
      </c>
      <c r="R294" s="9"/>
      <c r="S294" s="31"/>
      <c r="T294" s="8" t="str">
        <f t="shared" si="37"/>
        <v/>
      </c>
      <c r="U294" s="8">
        <f t="shared" si="38"/>
        <v>0</v>
      </c>
      <c r="V294" s="8">
        <f>IF(B294="",0,IF(SUMPRODUCT(--(B$4:B294=B294))&gt;1,1,0))</f>
        <v>0</v>
      </c>
      <c r="W294" s="8">
        <f t="shared" si="39"/>
        <v>0</v>
      </c>
    </row>
    <row r="295" spans="1:23" x14ac:dyDescent="0.25">
      <c r="A295" s="8">
        <v>292</v>
      </c>
      <c r="B295" s="9"/>
      <c r="C295" s="9"/>
      <c r="D295" s="33" t="str">
        <f t="shared" si="32"/>
        <v/>
      </c>
      <c r="E295" s="9"/>
      <c r="F295" s="31"/>
      <c r="G295" s="11"/>
      <c r="H295" s="11"/>
      <c r="I295" s="9"/>
      <c r="J295" s="12" t="str">
        <f t="shared" si="33"/>
        <v/>
      </c>
      <c r="K295" s="9"/>
      <c r="L295" s="31"/>
      <c r="M295" s="9"/>
      <c r="N295" s="9"/>
      <c r="O295" s="12" t="str">
        <f t="shared" si="34"/>
        <v/>
      </c>
      <c r="P295" s="12" t="str">
        <f t="shared" si="35"/>
        <v/>
      </c>
      <c r="Q295" s="12" t="str">
        <f t="shared" si="36"/>
        <v/>
      </c>
      <c r="R295" s="9"/>
      <c r="S295" s="31"/>
      <c r="T295" s="8" t="str">
        <f t="shared" si="37"/>
        <v/>
      </c>
      <c r="U295" s="8">
        <f t="shared" si="38"/>
        <v>0</v>
      </c>
      <c r="V295" s="8">
        <f>IF(B295="",0,IF(SUMPRODUCT(--(B$4:B295=B295))&gt;1,1,0))</f>
        <v>0</v>
      </c>
      <c r="W295" s="8">
        <f t="shared" si="39"/>
        <v>0</v>
      </c>
    </row>
    <row r="296" spans="1:23" x14ac:dyDescent="0.25">
      <c r="A296" s="8">
        <v>293</v>
      </c>
      <c r="B296" s="9"/>
      <c r="C296" s="9"/>
      <c r="D296" s="33" t="str">
        <f t="shared" si="32"/>
        <v/>
      </c>
      <c r="E296" s="9"/>
      <c r="F296" s="31"/>
      <c r="G296" s="11"/>
      <c r="H296" s="11"/>
      <c r="I296" s="9"/>
      <c r="J296" s="12" t="str">
        <f t="shared" si="33"/>
        <v/>
      </c>
      <c r="K296" s="9"/>
      <c r="L296" s="31"/>
      <c r="M296" s="9"/>
      <c r="N296" s="9"/>
      <c r="O296" s="12" t="str">
        <f t="shared" si="34"/>
        <v/>
      </c>
      <c r="P296" s="12" t="str">
        <f t="shared" si="35"/>
        <v/>
      </c>
      <c r="Q296" s="12" t="str">
        <f t="shared" si="36"/>
        <v/>
      </c>
      <c r="R296" s="9"/>
      <c r="S296" s="31"/>
      <c r="T296" s="8" t="str">
        <f t="shared" si="37"/>
        <v/>
      </c>
      <c r="U296" s="8">
        <f t="shared" si="38"/>
        <v>0</v>
      </c>
      <c r="V296" s="8">
        <f>IF(B296="",0,IF(SUMPRODUCT(--(B$4:B296=B296))&gt;1,1,0))</f>
        <v>0</v>
      </c>
      <c r="W296" s="8">
        <f t="shared" si="39"/>
        <v>0</v>
      </c>
    </row>
    <row r="297" spans="1:23" x14ac:dyDescent="0.25">
      <c r="A297" s="8">
        <v>294</v>
      </c>
      <c r="B297" s="9"/>
      <c r="C297" s="9"/>
      <c r="D297" s="33" t="str">
        <f t="shared" si="32"/>
        <v/>
      </c>
      <c r="E297" s="9"/>
      <c r="F297" s="31"/>
      <c r="G297" s="11"/>
      <c r="H297" s="11"/>
      <c r="I297" s="9"/>
      <c r="J297" s="12" t="str">
        <f t="shared" si="33"/>
        <v/>
      </c>
      <c r="K297" s="9"/>
      <c r="L297" s="31"/>
      <c r="M297" s="9"/>
      <c r="N297" s="9"/>
      <c r="O297" s="12" t="str">
        <f t="shared" si="34"/>
        <v/>
      </c>
      <c r="P297" s="12" t="str">
        <f t="shared" si="35"/>
        <v/>
      </c>
      <c r="Q297" s="12" t="str">
        <f t="shared" si="36"/>
        <v/>
      </c>
      <c r="R297" s="9"/>
      <c r="S297" s="31"/>
      <c r="T297" s="8" t="str">
        <f t="shared" si="37"/>
        <v/>
      </c>
      <c r="U297" s="8">
        <f t="shared" si="38"/>
        <v>0</v>
      </c>
      <c r="V297" s="8">
        <f>IF(B297="",0,IF(SUMPRODUCT(--(B$4:B297=B297))&gt;1,1,0))</f>
        <v>0</v>
      </c>
      <c r="W297" s="8">
        <f t="shared" si="39"/>
        <v>0</v>
      </c>
    </row>
    <row r="298" spans="1:23" x14ac:dyDescent="0.25">
      <c r="A298" s="8">
        <v>295</v>
      </c>
      <c r="B298" s="9"/>
      <c r="C298" s="9"/>
      <c r="D298" s="33" t="str">
        <f t="shared" si="32"/>
        <v/>
      </c>
      <c r="E298" s="9"/>
      <c r="F298" s="31"/>
      <c r="G298" s="11"/>
      <c r="H298" s="11"/>
      <c r="I298" s="9"/>
      <c r="J298" s="12" t="str">
        <f t="shared" si="33"/>
        <v/>
      </c>
      <c r="K298" s="9"/>
      <c r="L298" s="31"/>
      <c r="M298" s="9"/>
      <c r="N298" s="9"/>
      <c r="O298" s="12" t="str">
        <f t="shared" si="34"/>
        <v/>
      </c>
      <c r="P298" s="12" t="str">
        <f t="shared" si="35"/>
        <v/>
      </c>
      <c r="Q298" s="12" t="str">
        <f t="shared" si="36"/>
        <v/>
      </c>
      <c r="R298" s="9"/>
      <c r="S298" s="31"/>
      <c r="T298" s="8" t="str">
        <f t="shared" si="37"/>
        <v/>
      </c>
      <c r="U298" s="8">
        <f t="shared" si="38"/>
        <v>0</v>
      </c>
      <c r="V298" s="8">
        <f>IF(B298="",0,IF(SUMPRODUCT(--(B$4:B298=B298))&gt;1,1,0))</f>
        <v>0</v>
      </c>
      <c r="W298" s="8">
        <f t="shared" si="39"/>
        <v>0</v>
      </c>
    </row>
    <row r="299" spans="1:23" x14ac:dyDescent="0.25">
      <c r="A299" s="8">
        <v>296</v>
      </c>
      <c r="B299" s="9"/>
      <c r="C299" s="9"/>
      <c r="D299" s="33" t="str">
        <f t="shared" si="32"/>
        <v/>
      </c>
      <c r="E299" s="9"/>
      <c r="F299" s="31"/>
      <c r="G299" s="11"/>
      <c r="H299" s="11"/>
      <c r="I299" s="9"/>
      <c r="J299" s="12" t="str">
        <f t="shared" si="33"/>
        <v/>
      </c>
      <c r="K299" s="9"/>
      <c r="L299" s="31"/>
      <c r="M299" s="9"/>
      <c r="N299" s="9"/>
      <c r="O299" s="12" t="str">
        <f t="shared" si="34"/>
        <v/>
      </c>
      <c r="P299" s="12" t="str">
        <f t="shared" si="35"/>
        <v/>
      </c>
      <c r="Q299" s="12" t="str">
        <f t="shared" si="36"/>
        <v/>
      </c>
      <c r="R299" s="9"/>
      <c r="S299" s="31"/>
      <c r="T299" s="8" t="str">
        <f t="shared" si="37"/>
        <v/>
      </c>
      <c r="U299" s="8">
        <f t="shared" si="38"/>
        <v>0</v>
      </c>
      <c r="V299" s="8">
        <f>IF(B299="",0,IF(SUMPRODUCT(--(B$4:B299=B299))&gt;1,1,0))</f>
        <v>0</v>
      </c>
      <c r="W299" s="8">
        <f t="shared" si="39"/>
        <v>0</v>
      </c>
    </row>
    <row r="300" spans="1:23" x14ac:dyDescent="0.25">
      <c r="A300" s="8">
        <v>297</v>
      </c>
      <c r="B300" s="9"/>
      <c r="C300" s="9"/>
      <c r="D300" s="33" t="str">
        <f t="shared" si="32"/>
        <v/>
      </c>
      <c r="E300" s="9"/>
      <c r="F300" s="31"/>
      <c r="G300" s="11"/>
      <c r="H300" s="11"/>
      <c r="I300" s="9"/>
      <c r="J300" s="12" t="str">
        <f t="shared" si="33"/>
        <v/>
      </c>
      <c r="K300" s="9"/>
      <c r="L300" s="31"/>
      <c r="M300" s="9"/>
      <c r="N300" s="9"/>
      <c r="O300" s="12" t="str">
        <f t="shared" si="34"/>
        <v/>
      </c>
      <c r="P300" s="12" t="str">
        <f t="shared" si="35"/>
        <v/>
      </c>
      <c r="Q300" s="12" t="str">
        <f t="shared" si="36"/>
        <v/>
      </c>
      <c r="R300" s="9"/>
      <c r="S300" s="31"/>
      <c r="T300" s="8" t="str">
        <f t="shared" si="37"/>
        <v/>
      </c>
      <c r="U300" s="8">
        <f t="shared" si="38"/>
        <v>0</v>
      </c>
      <c r="V300" s="8">
        <f>IF(B300="",0,IF(SUMPRODUCT(--(B$4:B300=B300))&gt;1,1,0))</f>
        <v>0</v>
      </c>
      <c r="W300" s="8">
        <f t="shared" si="39"/>
        <v>0</v>
      </c>
    </row>
    <row r="301" spans="1:23" x14ac:dyDescent="0.25">
      <c r="A301" s="8">
        <v>298</v>
      </c>
      <c r="B301" s="9"/>
      <c r="C301" s="9"/>
      <c r="D301" s="33" t="str">
        <f t="shared" si="32"/>
        <v/>
      </c>
      <c r="E301" s="9"/>
      <c r="F301" s="31"/>
      <c r="G301" s="11"/>
      <c r="H301" s="11"/>
      <c r="I301" s="9"/>
      <c r="J301" s="12" t="str">
        <f t="shared" si="33"/>
        <v/>
      </c>
      <c r="K301" s="9"/>
      <c r="L301" s="31"/>
      <c r="M301" s="9"/>
      <c r="N301" s="9"/>
      <c r="O301" s="12" t="str">
        <f t="shared" si="34"/>
        <v/>
      </c>
      <c r="P301" s="12" t="str">
        <f t="shared" si="35"/>
        <v/>
      </c>
      <c r="Q301" s="12" t="str">
        <f t="shared" si="36"/>
        <v/>
      </c>
      <c r="R301" s="9"/>
      <c r="S301" s="31"/>
      <c r="T301" s="8" t="str">
        <f t="shared" si="37"/>
        <v/>
      </c>
      <c r="U301" s="8">
        <f t="shared" si="38"/>
        <v>0</v>
      </c>
      <c r="V301" s="8">
        <f>IF(B301="",0,IF(SUMPRODUCT(--(B$4:B301=B301))&gt;1,1,0))</f>
        <v>0</v>
      </c>
      <c r="W301" s="8">
        <f t="shared" si="39"/>
        <v>0</v>
      </c>
    </row>
    <row r="302" spans="1:23" x14ac:dyDescent="0.25">
      <c r="A302" s="8">
        <v>299</v>
      </c>
      <c r="B302" s="9"/>
      <c r="C302" s="9"/>
      <c r="D302" s="33" t="str">
        <f t="shared" si="32"/>
        <v/>
      </c>
      <c r="E302" s="9"/>
      <c r="F302" s="31"/>
      <c r="G302" s="11"/>
      <c r="H302" s="11"/>
      <c r="I302" s="9"/>
      <c r="J302" s="12" t="str">
        <f t="shared" si="33"/>
        <v/>
      </c>
      <c r="K302" s="9"/>
      <c r="L302" s="31"/>
      <c r="M302" s="9"/>
      <c r="N302" s="9"/>
      <c r="O302" s="12" t="str">
        <f t="shared" si="34"/>
        <v/>
      </c>
      <c r="P302" s="12" t="str">
        <f t="shared" si="35"/>
        <v/>
      </c>
      <c r="Q302" s="12" t="str">
        <f t="shared" si="36"/>
        <v/>
      </c>
      <c r="R302" s="9"/>
      <c r="S302" s="31"/>
      <c r="T302" s="8" t="str">
        <f t="shared" si="37"/>
        <v/>
      </c>
      <c r="U302" s="8">
        <f t="shared" si="38"/>
        <v>0</v>
      </c>
      <c r="V302" s="8">
        <f>IF(B302="",0,IF(SUMPRODUCT(--(B$4:B302=B302))&gt;1,1,0))</f>
        <v>0</v>
      </c>
      <c r="W302" s="8">
        <f t="shared" si="39"/>
        <v>0</v>
      </c>
    </row>
    <row r="303" spans="1:23" x14ac:dyDescent="0.25">
      <c r="A303" s="8">
        <v>300</v>
      </c>
      <c r="B303" s="9"/>
      <c r="C303" s="9"/>
      <c r="D303" s="33" t="str">
        <f t="shared" si="32"/>
        <v/>
      </c>
      <c r="E303" s="9"/>
      <c r="F303" s="31"/>
      <c r="G303" s="11"/>
      <c r="H303" s="11"/>
      <c r="I303" s="9"/>
      <c r="J303" s="12" t="str">
        <f t="shared" si="33"/>
        <v/>
      </c>
      <c r="K303" s="9"/>
      <c r="L303" s="31"/>
      <c r="M303" s="9"/>
      <c r="N303" s="9"/>
      <c r="O303" s="12" t="str">
        <f t="shared" si="34"/>
        <v/>
      </c>
      <c r="P303" s="12" t="str">
        <f t="shared" si="35"/>
        <v/>
      </c>
      <c r="Q303" s="12" t="str">
        <f t="shared" si="36"/>
        <v/>
      </c>
      <c r="R303" s="9"/>
      <c r="S303" s="31"/>
      <c r="T303" s="8" t="str">
        <f t="shared" si="37"/>
        <v/>
      </c>
      <c r="U303" s="8">
        <f t="shared" si="38"/>
        <v>0</v>
      </c>
      <c r="V303" s="8">
        <f>IF(B303="",0,IF(SUMPRODUCT(--(B$4:B303=B303))&gt;1,1,0))</f>
        <v>0</v>
      </c>
      <c r="W303" s="8">
        <f t="shared" si="39"/>
        <v>0</v>
      </c>
    </row>
  </sheetData>
  <sheetProtection sheet="1" formatCells="0" formatColumns="0" formatRows="0" sort="0" autoFilter="0"/>
  <autoFilter ref="A3:T303"/>
  <mergeCells count="2">
    <mergeCell ref="A1:T1"/>
    <mergeCell ref="A2:I2"/>
  </mergeCells>
  <conditionalFormatting sqref="T4:T303">
    <cfRule type="expression" dxfId="24" priority="1" stopIfTrue="1">
      <formula>OR($T4="مكتمل",$T4="مسجل")</formula>
    </cfRule>
    <cfRule type="expression" dxfId="23" priority="2" stopIfTrue="1">
      <formula>LEFT($T4,4)="ناقص"</formula>
    </cfRule>
    <cfRule type="expression" dxfId="22" priority="3" stopIfTrue="1">
      <formula>LEN($T4)&gt;0</formula>
    </cfRule>
  </conditionalFormatting>
  <dataValidations count="11">
    <dataValidation type="custom" allowBlank="1" showErrorMessage="1" errorTitle="كود مكرر" error="كود الفتحة مستخدم من قبل. لكل فتحة سجل واحد فقط حتى لا يتكرر الخصم." sqref="B4:B303">
      <formula1>COUNTIF($B$4:$B$303,B4)=1</formula1>
    </dataValidation>
    <dataValidation type="list" errorStyle="warning" allowBlank="1" showErrorMessage="1" errorTitle="قيمة غير موجودة بالقائمة" error="هذا الكود غير موجود في «سجل الفراغات». يفضل تسجيل الفراغ أولًا." sqref="C4:C303">
      <formula1>SpaceCodes</formula1>
    </dataValidation>
    <dataValidation type="list" allowBlank="1" showErrorMessage="1" errorTitle="قيمة غير موجودة بالقائمة" error="اختر من القائمة. لإضافة خامة/بند جديد أضفه أولًا في ورقة القوائم." sqref="F4:F303">
      <formula1>OpenTypes</formula1>
    </dataValidation>
    <dataValidation type="list" allowBlank="1" showInputMessage="1" showErrorMessage="1" errorTitle="قيمة غير موجودة بالقائمة" error="اختر من القائمة. لإضافة خامة/بند جديد أضفه أولًا في ورقة القوائم." promptTitle="تنبيه" prompt="اتركها فارغة إذا كان للحائط خامة تشطيب واحدة. عند تعدد الخامات اختر الخامة التي تُخصم منها هذه الفتحة." sqref="L4:L303">
      <formula1>WallMat</formula1>
    </dataValidation>
    <dataValidation type="decimal" operator="greaterThanOrEqual" allowBlank="1" showErrorMessage="1" errorTitle="قيمة غير صحيحة" error="أدخل رقمًا موجبًا فقط (بالمتر)." sqref="G4:G303">
      <formula1>0</formula1>
    </dataValidation>
    <dataValidation type="decimal" operator="greaterThanOrEqual" allowBlank="1" showErrorMessage="1" errorTitle="قيمة غير صحيحة" error="أدخل رقمًا موجبًا فقط (بالمتر)." sqref="H4:H303">
      <formula1>0</formula1>
    </dataValidation>
    <dataValidation type="decimal" operator="greaterThanOrEqual" allowBlank="1" showErrorMessage="1" errorTitle="قيمة غير صحيحة" error="أدخل رقمًا موجبًا فقط (بالمتر)." sqref="I4:I303">
      <formula1>0</formula1>
    </dataValidation>
    <dataValidation type="list" allowBlank="1" showErrorMessage="1" errorTitle="قيمة غير موجودة بالقائمة" error="اختر قيمة من القائمة المنسدلة." sqref="K4:K303">
      <formula1>YesNo</formula1>
    </dataValidation>
    <dataValidation type="list" allowBlank="1" showErrorMessage="1" errorTitle="قيمة غير موجودة بالقائمة" error="اختر قيمة من القائمة المنسدلة." sqref="M4:M303">
      <formula1>YesNo</formula1>
    </dataValidation>
    <dataValidation type="list" allowBlank="1" showInputMessage="1" showErrorMessage="1" errorTitle="قيمة غير موجودة بالقائمة" error="اختر قيمة من القائمة المنسدلة." promptTitle="تنبيه" prompt="اختر «نعم» فقط إذا لم توجد وزرة أسفل هذه الفتحة (مثل الأبواب). النوافذ غالبًا «لا»." sqref="N4:N303">
      <formula1>YesNo</formula1>
    </dataValidation>
    <dataValidation type="list" allowBlank="1" showErrorMessage="1" errorTitle="قيمة غير موجودة بالقائمة" error="اختر قيمة من القائمة المنسدلة." sqref="R4:R303">
      <formula1>YesNo</formula1>
    </dataValidation>
  </dataValidations>
  <pageMargins left="0.4" right="0.4" top="0.5" bottom="0.5"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V303"/>
  <sheetViews>
    <sheetView rightToLeft="1" workbookViewId="0">
      <pane ySplit="3" topLeftCell="A4" activePane="bottomLeft" state="frozen"/>
      <selection pane="bottomLeft"/>
    </sheetView>
  </sheetViews>
  <sheetFormatPr defaultRowHeight="15" x14ac:dyDescent="0.25"/>
  <cols>
    <col min="1" max="1" width="5" style="34" customWidth="1"/>
    <col min="2" max="2" width="12" style="34" customWidth="1"/>
    <col min="3" max="3" width="18" style="34" customWidth="1"/>
    <col min="4" max="4" width="26" style="34" customWidth="1"/>
    <col min="5" max="5" width="20" style="34" customWidth="1"/>
    <col min="6" max="7" width="11" style="34" customWidth="1"/>
    <col min="8" max="8" width="14" style="34" customWidth="1"/>
    <col min="9" max="9" width="11" style="34" customWidth="1"/>
    <col min="10" max="15" width="12" style="34" customWidth="1"/>
    <col min="16" max="16" width="8" style="34" customWidth="1"/>
    <col min="17" max="17" width="10" style="34" customWidth="1"/>
    <col min="18" max="19" width="30" style="34" customWidth="1"/>
    <col min="20" max="20" width="8" style="34" hidden="1" customWidth="1"/>
    <col min="21" max="22" width="6" style="34" hidden="1" customWidth="1"/>
  </cols>
  <sheetData>
    <row r="1" spans="1:22" ht="30" customHeight="1" x14ac:dyDescent="0.25">
      <c r="A1" s="52" t="s">
        <v>106</v>
      </c>
      <c r="B1" s="51"/>
      <c r="C1" s="51"/>
      <c r="D1" s="51"/>
      <c r="E1" s="51"/>
      <c r="F1" s="51"/>
      <c r="G1" s="51"/>
      <c r="H1" s="51"/>
      <c r="I1" s="51"/>
      <c r="J1" s="51"/>
      <c r="K1" s="51"/>
      <c r="L1" s="51"/>
      <c r="M1" s="51"/>
      <c r="N1" s="51"/>
      <c r="O1" s="51"/>
      <c r="P1" s="51"/>
      <c r="Q1" s="51"/>
      <c r="R1" s="51"/>
      <c r="S1" s="51"/>
    </row>
    <row r="2" spans="1:22" ht="24" customHeight="1" x14ac:dyDescent="0.25">
      <c r="A2" s="53" t="s">
        <v>107</v>
      </c>
      <c r="B2" s="54"/>
      <c r="C2" s="54"/>
      <c r="D2" s="54"/>
      <c r="E2" s="54"/>
      <c r="F2" s="54"/>
      <c r="G2" s="54"/>
      <c r="H2" s="54"/>
      <c r="I2" s="55"/>
      <c r="J2" s="10">
        <f ca="1">SUMPRODUCT(SUBTOTAL(109,OFFSET(J$4,ROW(J$4:J$303)-ROW(J$4),0)),--(P$4:P$303="م.ط"))</f>
        <v>0</v>
      </c>
      <c r="K2" s="30"/>
      <c r="L2" s="30"/>
      <c r="M2" s="30"/>
      <c r="N2" s="10">
        <f ca="1">SUMPRODUCT(SUBTOTAL(109,OFFSET(N$4,ROW(N$4:N$303)-ROW(N$4),0)),--(P$4:P$303="م.ط"))</f>
        <v>0</v>
      </c>
      <c r="O2" s="10">
        <f ca="1">SUMPRODUCT(SUBTOTAL(109,OFFSET(O$4,ROW(O$4:O$303)-ROW(O$4),0)),--(P$4:P$303="م.ط"))</f>
        <v>0</v>
      </c>
      <c r="P2" s="30"/>
      <c r="Q2" s="30"/>
      <c r="R2" s="30"/>
      <c r="S2" s="10" t="str">
        <f>"غير مكتمل: "&amp;(COUNTIF(S$4:S$303,"?*")-COUNTIF(S$4:S$303,"مكتمل"))</f>
        <v>غير مكتمل: 0</v>
      </c>
    </row>
    <row r="3" spans="1:22" ht="48" customHeight="1" x14ac:dyDescent="0.25">
      <c r="A3" s="32" t="s">
        <v>52</v>
      </c>
      <c r="B3" s="32" t="s">
        <v>60</v>
      </c>
      <c r="C3" s="32" t="s">
        <v>54</v>
      </c>
      <c r="D3" s="32" t="s">
        <v>108</v>
      </c>
      <c r="E3" s="32" t="s">
        <v>109</v>
      </c>
      <c r="F3" s="32" t="s">
        <v>110</v>
      </c>
      <c r="G3" s="32" t="s">
        <v>111</v>
      </c>
      <c r="H3" s="32" t="s">
        <v>112</v>
      </c>
      <c r="I3" s="32" t="s">
        <v>65</v>
      </c>
      <c r="J3" s="32" t="s">
        <v>113</v>
      </c>
      <c r="K3" s="32" t="s">
        <v>114</v>
      </c>
      <c r="L3" s="32" t="s">
        <v>115</v>
      </c>
      <c r="M3" s="32" t="s">
        <v>84</v>
      </c>
      <c r="N3" s="32" t="s">
        <v>85</v>
      </c>
      <c r="O3" s="32" t="s">
        <v>116</v>
      </c>
      <c r="P3" s="32" t="s">
        <v>70</v>
      </c>
      <c r="Q3" s="32" t="s">
        <v>71</v>
      </c>
      <c r="R3" s="32" t="s">
        <v>117</v>
      </c>
      <c r="S3" s="32" t="s">
        <v>57</v>
      </c>
      <c r="T3" s="32" t="s">
        <v>72</v>
      </c>
      <c r="U3" s="32" t="s">
        <v>73</v>
      </c>
      <c r="V3" s="32" t="s">
        <v>118</v>
      </c>
    </row>
    <row r="4" spans="1:22" x14ac:dyDescent="0.25">
      <c r="A4" s="8">
        <v>1</v>
      </c>
      <c r="B4" s="9"/>
      <c r="C4" s="33" t="str">
        <f t="shared" ref="C4:C67" si="0">IF(B4="","",IFERROR(INDEX(SpaceNames,MATCH(B4,SpaceCodes,0))&amp;"",""))</f>
        <v/>
      </c>
      <c r="D4" s="31"/>
      <c r="E4" s="31"/>
      <c r="F4" s="11"/>
      <c r="G4" s="11"/>
      <c r="H4" s="11"/>
      <c r="I4" s="9"/>
      <c r="J4" s="12" t="str">
        <f t="shared" ref="J4:J67" si="1">IF(T4="","",IF(U4=1,0,IF(H4&lt;&gt;"",H4*IF(I4="",1,I4),IF(AND(F4&lt;&gt;"",G4&lt;&gt;""),2*(F4+G4)*IF(I4="",1,I4),""))))</f>
        <v/>
      </c>
      <c r="K4" s="9"/>
      <c r="L4" s="12" t="str">
        <f t="shared" ref="L4:L67" si="2">IF(T4="","",IF(V4=1,SUMIFS(OP_Wtot,OP_Space,B4,OP_DedSk,"نعم"),0))</f>
        <v/>
      </c>
      <c r="M4" s="11"/>
      <c r="N4" s="12" t="str">
        <f t="shared" ref="N4:N67" si="3">IF(OR(T4="",J4=""),"",N(L4)+N(M4))</f>
        <v/>
      </c>
      <c r="O4" s="12" t="str">
        <f t="shared" ref="O4:O67" si="4">IF(OR(T4="",J4=""),"",J4-N4)</f>
        <v/>
      </c>
      <c r="P4" s="8" t="str">
        <f t="shared" ref="P4:P67" si="5">IF(D4="","",IFERROR(IF(INDEX(LinUnit,MATCH(D4,LinMat,0))="","م.ط",INDEX(LinUnit,MATCH(D4,LinMat,0))),"م.ط"))</f>
        <v/>
      </c>
      <c r="Q4" s="9"/>
      <c r="R4" s="31"/>
      <c r="S4" s="8" t="str">
        <f t="shared" ref="S4:S67" si="6">IF(T4="","",IF(U4=1,"تكرار — غير محتسب",IF(B4="","ناقص بيانات: كود الفراغ",IF(COUNTIF(SpaceCodes,B4)=0,"ناقص بيانات: الفراغ غير مسجل",IF(D4="","ناقص بيانات: نوع البند",IF(J4="","ناقص قياس",IF(N4&gt;J4+0.000001,"خطأ خصم: الخصم أكبر من الإجمالي",IF(AND(K4="نعم",V4=0),"تنبيه خصم: خصم تلقائي مكرر للفراغ — غير مطبق",IF(Q4="نعم","يحتاج مراجعة","مكتمل")))))))))</f>
        <v/>
      </c>
      <c r="T4" s="8" t="str">
        <f t="shared" ref="T4:T67" si="7">IF(COUNTA(B4,D4:I4,M4)=0,"",B4&amp;"|"&amp;D4&amp;"|"&amp;E4&amp;"|"&amp;F4&amp;"|"&amp;G4&amp;"|"&amp;H4)</f>
        <v/>
      </c>
      <c r="U4" s="8">
        <f>IF(T4="",0,IF(SUMPRODUCT(--(T$4:T4=T4))&gt;1,1,0))</f>
        <v>0</v>
      </c>
      <c r="V4" s="8">
        <f>IF(OR(T4="",U4=1,B4="",K4&lt;&gt;"نعم"),0,IF(COUNTIFS(B$4:B4,B4,K$4:K4,"نعم",U$4:U4,0)=1,1,0))</f>
        <v>0</v>
      </c>
    </row>
    <row r="5" spans="1:22" x14ac:dyDescent="0.25">
      <c r="A5" s="8">
        <v>2</v>
      </c>
      <c r="B5" s="9"/>
      <c r="C5" s="33" t="str">
        <f t="shared" si="0"/>
        <v/>
      </c>
      <c r="D5" s="31"/>
      <c r="E5" s="31"/>
      <c r="F5" s="11"/>
      <c r="G5" s="11"/>
      <c r="H5" s="11"/>
      <c r="I5" s="9"/>
      <c r="J5" s="12" t="str">
        <f t="shared" si="1"/>
        <v/>
      </c>
      <c r="K5" s="9"/>
      <c r="L5" s="12" t="str">
        <f t="shared" si="2"/>
        <v/>
      </c>
      <c r="M5" s="11"/>
      <c r="N5" s="12" t="str">
        <f t="shared" si="3"/>
        <v/>
      </c>
      <c r="O5" s="12" t="str">
        <f t="shared" si="4"/>
        <v/>
      </c>
      <c r="P5" s="8" t="str">
        <f t="shared" si="5"/>
        <v/>
      </c>
      <c r="Q5" s="9"/>
      <c r="R5" s="31"/>
      <c r="S5" s="8" t="str">
        <f t="shared" si="6"/>
        <v/>
      </c>
      <c r="T5" s="8" t="str">
        <f t="shared" si="7"/>
        <v/>
      </c>
      <c r="U5" s="8">
        <f>IF(T5="",0,IF(SUMPRODUCT(--(T$4:T5=T5))&gt;1,1,0))</f>
        <v>0</v>
      </c>
      <c r="V5" s="8">
        <f>IF(OR(T5="",U5=1,B5="",K5&lt;&gt;"نعم"),0,IF(COUNTIFS(B$4:B5,B5,K$4:K5,"نعم",U$4:U5,0)=1,1,0))</f>
        <v>0</v>
      </c>
    </row>
    <row r="6" spans="1:22" x14ac:dyDescent="0.25">
      <c r="A6" s="8">
        <v>3</v>
      </c>
      <c r="B6" s="9"/>
      <c r="C6" s="33" t="str">
        <f t="shared" si="0"/>
        <v/>
      </c>
      <c r="D6" s="31"/>
      <c r="E6" s="31"/>
      <c r="F6" s="11"/>
      <c r="G6" s="11"/>
      <c r="H6" s="11"/>
      <c r="I6" s="9"/>
      <c r="J6" s="12" t="str">
        <f t="shared" si="1"/>
        <v/>
      </c>
      <c r="K6" s="9"/>
      <c r="L6" s="12" t="str">
        <f t="shared" si="2"/>
        <v/>
      </c>
      <c r="M6" s="11"/>
      <c r="N6" s="12" t="str">
        <f t="shared" si="3"/>
        <v/>
      </c>
      <c r="O6" s="12" t="str">
        <f t="shared" si="4"/>
        <v/>
      </c>
      <c r="P6" s="8" t="str">
        <f t="shared" si="5"/>
        <v/>
      </c>
      <c r="Q6" s="9"/>
      <c r="R6" s="31"/>
      <c r="S6" s="8" t="str">
        <f t="shared" si="6"/>
        <v/>
      </c>
      <c r="T6" s="8" t="str">
        <f t="shared" si="7"/>
        <v/>
      </c>
      <c r="U6" s="8">
        <f>IF(T6="",0,IF(SUMPRODUCT(--(T$4:T6=T6))&gt;1,1,0))</f>
        <v>0</v>
      </c>
      <c r="V6" s="8">
        <f>IF(OR(T6="",U6=1,B6="",K6&lt;&gt;"نعم"),0,IF(COUNTIFS(B$4:B6,B6,K$4:K6,"نعم",U$4:U6,0)=1,1,0))</f>
        <v>0</v>
      </c>
    </row>
    <row r="7" spans="1:22" x14ac:dyDescent="0.25">
      <c r="A7" s="8">
        <v>4</v>
      </c>
      <c r="B7" s="9"/>
      <c r="C7" s="33" t="str">
        <f t="shared" si="0"/>
        <v/>
      </c>
      <c r="D7" s="31"/>
      <c r="E7" s="31"/>
      <c r="F7" s="11"/>
      <c r="G7" s="11"/>
      <c r="H7" s="11"/>
      <c r="I7" s="9"/>
      <c r="J7" s="12" t="str">
        <f t="shared" si="1"/>
        <v/>
      </c>
      <c r="K7" s="9"/>
      <c r="L7" s="12" t="str">
        <f t="shared" si="2"/>
        <v/>
      </c>
      <c r="M7" s="11"/>
      <c r="N7" s="12" t="str">
        <f t="shared" si="3"/>
        <v/>
      </c>
      <c r="O7" s="12" t="str">
        <f t="shared" si="4"/>
        <v/>
      </c>
      <c r="P7" s="8" t="str">
        <f t="shared" si="5"/>
        <v/>
      </c>
      <c r="Q7" s="9"/>
      <c r="R7" s="31"/>
      <c r="S7" s="8" t="str">
        <f t="shared" si="6"/>
        <v/>
      </c>
      <c r="T7" s="8" t="str">
        <f t="shared" si="7"/>
        <v/>
      </c>
      <c r="U7" s="8">
        <f>IF(T7="",0,IF(SUMPRODUCT(--(T$4:T7=T7))&gt;1,1,0))</f>
        <v>0</v>
      </c>
      <c r="V7" s="8">
        <f>IF(OR(T7="",U7=1,B7="",K7&lt;&gt;"نعم"),0,IF(COUNTIFS(B$4:B7,B7,K$4:K7,"نعم",U$4:U7,0)=1,1,0))</f>
        <v>0</v>
      </c>
    </row>
    <row r="8" spans="1:22" x14ac:dyDescent="0.25">
      <c r="A8" s="8">
        <v>5</v>
      </c>
      <c r="B8" s="9"/>
      <c r="C8" s="33" t="str">
        <f t="shared" si="0"/>
        <v/>
      </c>
      <c r="D8" s="31"/>
      <c r="E8" s="31"/>
      <c r="F8" s="11"/>
      <c r="G8" s="11"/>
      <c r="H8" s="11"/>
      <c r="I8" s="9"/>
      <c r="J8" s="12" t="str">
        <f t="shared" si="1"/>
        <v/>
      </c>
      <c r="K8" s="9"/>
      <c r="L8" s="12" t="str">
        <f t="shared" si="2"/>
        <v/>
      </c>
      <c r="M8" s="11"/>
      <c r="N8" s="12" t="str">
        <f t="shared" si="3"/>
        <v/>
      </c>
      <c r="O8" s="12" t="str">
        <f t="shared" si="4"/>
        <v/>
      </c>
      <c r="P8" s="8" t="str">
        <f t="shared" si="5"/>
        <v/>
      </c>
      <c r="Q8" s="9"/>
      <c r="R8" s="31"/>
      <c r="S8" s="8" t="str">
        <f t="shared" si="6"/>
        <v/>
      </c>
      <c r="T8" s="8" t="str">
        <f t="shared" si="7"/>
        <v/>
      </c>
      <c r="U8" s="8">
        <f>IF(T8="",0,IF(SUMPRODUCT(--(T$4:T8=T8))&gt;1,1,0))</f>
        <v>0</v>
      </c>
      <c r="V8" s="8">
        <f>IF(OR(T8="",U8=1,B8="",K8&lt;&gt;"نعم"),0,IF(COUNTIFS(B$4:B8,B8,K$4:K8,"نعم",U$4:U8,0)=1,1,0))</f>
        <v>0</v>
      </c>
    </row>
    <row r="9" spans="1:22" x14ac:dyDescent="0.25">
      <c r="A9" s="8">
        <v>6</v>
      </c>
      <c r="B9" s="9"/>
      <c r="C9" s="33" t="str">
        <f t="shared" si="0"/>
        <v/>
      </c>
      <c r="D9" s="31"/>
      <c r="E9" s="31"/>
      <c r="F9" s="11"/>
      <c r="G9" s="11"/>
      <c r="H9" s="11"/>
      <c r="I9" s="9"/>
      <c r="J9" s="12" t="str">
        <f t="shared" si="1"/>
        <v/>
      </c>
      <c r="K9" s="9"/>
      <c r="L9" s="12" t="str">
        <f t="shared" si="2"/>
        <v/>
      </c>
      <c r="M9" s="11"/>
      <c r="N9" s="12" t="str">
        <f t="shared" si="3"/>
        <v/>
      </c>
      <c r="O9" s="12" t="str">
        <f t="shared" si="4"/>
        <v/>
      </c>
      <c r="P9" s="8" t="str">
        <f t="shared" si="5"/>
        <v/>
      </c>
      <c r="Q9" s="9"/>
      <c r="R9" s="31"/>
      <c r="S9" s="8" t="str">
        <f t="shared" si="6"/>
        <v/>
      </c>
      <c r="T9" s="8" t="str">
        <f t="shared" si="7"/>
        <v/>
      </c>
      <c r="U9" s="8">
        <f>IF(T9="",0,IF(SUMPRODUCT(--(T$4:T9=T9))&gt;1,1,0))</f>
        <v>0</v>
      </c>
      <c r="V9" s="8">
        <f>IF(OR(T9="",U9=1,B9="",K9&lt;&gt;"نعم"),0,IF(COUNTIFS(B$4:B9,B9,K$4:K9,"نعم",U$4:U9,0)=1,1,0))</f>
        <v>0</v>
      </c>
    </row>
    <row r="10" spans="1:22" x14ac:dyDescent="0.25">
      <c r="A10" s="8">
        <v>7</v>
      </c>
      <c r="B10" s="9"/>
      <c r="C10" s="33" t="str">
        <f t="shared" si="0"/>
        <v/>
      </c>
      <c r="D10" s="31"/>
      <c r="E10" s="31"/>
      <c r="F10" s="11"/>
      <c r="G10" s="11"/>
      <c r="H10" s="11"/>
      <c r="I10" s="9"/>
      <c r="J10" s="12" t="str">
        <f t="shared" si="1"/>
        <v/>
      </c>
      <c r="K10" s="9"/>
      <c r="L10" s="12" t="str">
        <f t="shared" si="2"/>
        <v/>
      </c>
      <c r="M10" s="11"/>
      <c r="N10" s="12" t="str">
        <f t="shared" si="3"/>
        <v/>
      </c>
      <c r="O10" s="12" t="str">
        <f t="shared" si="4"/>
        <v/>
      </c>
      <c r="P10" s="8" t="str">
        <f t="shared" si="5"/>
        <v/>
      </c>
      <c r="Q10" s="9"/>
      <c r="R10" s="31"/>
      <c r="S10" s="8" t="str">
        <f t="shared" si="6"/>
        <v/>
      </c>
      <c r="T10" s="8" t="str">
        <f t="shared" si="7"/>
        <v/>
      </c>
      <c r="U10" s="8">
        <f>IF(T10="",0,IF(SUMPRODUCT(--(T$4:T10=T10))&gt;1,1,0))</f>
        <v>0</v>
      </c>
      <c r="V10" s="8">
        <f>IF(OR(T10="",U10=1,B10="",K10&lt;&gt;"نعم"),0,IF(COUNTIFS(B$4:B10,B10,K$4:K10,"نعم",U$4:U10,0)=1,1,0))</f>
        <v>0</v>
      </c>
    </row>
    <row r="11" spans="1:22" x14ac:dyDescent="0.25">
      <c r="A11" s="8">
        <v>8</v>
      </c>
      <c r="B11" s="9"/>
      <c r="C11" s="33" t="str">
        <f t="shared" si="0"/>
        <v/>
      </c>
      <c r="D11" s="31"/>
      <c r="E11" s="31"/>
      <c r="F11" s="11"/>
      <c r="G11" s="11"/>
      <c r="H11" s="11"/>
      <c r="I11" s="9"/>
      <c r="J11" s="12" t="str">
        <f t="shared" si="1"/>
        <v/>
      </c>
      <c r="K11" s="9"/>
      <c r="L11" s="12" t="str">
        <f t="shared" si="2"/>
        <v/>
      </c>
      <c r="M11" s="11"/>
      <c r="N11" s="12" t="str">
        <f t="shared" si="3"/>
        <v/>
      </c>
      <c r="O11" s="12" t="str">
        <f t="shared" si="4"/>
        <v/>
      </c>
      <c r="P11" s="8" t="str">
        <f t="shared" si="5"/>
        <v/>
      </c>
      <c r="Q11" s="9"/>
      <c r="R11" s="31"/>
      <c r="S11" s="8" t="str">
        <f t="shared" si="6"/>
        <v/>
      </c>
      <c r="T11" s="8" t="str">
        <f t="shared" si="7"/>
        <v/>
      </c>
      <c r="U11" s="8">
        <f>IF(T11="",0,IF(SUMPRODUCT(--(T$4:T11=T11))&gt;1,1,0))</f>
        <v>0</v>
      </c>
      <c r="V11" s="8">
        <f>IF(OR(T11="",U11=1,B11="",K11&lt;&gt;"نعم"),0,IF(COUNTIFS(B$4:B11,B11,K$4:K11,"نعم",U$4:U11,0)=1,1,0))</f>
        <v>0</v>
      </c>
    </row>
    <row r="12" spans="1:22" x14ac:dyDescent="0.25">
      <c r="A12" s="8">
        <v>9</v>
      </c>
      <c r="B12" s="9"/>
      <c r="C12" s="33" t="str">
        <f t="shared" si="0"/>
        <v/>
      </c>
      <c r="D12" s="31"/>
      <c r="E12" s="31"/>
      <c r="F12" s="11"/>
      <c r="G12" s="11"/>
      <c r="H12" s="11"/>
      <c r="I12" s="9"/>
      <c r="J12" s="12" t="str">
        <f t="shared" si="1"/>
        <v/>
      </c>
      <c r="K12" s="9"/>
      <c r="L12" s="12" t="str">
        <f t="shared" si="2"/>
        <v/>
      </c>
      <c r="M12" s="11"/>
      <c r="N12" s="12" t="str">
        <f t="shared" si="3"/>
        <v/>
      </c>
      <c r="O12" s="12" t="str">
        <f t="shared" si="4"/>
        <v/>
      </c>
      <c r="P12" s="8" t="str">
        <f t="shared" si="5"/>
        <v/>
      </c>
      <c r="Q12" s="9"/>
      <c r="R12" s="31"/>
      <c r="S12" s="8" t="str">
        <f t="shared" si="6"/>
        <v/>
      </c>
      <c r="T12" s="8" t="str">
        <f t="shared" si="7"/>
        <v/>
      </c>
      <c r="U12" s="8">
        <f>IF(T12="",0,IF(SUMPRODUCT(--(T$4:T12=T12))&gt;1,1,0))</f>
        <v>0</v>
      </c>
      <c r="V12" s="8">
        <f>IF(OR(T12="",U12=1,B12="",K12&lt;&gt;"نعم"),0,IF(COUNTIFS(B$4:B12,B12,K$4:K12,"نعم",U$4:U12,0)=1,1,0))</f>
        <v>0</v>
      </c>
    </row>
    <row r="13" spans="1:22" x14ac:dyDescent="0.25">
      <c r="A13" s="8">
        <v>10</v>
      </c>
      <c r="B13" s="9"/>
      <c r="C13" s="33" t="str">
        <f t="shared" si="0"/>
        <v/>
      </c>
      <c r="D13" s="31"/>
      <c r="E13" s="31"/>
      <c r="F13" s="11"/>
      <c r="G13" s="11"/>
      <c r="H13" s="11"/>
      <c r="I13" s="9"/>
      <c r="J13" s="12" t="str">
        <f t="shared" si="1"/>
        <v/>
      </c>
      <c r="K13" s="9"/>
      <c r="L13" s="12" t="str">
        <f t="shared" si="2"/>
        <v/>
      </c>
      <c r="M13" s="11"/>
      <c r="N13" s="12" t="str">
        <f t="shared" si="3"/>
        <v/>
      </c>
      <c r="O13" s="12" t="str">
        <f t="shared" si="4"/>
        <v/>
      </c>
      <c r="P13" s="8" t="str">
        <f t="shared" si="5"/>
        <v/>
      </c>
      <c r="Q13" s="9"/>
      <c r="R13" s="31"/>
      <c r="S13" s="8" t="str">
        <f t="shared" si="6"/>
        <v/>
      </c>
      <c r="T13" s="8" t="str">
        <f t="shared" si="7"/>
        <v/>
      </c>
      <c r="U13" s="8">
        <f>IF(T13="",0,IF(SUMPRODUCT(--(T$4:T13=T13))&gt;1,1,0))</f>
        <v>0</v>
      </c>
      <c r="V13" s="8">
        <f>IF(OR(T13="",U13=1,B13="",K13&lt;&gt;"نعم"),0,IF(COUNTIFS(B$4:B13,B13,K$4:K13,"نعم",U$4:U13,0)=1,1,0))</f>
        <v>0</v>
      </c>
    </row>
    <row r="14" spans="1:22" x14ac:dyDescent="0.25">
      <c r="A14" s="8">
        <v>11</v>
      </c>
      <c r="B14" s="9"/>
      <c r="C14" s="33" t="str">
        <f t="shared" si="0"/>
        <v/>
      </c>
      <c r="D14" s="31"/>
      <c r="E14" s="31"/>
      <c r="F14" s="11"/>
      <c r="G14" s="11"/>
      <c r="H14" s="11"/>
      <c r="I14" s="9"/>
      <c r="J14" s="12" t="str">
        <f t="shared" si="1"/>
        <v/>
      </c>
      <c r="K14" s="9"/>
      <c r="L14" s="12" t="str">
        <f t="shared" si="2"/>
        <v/>
      </c>
      <c r="M14" s="11"/>
      <c r="N14" s="12" t="str">
        <f t="shared" si="3"/>
        <v/>
      </c>
      <c r="O14" s="12" t="str">
        <f t="shared" si="4"/>
        <v/>
      </c>
      <c r="P14" s="8" t="str">
        <f t="shared" si="5"/>
        <v/>
      </c>
      <c r="Q14" s="9"/>
      <c r="R14" s="31"/>
      <c r="S14" s="8" t="str">
        <f t="shared" si="6"/>
        <v/>
      </c>
      <c r="T14" s="8" t="str">
        <f t="shared" si="7"/>
        <v/>
      </c>
      <c r="U14" s="8">
        <f>IF(T14="",0,IF(SUMPRODUCT(--(T$4:T14=T14))&gt;1,1,0))</f>
        <v>0</v>
      </c>
      <c r="V14" s="8">
        <f>IF(OR(T14="",U14=1,B14="",K14&lt;&gt;"نعم"),0,IF(COUNTIFS(B$4:B14,B14,K$4:K14,"نعم",U$4:U14,0)=1,1,0))</f>
        <v>0</v>
      </c>
    </row>
    <row r="15" spans="1:22" x14ac:dyDescent="0.25">
      <c r="A15" s="8">
        <v>12</v>
      </c>
      <c r="B15" s="9"/>
      <c r="C15" s="33" t="str">
        <f t="shared" si="0"/>
        <v/>
      </c>
      <c r="D15" s="31"/>
      <c r="E15" s="31"/>
      <c r="F15" s="11"/>
      <c r="G15" s="11"/>
      <c r="H15" s="11"/>
      <c r="I15" s="9"/>
      <c r="J15" s="12" t="str">
        <f t="shared" si="1"/>
        <v/>
      </c>
      <c r="K15" s="9"/>
      <c r="L15" s="12" t="str">
        <f t="shared" si="2"/>
        <v/>
      </c>
      <c r="M15" s="11"/>
      <c r="N15" s="12" t="str">
        <f t="shared" si="3"/>
        <v/>
      </c>
      <c r="O15" s="12" t="str">
        <f t="shared" si="4"/>
        <v/>
      </c>
      <c r="P15" s="8" t="str">
        <f t="shared" si="5"/>
        <v/>
      </c>
      <c r="Q15" s="9"/>
      <c r="R15" s="31"/>
      <c r="S15" s="8" t="str">
        <f t="shared" si="6"/>
        <v/>
      </c>
      <c r="T15" s="8" t="str">
        <f t="shared" si="7"/>
        <v/>
      </c>
      <c r="U15" s="8">
        <f>IF(T15="",0,IF(SUMPRODUCT(--(T$4:T15=T15))&gt;1,1,0))</f>
        <v>0</v>
      </c>
      <c r="V15" s="8">
        <f>IF(OR(T15="",U15=1,B15="",K15&lt;&gt;"نعم"),0,IF(COUNTIFS(B$4:B15,B15,K$4:K15,"نعم",U$4:U15,0)=1,1,0))</f>
        <v>0</v>
      </c>
    </row>
    <row r="16" spans="1:22" x14ac:dyDescent="0.25">
      <c r="A16" s="8">
        <v>13</v>
      </c>
      <c r="B16" s="9"/>
      <c r="C16" s="33" t="str">
        <f t="shared" si="0"/>
        <v/>
      </c>
      <c r="D16" s="31"/>
      <c r="E16" s="31"/>
      <c r="F16" s="11"/>
      <c r="G16" s="11"/>
      <c r="H16" s="11"/>
      <c r="I16" s="9"/>
      <c r="J16" s="12" t="str">
        <f t="shared" si="1"/>
        <v/>
      </c>
      <c r="K16" s="9"/>
      <c r="L16" s="12" t="str">
        <f t="shared" si="2"/>
        <v/>
      </c>
      <c r="M16" s="11"/>
      <c r="N16" s="12" t="str">
        <f t="shared" si="3"/>
        <v/>
      </c>
      <c r="O16" s="12" t="str">
        <f t="shared" si="4"/>
        <v/>
      </c>
      <c r="P16" s="8" t="str">
        <f t="shared" si="5"/>
        <v/>
      </c>
      <c r="Q16" s="9"/>
      <c r="R16" s="31"/>
      <c r="S16" s="8" t="str">
        <f t="shared" si="6"/>
        <v/>
      </c>
      <c r="T16" s="8" t="str">
        <f t="shared" si="7"/>
        <v/>
      </c>
      <c r="U16" s="8">
        <f>IF(T16="",0,IF(SUMPRODUCT(--(T$4:T16=T16))&gt;1,1,0))</f>
        <v>0</v>
      </c>
      <c r="V16" s="8">
        <f>IF(OR(T16="",U16=1,B16="",K16&lt;&gt;"نعم"),0,IF(COUNTIFS(B$4:B16,B16,K$4:K16,"نعم",U$4:U16,0)=1,1,0))</f>
        <v>0</v>
      </c>
    </row>
    <row r="17" spans="1:22" x14ac:dyDescent="0.25">
      <c r="A17" s="8">
        <v>14</v>
      </c>
      <c r="B17" s="9"/>
      <c r="C17" s="33" t="str">
        <f t="shared" si="0"/>
        <v/>
      </c>
      <c r="D17" s="31"/>
      <c r="E17" s="31"/>
      <c r="F17" s="11"/>
      <c r="G17" s="11"/>
      <c r="H17" s="11"/>
      <c r="I17" s="9"/>
      <c r="J17" s="12" t="str">
        <f t="shared" si="1"/>
        <v/>
      </c>
      <c r="K17" s="9"/>
      <c r="L17" s="12" t="str">
        <f t="shared" si="2"/>
        <v/>
      </c>
      <c r="M17" s="11"/>
      <c r="N17" s="12" t="str">
        <f t="shared" si="3"/>
        <v/>
      </c>
      <c r="O17" s="12" t="str">
        <f t="shared" si="4"/>
        <v/>
      </c>
      <c r="P17" s="8" t="str">
        <f t="shared" si="5"/>
        <v/>
      </c>
      <c r="Q17" s="9"/>
      <c r="R17" s="31"/>
      <c r="S17" s="8" t="str">
        <f t="shared" si="6"/>
        <v/>
      </c>
      <c r="T17" s="8" t="str">
        <f t="shared" si="7"/>
        <v/>
      </c>
      <c r="U17" s="8">
        <f>IF(T17="",0,IF(SUMPRODUCT(--(T$4:T17=T17))&gt;1,1,0))</f>
        <v>0</v>
      </c>
      <c r="V17" s="8">
        <f>IF(OR(T17="",U17=1,B17="",K17&lt;&gt;"نعم"),0,IF(COUNTIFS(B$4:B17,B17,K$4:K17,"نعم",U$4:U17,0)=1,1,0))</f>
        <v>0</v>
      </c>
    </row>
    <row r="18" spans="1:22" x14ac:dyDescent="0.25">
      <c r="A18" s="8">
        <v>15</v>
      </c>
      <c r="B18" s="9"/>
      <c r="C18" s="33" t="str">
        <f t="shared" si="0"/>
        <v/>
      </c>
      <c r="D18" s="31"/>
      <c r="E18" s="31"/>
      <c r="F18" s="11"/>
      <c r="G18" s="11"/>
      <c r="H18" s="11"/>
      <c r="I18" s="9"/>
      <c r="J18" s="12" t="str">
        <f t="shared" si="1"/>
        <v/>
      </c>
      <c r="K18" s="9"/>
      <c r="L18" s="12" t="str">
        <f t="shared" si="2"/>
        <v/>
      </c>
      <c r="M18" s="11"/>
      <c r="N18" s="12" t="str">
        <f t="shared" si="3"/>
        <v/>
      </c>
      <c r="O18" s="12" t="str">
        <f t="shared" si="4"/>
        <v/>
      </c>
      <c r="P18" s="8" t="str">
        <f t="shared" si="5"/>
        <v/>
      </c>
      <c r="Q18" s="9"/>
      <c r="R18" s="31"/>
      <c r="S18" s="8" t="str">
        <f t="shared" si="6"/>
        <v/>
      </c>
      <c r="T18" s="8" t="str">
        <f t="shared" si="7"/>
        <v/>
      </c>
      <c r="U18" s="8">
        <f>IF(T18="",0,IF(SUMPRODUCT(--(T$4:T18=T18))&gt;1,1,0))</f>
        <v>0</v>
      </c>
      <c r="V18" s="8">
        <f>IF(OR(T18="",U18=1,B18="",K18&lt;&gt;"نعم"),0,IF(COUNTIFS(B$4:B18,B18,K$4:K18,"نعم",U$4:U18,0)=1,1,0))</f>
        <v>0</v>
      </c>
    </row>
    <row r="19" spans="1:22" x14ac:dyDescent="0.25">
      <c r="A19" s="8">
        <v>16</v>
      </c>
      <c r="B19" s="9"/>
      <c r="C19" s="33" t="str">
        <f t="shared" si="0"/>
        <v/>
      </c>
      <c r="D19" s="31"/>
      <c r="E19" s="31"/>
      <c r="F19" s="11"/>
      <c r="G19" s="11"/>
      <c r="H19" s="11"/>
      <c r="I19" s="9"/>
      <c r="J19" s="12" t="str">
        <f t="shared" si="1"/>
        <v/>
      </c>
      <c r="K19" s="9"/>
      <c r="L19" s="12" t="str">
        <f t="shared" si="2"/>
        <v/>
      </c>
      <c r="M19" s="11"/>
      <c r="N19" s="12" t="str">
        <f t="shared" si="3"/>
        <v/>
      </c>
      <c r="O19" s="12" t="str">
        <f t="shared" si="4"/>
        <v/>
      </c>
      <c r="P19" s="8" t="str">
        <f t="shared" si="5"/>
        <v/>
      </c>
      <c r="Q19" s="9"/>
      <c r="R19" s="31"/>
      <c r="S19" s="8" t="str">
        <f t="shared" si="6"/>
        <v/>
      </c>
      <c r="T19" s="8" t="str">
        <f t="shared" si="7"/>
        <v/>
      </c>
      <c r="U19" s="8">
        <f>IF(T19="",0,IF(SUMPRODUCT(--(T$4:T19=T19))&gt;1,1,0))</f>
        <v>0</v>
      </c>
      <c r="V19" s="8">
        <f>IF(OR(T19="",U19=1,B19="",K19&lt;&gt;"نعم"),0,IF(COUNTIFS(B$4:B19,B19,K$4:K19,"نعم",U$4:U19,0)=1,1,0))</f>
        <v>0</v>
      </c>
    </row>
    <row r="20" spans="1:22" x14ac:dyDescent="0.25">
      <c r="A20" s="8">
        <v>17</v>
      </c>
      <c r="B20" s="9"/>
      <c r="C20" s="33" t="str">
        <f t="shared" si="0"/>
        <v/>
      </c>
      <c r="D20" s="31"/>
      <c r="E20" s="31"/>
      <c r="F20" s="11"/>
      <c r="G20" s="11"/>
      <c r="H20" s="11"/>
      <c r="I20" s="9"/>
      <c r="J20" s="12" t="str">
        <f t="shared" si="1"/>
        <v/>
      </c>
      <c r="K20" s="9"/>
      <c r="L20" s="12" t="str">
        <f t="shared" si="2"/>
        <v/>
      </c>
      <c r="M20" s="11"/>
      <c r="N20" s="12" t="str">
        <f t="shared" si="3"/>
        <v/>
      </c>
      <c r="O20" s="12" t="str">
        <f t="shared" si="4"/>
        <v/>
      </c>
      <c r="P20" s="8" t="str">
        <f t="shared" si="5"/>
        <v/>
      </c>
      <c r="Q20" s="9"/>
      <c r="R20" s="31"/>
      <c r="S20" s="8" t="str">
        <f t="shared" si="6"/>
        <v/>
      </c>
      <c r="T20" s="8" t="str">
        <f t="shared" si="7"/>
        <v/>
      </c>
      <c r="U20" s="8">
        <f>IF(T20="",0,IF(SUMPRODUCT(--(T$4:T20=T20))&gt;1,1,0))</f>
        <v>0</v>
      </c>
      <c r="V20" s="8">
        <f>IF(OR(T20="",U20=1,B20="",K20&lt;&gt;"نعم"),0,IF(COUNTIFS(B$4:B20,B20,K$4:K20,"نعم",U$4:U20,0)=1,1,0))</f>
        <v>0</v>
      </c>
    </row>
    <row r="21" spans="1:22" x14ac:dyDescent="0.25">
      <c r="A21" s="8">
        <v>18</v>
      </c>
      <c r="B21" s="9"/>
      <c r="C21" s="33" t="str">
        <f t="shared" si="0"/>
        <v/>
      </c>
      <c r="D21" s="31"/>
      <c r="E21" s="31"/>
      <c r="F21" s="11"/>
      <c r="G21" s="11"/>
      <c r="H21" s="11"/>
      <c r="I21" s="9"/>
      <c r="J21" s="12" t="str">
        <f t="shared" si="1"/>
        <v/>
      </c>
      <c r="K21" s="9"/>
      <c r="L21" s="12" t="str">
        <f t="shared" si="2"/>
        <v/>
      </c>
      <c r="M21" s="11"/>
      <c r="N21" s="12" t="str">
        <f t="shared" si="3"/>
        <v/>
      </c>
      <c r="O21" s="12" t="str">
        <f t="shared" si="4"/>
        <v/>
      </c>
      <c r="P21" s="8" t="str">
        <f t="shared" si="5"/>
        <v/>
      </c>
      <c r="Q21" s="9"/>
      <c r="R21" s="31"/>
      <c r="S21" s="8" t="str">
        <f t="shared" si="6"/>
        <v/>
      </c>
      <c r="T21" s="8" t="str">
        <f t="shared" si="7"/>
        <v/>
      </c>
      <c r="U21" s="8">
        <f>IF(T21="",0,IF(SUMPRODUCT(--(T$4:T21=T21))&gt;1,1,0))</f>
        <v>0</v>
      </c>
      <c r="V21" s="8">
        <f>IF(OR(T21="",U21=1,B21="",K21&lt;&gt;"نعم"),0,IF(COUNTIFS(B$4:B21,B21,K$4:K21,"نعم",U$4:U21,0)=1,1,0))</f>
        <v>0</v>
      </c>
    </row>
    <row r="22" spans="1:22" x14ac:dyDescent="0.25">
      <c r="A22" s="8">
        <v>19</v>
      </c>
      <c r="B22" s="9"/>
      <c r="C22" s="33" t="str">
        <f t="shared" si="0"/>
        <v/>
      </c>
      <c r="D22" s="31"/>
      <c r="E22" s="31"/>
      <c r="F22" s="11"/>
      <c r="G22" s="11"/>
      <c r="H22" s="11"/>
      <c r="I22" s="9"/>
      <c r="J22" s="12" t="str">
        <f t="shared" si="1"/>
        <v/>
      </c>
      <c r="K22" s="9"/>
      <c r="L22" s="12" t="str">
        <f t="shared" si="2"/>
        <v/>
      </c>
      <c r="M22" s="11"/>
      <c r="N22" s="12" t="str">
        <f t="shared" si="3"/>
        <v/>
      </c>
      <c r="O22" s="12" t="str">
        <f t="shared" si="4"/>
        <v/>
      </c>
      <c r="P22" s="8" t="str">
        <f t="shared" si="5"/>
        <v/>
      </c>
      <c r="Q22" s="9"/>
      <c r="R22" s="31"/>
      <c r="S22" s="8" t="str">
        <f t="shared" si="6"/>
        <v/>
      </c>
      <c r="T22" s="8" t="str">
        <f t="shared" si="7"/>
        <v/>
      </c>
      <c r="U22" s="8">
        <f>IF(T22="",0,IF(SUMPRODUCT(--(T$4:T22=T22))&gt;1,1,0))</f>
        <v>0</v>
      </c>
      <c r="V22" s="8">
        <f>IF(OR(T22="",U22=1,B22="",K22&lt;&gt;"نعم"),0,IF(COUNTIFS(B$4:B22,B22,K$4:K22,"نعم",U$4:U22,0)=1,1,0))</f>
        <v>0</v>
      </c>
    </row>
    <row r="23" spans="1:22" x14ac:dyDescent="0.25">
      <c r="A23" s="8">
        <v>20</v>
      </c>
      <c r="B23" s="9"/>
      <c r="C23" s="33" t="str">
        <f t="shared" si="0"/>
        <v/>
      </c>
      <c r="D23" s="31"/>
      <c r="E23" s="31"/>
      <c r="F23" s="11"/>
      <c r="G23" s="11"/>
      <c r="H23" s="11"/>
      <c r="I23" s="9"/>
      <c r="J23" s="12" t="str">
        <f t="shared" si="1"/>
        <v/>
      </c>
      <c r="K23" s="9"/>
      <c r="L23" s="12" t="str">
        <f t="shared" si="2"/>
        <v/>
      </c>
      <c r="M23" s="11"/>
      <c r="N23" s="12" t="str">
        <f t="shared" si="3"/>
        <v/>
      </c>
      <c r="O23" s="12" t="str">
        <f t="shared" si="4"/>
        <v/>
      </c>
      <c r="P23" s="8" t="str">
        <f t="shared" si="5"/>
        <v/>
      </c>
      <c r="Q23" s="9"/>
      <c r="R23" s="31"/>
      <c r="S23" s="8" t="str">
        <f t="shared" si="6"/>
        <v/>
      </c>
      <c r="T23" s="8" t="str">
        <f t="shared" si="7"/>
        <v/>
      </c>
      <c r="U23" s="8">
        <f>IF(T23="",0,IF(SUMPRODUCT(--(T$4:T23=T23))&gt;1,1,0))</f>
        <v>0</v>
      </c>
      <c r="V23" s="8">
        <f>IF(OR(T23="",U23=1,B23="",K23&lt;&gt;"نعم"),0,IF(COUNTIFS(B$4:B23,B23,K$4:K23,"نعم",U$4:U23,0)=1,1,0))</f>
        <v>0</v>
      </c>
    </row>
    <row r="24" spans="1:22" x14ac:dyDescent="0.25">
      <c r="A24" s="8">
        <v>21</v>
      </c>
      <c r="B24" s="9"/>
      <c r="C24" s="33" t="str">
        <f t="shared" si="0"/>
        <v/>
      </c>
      <c r="D24" s="31"/>
      <c r="E24" s="31"/>
      <c r="F24" s="11"/>
      <c r="G24" s="11"/>
      <c r="H24" s="11"/>
      <c r="I24" s="9"/>
      <c r="J24" s="12" t="str">
        <f t="shared" si="1"/>
        <v/>
      </c>
      <c r="K24" s="9"/>
      <c r="L24" s="12" t="str">
        <f t="shared" si="2"/>
        <v/>
      </c>
      <c r="M24" s="11"/>
      <c r="N24" s="12" t="str">
        <f t="shared" si="3"/>
        <v/>
      </c>
      <c r="O24" s="12" t="str">
        <f t="shared" si="4"/>
        <v/>
      </c>
      <c r="P24" s="8" t="str">
        <f t="shared" si="5"/>
        <v/>
      </c>
      <c r="Q24" s="9"/>
      <c r="R24" s="31"/>
      <c r="S24" s="8" t="str">
        <f t="shared" si="6"/>
        <v/>
      </c>
      <c r="T24" s="8" t="str">
        <f t="shared" si="7"/>
        <v/>
      </c>
      <c r="U24" s="8">
        <f>IF(T24="",0,IF(SUMPRODUCT(--(T$4:T24=T24))&gt;1,1,0))</f>
        <v>0</v>
      </c>
      <c r="V24" s="8">
        <f>IF(OR(T24="",U24=1,B24="",K24&lt;&gt;"نعم"),0,IF(COUNTIFS(B$4:B24,B24,K$4:K24,"نعم",U$4:U24,0)=1,1,0))</f>
        <v>0</v>
      </c>
    </row>
    <row r="25" spans="1:22" x14ac:dyDescent="0.25">
      <c r="A25" s="8">
        <v>22</v>
      </c>
      <c r="B25" s="9"/>
      <c r="C25" s="33" t="str">
        <f t="shared" si="0"/>
        <v/>
      </c>
      <c r="D25" s="31"/>
      <c r="E25" s="31"/>
      <c r="F25" s="11"/>
      <c r="G25" s="11"/>
      <c r="H25" s="11"/>
      <c r="I25" s="9"/>
      <c r="J25" s="12" t="str">
        <f t="shared" si="1"/>
        <v/>
      </c>
      <c r="K25" s="9"/>
      <c r="L25" s="12" t="str">
        <f t="shared" si="2"/>
        <v/>
      </c>
      <c r="M25" s="11"/>
      <c r="N25" s="12" t="str">
        <f t="shared" si="3"/>
        <v/>
      </c>
      <c r="O25" s="12" t="str">
        <f t="shared" si="4"/>
        <v/>
      </c>
      <c r="P25" s="8" t="str">
        <f t="shared" si="5"/>
        <v/>
      </c>
      <c r="Q25" s="9"/>
      <c r="R25" s="31"/>
      <c r="S25" s="8" t="str">
        <f t="shared" si="6"/>
        <v/>
      </c>
      <c r="T25" s="8" t="str">
        <f t="shared" si="7"/>
        <v/>
      </c>
      <c r="U25" s="8">
        <f>IF(T25="",0,IF(SUMPRODUCT(--(T$4:T25=T25))&gt;1,1,0))</f>
        <v>0</v>
      </c>
      <c r="V25" s="8">
        <f>IF(OR(T25="",U25=1,B25="",K25&lt;&gt;"نعم"),0,IF(COUNTIFS(B$4:B25,B25,K$4:K25,"نعم",U$4:U25,0)=1,1,0))</f>
        <v>0</v>
      </c>
    </row>
    <row r="26" spans="1:22" x14ac:dyDescent="0.25">
      <c r="A26" s="8">
        <v>23</v>
      </c>
      <c r="B26" s="9"/>
      <c r="C26" s="33" t="str">
        <f t="shared" si="0"/>
        <v/>
      </c>
      <c r="D26" s="31"/>
      <c r="E26" s="31"/>
      <c r="F26" s="11"/>
      <c r="G26" s="11"/>
      <c r="H26" s="11"/>
      <c r="I26" s="9"/>
      <c r="J26" s="12" t="str">
        <f t="shared" si="1"/>
        <v/>
      </c>
      <c r="K26" s="9"/>
      <c r="L26" s="12" t="str">
        <f t="shared" si="2"/>
        <v/>
      </c>
      <c r="M26" s="11"/>
      <c r="N26" s="12" t="str">
        <f t="shared" si="3"/>
        <v/>
      </c>
      <c r="O26" s="12" t="str">
        <f t="shared" si="4"/>
        <v/>
      </c>
      <c r="P26" s="8" t="str">
        <f t="shared" si="5"/>
        <v/>
      </c>
      <c r="Q26" s="9"/>
      <c r="R26" s="31"/>
      <c r="S26" s="8" t="str">
        <f t="shared" si="6"/>
        <v/>
      </c>
      <c r="T26" s="8" t="str">
        <f t="shared" si="7"/>
        <v/>
      </c>
      <c r="U26" s="8">
        <f>IF(T26="",0,IF(SUMPRODUCT(--(T$4:T26=T26))&gt;1,1,0))</f>
        <v>0</v>
      </c>
      <c r="V26" s="8">
        <f>IF(OR(T26="",U26=1,B26="",K26&lt;&gt;"نعم"),0,IF(COUNTIFS(B$4:B26,B26,K$4:K26,"نعم",U$4:U26,0)=1,1,0))</f>
        <v>0</v>
      </c>
    </row>
    <row r="27" spans="1:22" x14ac:dyDescent="0.25">
      <c r="A27" s="8">
        <v>24</v>
      </c>
      <c r="B27" s="9"/>
      <c r="C27" s="33" t="str">
        <f t="shared" si="0"/>
        <v/>
      </c>
      <c r="D27" s="31"/>
      <c r="E27" s="31"/>
      <c r="F27" s="11"/>
      <c r="G27" s="11"/>
      <c r="H27" s="11"/>
      <c r="I27" s="9"/>
      <c r="J27" s="12" t="str">
        <f t="shared" si="1"/>
        <v/>
      </c>
      <c r="K27" s="9"/>
      <c r="L27" s="12" t="str">
        <f t="shared" si="2"/>
        <v/>
      </c>
      <c r="M27" s="11"/>
      <c r="N27" s="12" t="str">
        <f t="shared" si="3"/>
        <v/>
      </c>
      <c r="O27" s="12" t="str">
        <f t="shared" si="4"/>
        <v/>
      </c>
      <c r="P27" s="8" t="str">
        <f t="shared" si="5"/>
        <v/>
      </c>
      <c r="Q27" s="9"/>
      <c r="R27" s="31"/>
      <c r="S27" s="8" t="str">
        <f t="shared" si="6"/>
        <v/>
      </c>
      <c r="T27" s="8" t="str">
        <f t="shared" si="7"/>
        <v/>
      </c>
      <c r="U27" s="8">
        <f>IF(T27="",0,IF(SUMPRODUCT(--(T$4:T27=T27))&gt;1,1,0))</f>
        <v>0</v>
      </c>
      <c r="V27" s="8">
        <f>IF(OR(T27="",U27=1,B27="",K27&lt;&gt;"نعم"),0,IF(COUNTIFS(B$4:B27,B27,K$4:K27,"نعم",U$4:U27,0)=1,1,0))</f>
        <v>0</v>
      </c>
    </row>
    <row r="28" spans="1:22" x14ac:dyDescent="0.25">
      <c r="A28" s="8">
        <v>25</v>
      </c>
      <c r="B28" s="9"/>
      <c r="C28" s="33" t="str">
        <f t="shared" si="0"/>
        <v/>
      </c>
      <c r="D28" s="31"/>
      <c r="E28" s="31"/>
      <c r="F28" s="11"/>
      <c r="G28" s="11"/>
      <c r="H28" s="11"/>
      <c r="I28" s="9"/>
      <c r="J28" s="12" t="str">
        <f t="shared" si="1"/>
        <v/>
      </c>
      <c r="K28" s="9"/>
      <c r="L28" s="12" t="str">
        <f t="shared" si="2"/>
        <v/>
      </c>
      <c r="M28" s="11"/>
      <c r="N28" s="12" t="str">
        <f t="shared" si="3"/>
        <v/>
      </c>
      <c r="O28" s="12" t="str">
        <f t="shared" si="4"/>
        <v/>
      </c>
      <c r="P28" s="8" t="str">
        <f t="shared" si="5"/>
        <v/>
      </c>
      <c r="Q28" s="9"/>
      <c r="R28" s="31"/>
      <c r="S28" s="8" t="str">
        <f t="shared" si="6"/>
        <v/>
      </c>
      <c r="T28" s="8" t="str">
        <f t="shared" si="7"/>
        <v/>
      </c>
      <c r="U28" s="8">
        <f>IF(T28="",0,IF(SUMPRODUCT(--(T$4:T28=T28))&gt;1,1,0))</f>
        <v>0</v>
      </c>
      <c r="V28" s="8">
        <f>IF(OR(T28="",U28=1,B28="",K28&lt;&gt;"نعم"),0,IF(COUNTIFS(B$4:B28,B28,K$4:K28,"نعم",U$4:U28,0)=1,1,0))</f>
        <v>0</v>
      </c>
    </row>
    <row r="29" spans="1:22" x14ac:dyDescent="0.25">
      <c r="A29" s="8">
        <v>26</v>
      </c>
      <c r="B29" s="9"/>
      <c r="C29" s="33" t="str">
        <f t="shared" si="0"/>
        <v/>
      </c>
      <c r="D29" s="31"/>
      <c r="E29" s="31"/>
      <c r="F29" s="11"/>
      <c r="G29" s="11"/>
      <c r="H29" s="11"/>
      <c r="I29" s="9"/>
      <c r="J29" s="12" t="str">
        <f t="shared" si="1"/>
        <v/>
      </c>
      <c r="K29" s="9"/>
      <c r="L29" s="12" t="str">
        <f t="shared" si="2"/>
        <v/>
      </c>
      <c r="M29" s="11"/>
      <c r="N29" s="12" t="str">
        <f t="shared" si="3"/>
        <v/>
      </c>
      <c r="O29" s="12" t="str">
        <f t="shared" si="4"/>
        <v/>
      </c>
      <c r="P29" s="8" t="str">
        <f t="shared" si="5"/>
        <v/>
      </c>
      <c r="Q29" s="9"/>
      <c r="R29" s="31"/>
      <c r="S29" s="8" t="str">
        <f t="shared" si="6"/>
        <v/>
      </c>
      <c r="T29" s="8" t="str">
        <f t="shared" si="7"/>
        <v/>
      </c>
      <c r="U29" s="8">
        <f>IF(T29="",0,IF(SUMPRODUCT(--(T$4:T29=T29))&gt;1,1,0))</f>
        <v>0</v>
      </c>
      <c r="V29" s="8">
        <f>IF(OR(T29="",U29=1,B29="",K29&lt;&gt;"نعم"),0,IF(COUNTIFS(B$4:B29,B29,K$4:K29,"نعم",U$4:U29,0)=1,1,0))</f>
        <v>0</v>
      </c>
    </row>
    <row r="30" spans="1:22" x14ac:dyDescent="0.25">
      <c r="A30" s="8">
        <v>27</v>
      </c>
      <c r="B30" s="9"/>
      <c r="C30" s="33" t="str">
        <f t="shared" si="0"/>
        <v/>
      </c>
      <c r="D30" s="31"/>
      <c r="E30" s="31"/>
      <c r="F30" s="11"/>
      <c r="G30" s="11"/>
      <c r="H30" s="11"/>
      <c r="I30" s="9"/>
      <c r="J30" s="12" t="str">
        <f t="shared" si="1"/>
        <v/>
      </c>
      <c r="K30" s="9"/>
      <c r="L30" s="12" t="str">
        <f t="shared" si="2"/>
        <v/>
      </c>
      <c r="M30" s="11"/>
      <c r="N30" s="12" t="str">
        <f t="shared" si="3"/>
        <v/>
      </c>
      <c r="O30" s="12" t="str">
        <f t="shared" si="4"/>
        <v/>
      </c>
      <c r="P30" s="8" t="str">
        <f t="shared" si="5"/>
        <v/>
      </c>
      <c r="Q30" s="9"/>
      <c r="R30" s="31"/>
      <c r="S30" s="8" t="str">
        <f t="shared" si="6"/>
        <v/>
      </c>
      <c r="T30" s="8" t="str">
        <f t="shared" si="7"/>
        <v/>
      </c>
      <c r="U30" s="8">
        <f>IF(T30="",0,IF(SUMPRODUCT(--(T$4:T30=T30))&gt;1,1,0))</f>
        <v>0</v>
      </c>
      <c r="V30" s="8">
        <f>IF(OR(T30="",U30=1,B30="",K30&lt;&gt;"نعم"),0,IF(COUNTIFS(B$4:B30,B30,K$4:K30,"نعم",U$4:U30,0)=1,1,0))</f>
        <v>0</v>
      </c>
    </row>
    <row r="31" spans="1:22" x14ac:dyDescent="0.25">
      <c r="A31" s="8">
        <v>28</v>
      </c>
      <c r="B31" s="9"/>
      <c r="C31" s="33" t="str">
        <f t="shared" si="0"/>
        <v/>
      </c>
      <c r="D31" s="31"/>
      <c r="E31" s="31"/>
      <c r="F31" s="11"/>
      <c r="G31" s="11"/>
      <c r="H31" s="11"/>
      <c r="I31" s="9"/>
      <c r="J31" s="12" t="str">
        <f t="shared" si="1"/>
        <v/>
      </c>
      <c r="K31" s="9"/>
      <c r="L31" s="12" t="str">
        <f t="shared" si="2"/>
        <v/>
      </c>
      <c r="M31" s="11"/>
      <c r="N31" s="12" t="str">
        <f t="shared" si="3"/>
        <v/>
      </c>
      <c r="O31" s="12" t="str">
        <f t="shared" si="4"/>
        <v/>
      </c>
      <c r="P31" s="8" t="str">
        <f t="shared" si="5"/>
        <v/>
      </c>
      <c r="Q31" s="9"/>
      <c r="R31" s="31"/>
      <c r="S31" s="8" t="str">
        <f t="shared" si="6"/>
        <v/>
      </c>
      <c r="T31" s="8" t="str">
        <f t="shared" si="7"/>
        <v/>
      </c>
      <c r="U31" s="8">
        <f>IF(T31="",0,IF(SUMPRODUCT(--(T$4:T31=T31))&gt;1,1,0))</f>
        <v>0</v>
      </c>
      <c r="V31" s="8">
        <f>IF(OR(T31="",U31=1,B31="",K31&lt;&gt;"نعم"),0,IF(COUNTIFS(B$4:B31,B31,K$4:K31,"نعم",U$4:U31,0)=1,1,0))</f>
        <v>0</v>
      </c>
    </row>
    <row r="32" spans="1:22" x14ac:dyDescent="0.25">
      <c r="A32" s="8">
        <v>29</v>
      </c>
      <c r="B32" s="9"/>
      <c r="C32" s="33" t="str">
        <f t="shared" si="0"/>
        <v/>
      </c>
      <c r="D32" s="31"/>
      <c r="E32" s="31"/>
      <c r="F32" s="11"/>
      <c r="G32" s="11"/>
      <c r="H32" s="11"/>
      <c r="I32" s="9"/>
      <c r="J32" s="12" t="str">
        <f t="shared" si="1"/>
        <v/>
      </c>
      <c r="K32" s="9"/>
      <c r="L32" s="12" t="str">
        <f t="shared" si="2"/>
        <v/>
      </c>
      <c r="M32" s="11"/>
      <c r="N32" s="12" t="str">
        <f t="shared" si="3"/>
        <v/>
      </c>
      <c r="O32" s="12" t="str">
        <f t="shared" si="4"/>
        <v/>
      </c>
      <c r="P32" s="8" t="str">
        <f t="shared" si="5"/>
        <v/>
      </c>
      <c r="Q32" s="9"/>
      <c r="R32" s="31"/>
      <c r="S32" s="8" t="str">
        <f t="shared" si="6"/>
        <v/>
      </c>
      <c r="T32" s="8" t="str">
        <f t="shared" si="7"/>
        <v/>
      </c>
      <c r="U32" s="8">
        <f>IF(T32="",0,IF(SUMPRODUCT(--(T$4:T32=T32))&gt;1,1,0))</f>
        <v>0</v>
      </c>
      <c r="V32" s="8">
        <f>IF(OR(T32="",U32=1,B32="",K32&lt;&gt;"نعم"),0,IF(COUNTIFS(B$4:B32,B32,K$4:K32,"نعم",U$4:U32,0)=1,1,0))</f>
        <v>0</v>
      </c>
    </row>
    <row r="33" spans="1:22" x14ac:dyDescent="0.25">
      <c r="A33" s="8">
        <v>30</v>
      </c>
      <c r="B33" s="9"/>
      <c r="C33" s="33" t="str">
        <f t="shared" si="0"/>
        <v/>
      </c>
      <c r="D33" s="31"/>
      <c r="E33" s="31"/>
      <c r="F33" s="11"/>
      <c r="G33" s="11"/>
      <c r="H33" s="11"/>
      <c r="I33" s="9"/>
      <c r="J33" s="12" t="str">
        <f t="shared" si="1"/>
        <v/>
      </c>
      <c r="K33" s="9"/>
      <c r="L33" s="12" t="str">
        <f t="shared" si="2"/>
        <v/>
      </c>
      <c r="M33" s="11"/>
      <c r="N33" s="12" t="str">
        <f t="shared" si="3"/>
        <v/>
      </c>
      <c r="O33" s="12" t="str">
        <f t="shared" si="4"/>
        <v/>
      </c>
      <c r="P33" s="8" t="str">
        <f t="shared" si="5"/>
        <v/>
      </c>
      <c r="Q33" s="9"/>
      <c r="R33" s="31"/>
      <c r="S33" s="8" t="str">
        <f t="shared" si="6"/>
        <v/>
      </c>
      <c r="T33" s="8" t="str">
        <f t="shared" si="7"/>
        <v/>
      </c>
      <c r="U33" s="8">
        <f>IF(T33="",0,IF(SUMPRODUCT(--(T$4:T33=T33))&gt;1,1,0))</f>
        <v>0</v>
      </c>
      <c r="V33" s="8">
        <f>IF(OR(T33="",U33=1,B33="",K33&lt;&gt;"نعم"),0,IF(COUNTIFS(B$4:B33,B33,K$4:K33,"نعم",U$4:U33,0)=1,1,0))</f>
        <v>0</v>
      </c>
    </row>
    <row r="34" spans="1:22" x14ac:dyDescent="0.25">
      <c r="A34" s="8">
        <v>31</v>
      </c>
      <c r="B34" s="9"/>
      <c r="C34" s="33" t="str">
        <f t="shared" si="0"/>
        <v/>
      </c>
      <c r="D34" s="31"/>
      <c r="E34" s="31"/>
      <c r="F34" s="11"/>
      <c r="G34" s="11"/>
      <c r="H34" s="11"/>
      <c r="I34" s="9"/>
      <c r="J34" s="12" t="str">
        <f t="shared" si="1"/>
        <v/>
      </c>
      <c r="K34" s="9"/>
      <c r="L34" s="12" t="str">
        <f t="shared" si="2"/>
        <v/>
      </c>
      <c r="M34" s="11"/>
      <c r="N34" s="12" t="str">
        <f t="shared" si="3"/>
        <v/>
      </c>
      <c r="O34" s="12" t="str">
        <f t="shared" si="4"/>
        <v/>
      </c>
      <c r="P34" s="8" t="str">
        <f t="shared" si="5"/>
        <v/>
      </c>
      <c r="Q34" s="9"/>
      <c r="R34" s="31"/>
      <c r="S34" s="8" t="str">
        <f t="shared" si="6"/>
        <v/>
      </c>
      <c r="T34" s="8" t="str">
        <f t="shared" si="7"/>
        <v/>
      </c>
      <c r="U34" s="8">
        <f>IF(T34="",0,IF(SUMPRODUCT(--(T$4:T34=T34))&gt;1,1,0))</f>
        <v>0</v>
      </c>
      <c r="V34" s="8">
        <f>IF(OR(T34="",U34=1,B34="",K34&lt;&gt;"نعم"),0,IF(COUNTIFS(B$4:B34,B34,K$4:K34,"نعم",U$4:U34,0)=1,1,0))</f>
        <v>0</v>
      </c>
    </row>
    <row r="35" spans="1:22" x14ac:dyDescent="0.25">
      <c r="A35" s="8">
        <v>32</v>
      </c>
      <c r="B35" s="9"/>
      <c r="C35" s="33" t="str">
        <f t="shared" si="0"/>
        <v/>
      </c>
      <c r="D35" s="31"/>
      <c r="E35" s="31"/>
      <c r="F35" s="11"/>
      <c r="G35" s="11"/>
      <c r="H35" s="11"/>
      <c r="I35" s="9"/>
      <c r="J35" s="12" t="str">
        <f t="shared" si="1"/>
        <v/>
      </c>
      <c r="K35" s="9"/>
      <c r="L35" s="12" t="str">
        <f t="shared" si="2"/>
        <v/>
      </c>
      <c r="M35" s="11"/>
      <c r="N35" s="12" t="str">
        <f t="shared" si="3"/>
        <v/>
      </c>
      <c r="O35" s="12" t="str">
        <f t="shared" si="4"/>
        <v/>
      </c>
      <c r="P35" s="8" t="str">
        <f t="shared" si="5"/>
        <v/>
      </c>
      <c r="Q35" s="9"/>
      <c r="R35" s="31"/>
      <c r="S35" s="8" t="str">
        <f t="shared" si="6"/>
        <v/>
      </c>
      <c r="T35" s="8" t="str">
        <f t="shared" si="7"/>
        <v/>
      </c>
      <c r="U35" s="8">
        <f>IF(T35="",0,IF(SUMPRODUCT(--(T$4:T35=T35))&gt;1,1,0))</f>
        <v>0</v>
      </c>
      <c r="V35" s="8">
        <f>IF(OR(T35="",U35=1,B35="",K35&lt;&gt;"نعم"),0,IF(COUNTIFS(B$4:B35,B35,K$4:K35,"نعم",U$4:U35,0)=1,1,0))</f>
        <v>0</v>
      </c>
    </row>
    <row r="36" spans="1:22" x14ac:dyDescent="0.25">
      <c r="A36" s="8">
        <v>33</v>
      </c>
      <c r="B36" s="9"/>
      <c r="C36" s="33" t="str">
        <f t="shared" si="0"/>
        <v/>
      </c>
      <c r="D36" s="31"/>
      <c r="E36" s="31"/>
      <c r="F36" s="11"/>
      <c r="G36" s="11"/>
      <c r="H36" s="11"/>
      <c r="I36" s="9"/>
      <c r="J36" s="12" t="str">
        <f t="shared" si="1"/>
        <v/>
      </c>
      <c r="K36" s="9"/>
      <c r="L36" s="12" t="str">
        <f t="shared" si="2"/>
        <v/>
      </c>
      <c r="M36" s="11"/>
      <c r="N36" s="12" t="str">
        <f t="shared" si="3"/>
        <v/>
      </c>
      <c r="O36" s="12" t="str">
        <f t="shared" si="4"/>
        <v/>
      </c>
      <c r="P36" s="8" t="str">
        <f t="shared" si="5"/>
        <v/>
      </c>
      <c r="Q36" s="9"/>
      <c r="R36" s="31"/>
      <c r="S36" s="8" t="str">
        <f t="shared" si="6"/>
        <v/>
      </c>
      <c r="T36" s="8" t="str">
        <f t="shared" si="7"/>
        <v/>
      </c>
      <c r="U36" s="8">
        <f>IF(T36="",0,IF(SUMPRODUCT(--(T$4:T36=T36))&gt;1,1,0))</f>
        <v>0</v>
      </c>
      <c r="V36" s="8">
        <f>IF(OR(T36="",U36=1,B36="",K36&lt;&gt;"نعم"),0,IF(COUNTIFS(B$4:B36,B36,K$4:K36,"نعم",U$4:U36,0)=1,1,0))</f>
        <v>0</v>
      </c>
    </row>
    <row r="37" spans="1:22" x14ac:dyDescent="0.25">
      <c r="A37" s="8">
        <v>34</v>
      </c>
      <c r="B37" s="9"/>
      <c r="C37" s="33" t="str">
        <f t="shared" si="0"/>
        <v/>
      </c>
      <c r="D37" s="31"/>
      <c r="E37" s="31"/>
      <c r="F37" s="11"/>
      <c r="G37" s="11"/>
      <c r="H37" s="11"/>
      <c r="I37" s="9"/>
      <c r="J37" s="12" t="str">
        <f t="shared" si="1"/>
        <v/>
      </c>
      <c r="K37" s="9"/>
      <c r="L37" s="12" t="str">
        <f t="shared" si="2"/>
        <v/>
      </c>
      <c r="M37" s="11"/>
      <c r="N37" s="12" t="str">
        <f t="shared" si="3"/>
        <v/>
      </c>
      <c r="O37" s="12" t="str">
        <f t="shared" si="4"/>
        <v/>
      </c>
      <c r="P37" s="8" t="str">
        <f t="shared" si="5"/>
        <v/>
      </c>
      <c r="Q37" s="9"/>
      <c r="R37" s="31"/>
      <c r="S37" s="8" t="str">
        <f t="shared" si="6"/>
        <v/>
      </c>
      <c r="T37" s="8" t="str">
        <f t="shared" si="7"/>
        <v/>
      </c>
      <c r="U37" s="8">
        <f>IF(T37="",0,IF(SUMPRODUCT(--(T$4:T37=T37))&gt;1,1,0))</f>
        <v>0</v>
      </c>
      <c r="V37" s="8">
        <f>IF(OR(T37="",U37=1,B37="",K37&lt;&gt;"نعم"),0,IF(COUNTIFS(B$4:B37,B37,K$4:K37,"نعم",U$4:U37,0)=1,1,0))</f>
        <v>0</v>
      </c>
    </row>
    <row r="38" spans="1:22" x14ac:dyDescent="0.25">
      <c r="A38" s="8">
        <v>35</v>
      </c>
      <c r="B38" s="9"/>
      <c r="C38" s="33" t="str">
        <f t="shared" si="0"/>
        <v/>
      </c>
      <c r="D38" s="31"/>
      <c r="E38" s="31"/>
      <c r="F38" s="11"/>
      <c r="G38" s="11"/>
      <c r="H38" s="11"/>
      <c r="I38" s="9"/>
      <c r="J38" s="12" t="str">
        <f t="shared" si="1"/>
        <v/>
      </c>
      <c r="K38" s="9"/>
      <c r="L38" s="12" t="str">
        <f t="shared" si="2"/>
        <v/>
      </c>
      <c r="M38" s="11"/>
      <c r="N38" s="12" t="str">
        <f t="shared" si="3"/>
        <v/>
      </c>
      <c r="O38" s="12" t="str">
        <f t="shared" si="4"/>
        <v/>
      </c>
      <c r="P38" s="8" t="str">
        <f t="shared" si="5"/>
        <v/>
      </c>
      <c r="Q38" s="9"/>
      <c r="R38" s="31"/>
      <c r="S38" s="8" t="str">
        <f t="shared" si="6"/>
        <v/>
      </c>
      <c r="T38" s="8" t="str">
        <f t="shared" si="7"/>
        <v/>
      </c>
      <c r="U38" s="8">
        <f>IF(T38="",0,IF(SUMPRODUCT(--(T$4:T38=T38))&gt;1,1,0))</f>
        <v>0</v>
      </c>
      <c r="V38" s="8">
        <f>IF(OR(T38="",U38=1,B38="",K38&lt;&gt;"نعم"),0,IF(COUNTIFS(B$4:B38,B38,K$4:K38,"نعم",U$4:U38,0)=1,1,0))</f>
        <v>0</v>
      </c>
    </row>
    <row r="39" spans="1:22" x14ac:dyDescent="0.25">
      <c r="A39" s="8">
        <v>36</v>
      </c>
      <c r="B39" s="9"/>
      <c r="C39" s="33" t="str">
        <f t="shared" si="0"/>
        <v/>
      </c>
      <c r="D39" s="31"/>
      <c r="E39" s="31"/>
      <c r="F39" s="11"/>
      <c r="G39" s="11"/>
      <c r="H39" s="11"/>
      <c r="I39" s="9"/>
      <c r="J39" s="12" t="str">
        <f t="shared" si="1"/>
        <v/>
      </c>
      <c r="K39" s="9"/>
      <c r="L39" s="12" t="str">
        <f t="shared" si="2"/>
        <v/>
      </c>
      <c r="M39" s="11"/>
      <c r="N39" s="12" t="str">
        <f t="shared" si="3"/>
        <v/>
      </c>
      <c r="O39" s="12" t="str">
        <f t="shared" si="4"/>
        <v/>
      </c>
      <c r="P39" s="8" t="str">
        <f t="shared" si="5"/>
        <v/>
      </c>
      <c r="Q39" s="9"/>
      <c r="R39" s="31"/>
      <c r="S39" s="8" t="str">
        <f t="shared" si="6"/>
        <v/>
      </c>
      <c r="T39" s="8" t="str">
        <f t="shared" si="7"/>
        <v/>
      </c>
      <c r="U39" s="8">
        <f>IF(T39="",0,IF(SUMPRODUCT(--(T$4:T39=T39))&gt;1,1,0))</f>
        <v>0</v>
      </c>
      <c r="V39" s="8">
        <f>IF(OR(T39="",U39=1,B39="",K39&lt;&gt;"نعم"),0,IF(COUNTIFS(B$4:B39,B39,K$4:K39,"نعم",U$4:U39,0)=1,1,0))</f>
        <v>0</v>
      </c>
    </row>
    <row r="40" spans="1:22" x14ac:dyDescent="0.25">
      <c r="A40" s="8">
        <v>37</v>
      </c>
      <c r="B40" s="9"/>
      <c r="C40" s="33" t="str">
        <f t="shared" si="0"/>
        <v/>
      </c>
      <c r="D40" s="31"/>
      <c r="E40" s="31"/>
      <c r="F40" s="11"/>
      <c r="G40" s="11"/>
      <c r="H40" s="11"/>
      <c r="I40" s="9"/>
      <c r="J40" s="12" t="str">
        <f t="shared" si="1"/>
        <v/>
      </c>
      <c r="K40" s="9"/>
      <c r="L40" s="12" t="str">
        <f t="shared" si="2"/>
        <v/>
      </c>
      <c r="M40" s="11"/>
      <c r="N40" s="12" t="str">
        <f t="shared" si="3"/>
        <v/>
      </c>
      <c r="O40" s="12" t="str">
        <f t="shared" si="4"/>
        <v/>
      </c>
      <c r="P40" s="8" t="str">
        <f t="shared" si="5"/>
        <v/>
      </c>
      <c r="Q40" s="9"/>
      <c r="R40" s="31"/>
      <c r="S40" s="8" t="str">
        <f t="shared" si="6"/>
        <v/>
      </c>
      <c r="T40" s="8" t="str">
        <f t="shared" si="7"/>
        <v/>
      </c>
      <c r="U40" s="8">
        <f>IF(T40="",0,IF(SUMPRODUCT(--(T$4:T40=T40))&gt;1,1,0))</f>
        <v>0</v>
      </c>
      <c r="V40" s="8">
        <f>IF(OR(T40="",U40=1,B40="",K40&lt;&gt;"نعم"),0,IF(COUNTIFS(B$4:B40,B40,K$4:K40,"نعم",U$4:U40,0)=1,1,0))</f>
        <v>0</v>
      </c>
    </row>
    <row r="41" spans="1:22" x14ac:dyDescent="0.25">
      <c r="A41" s="8">
        <v>38</v>
      </c>
      <c r="B41" s="9"/>
      <c r="C41" s="33" t="str">
        <f t="shared" si="0"/>
        <v/>
      </c>
      <c r="D41" s="31"/>
      <c r="E41" s="31"/>
      <c r="F41" s="11"/>
      <c r="G41" s="11"/>
      <c r="H41" s="11"/>
      <c r="I41" s="9"/>
      <c r="J41" s="12" t="str">
        <f t="shared" si="1"/>
        <v/>
      </c>
      <c r="K41" s="9"/>
      <c r="L41" s="12" t="str">
        <f t="shared" si="2"/>
        <v/>
      </c>
      <c r="M41" s="11"/>
      <c r="N41" s="12" t="str">
        <f t="shared" si="3"/>
        <v/>
      </c>
      <c r="O41" s="12" t="str">
        <f t="shared" si="4"/>
        <v/>
      </c>
      <c r="P41" s="8" t="str">
        <f t="shared" si="5"/>
        <v/>
      </c>
      <c r="Q41" s="9"/>
      <c r="R41" s="31"/>
      <c r="S41" s="8" t="str">
        <f t="shared" si="6"/>
        <v/>
      </c>
      <c r="T41" s="8" t="str">
        <f t="shared" si="7"/>
        <v/>
      </c>
      <c r="U41" s="8">
        <f>IF(T41="",0,IF(SUMPRODUCT(--(T$4:T41=T41))&gt;1,1,0))</f>
        <v>0</v>
      </c>
      <c r="V41" s="8">
        <f>IF(OR(T41="",U41=1,B41="",K41&lt;&gt;"نعم"),0,IF(COUNTIFS(B$4:B41,B41,K$4:K41,"نعم",U$4:U41,0)=1,1,0))</f>
        <v>0</v>
      </c>
    </row>
    <row r="42" spans="1:22" x14ac:dyDescent="0.25">
      <c r="A42" s="8">
        <v>39</v>
      </c>
      <c r="B42" s="9"/>
      <c r="C42" s="33" t="str">
        <f t="shared" si="0"/>
        <v/>
      </c>
      <c r="D42" s="31"/>
      <c r="E42" s="31"/>
      <c r="F42" s="11"/>
      <c r="G42" s="11"/>
      <c r="H42" s="11"/>
      <c r="I42" s="9"/>
      <c r="J42" s="12" t="str">
        <f t="shared" si="1"/>
        <v/>
      </c>
      <c r="K42" s="9"/>
      <c r="L42" s="12" t="str">
        <f t="shared" si="2"/>
        <v/>
      </c>
      <c r="M42" s="11"/>
      <c r="N42" s="12" t="str">
        <f t="shared" si="3"/>
        <v/>
      </c>
      <c r="O42" s="12" t="str">
        <f t="shared" si="4"/>
        <v/>
      </c>
      <c r="P42" s="8" t="str">
        <f t="shared" si="5"/>
        <v/>
      </c>
      <c r="Q42" s="9"/>
      <c r="R42" s="31"/>
      <c r="S42" s="8" t="str">
        <f t="shared" si="6"/>
        <v/>
      </c>
      <c r="T42" s="8" t="str">
        <f t="shared" si="7"/>
        <v/>
      </c>
      <c r="U42" s="8">
        <f>IF(T42="",0,IF(SUMPRODUCT(--(T$4:T42=T42))&gt;1,1,0))</f>
        <v>0</v>
      </c>
      <c r="V42" s="8">
        <f>IF(OR(T42="",U42=1,B42="",K42&lt;&gt;"نعم"),0,IF(COUNTIFS(B$4:B42,B42,K$4:K42,"نعم",U$4:U42,0)=1,1,0))</f>
        <v>0</v>
      </c>
    </row>
    <row r="43" spans="1:22" x14ac:dyDescent="0.25">
      <c r="A43" s="8">
        <v>40</v>
      </c>
      <c r="B43" s="9"/>
      <c r="C43" s="33" t="str">
        <f t="shared" si="0"/>
        <v/>
      </c>
      <c r="D43" s="31"/>
      <c r="E43" s="31"/>
      <c r="F43" s="11"/>
      <c r="G43" s="11"/>
      <c r="H43" s="11"/>
      <c r="I43" s="9"/>
      <c r="J43" s="12" t="str">
        <f t="shared" si="1"/>
        <v/>
      </c>
      <c r="K43" s="9"/>
      <c r="L43" s="12" t="str">
        <f t="shared" si="2"/>
        <v/>
      </c>
      <c r="M43" s="11"/>
      <c r="N43" s="12" t="str">
        <f t="shared" si="3"/>
        <v/>
      </c>
      <c r="O43" s="12" t="str">
        <f t="shared" si="4"/>
        <v/>
      </c>
      <c r="P43" s="8" t="str">
        <f t="shared" si="5"/>
        <v/>
      </c>
      <c r="Q43" s="9"/>
      <c r="R43" s="31"/>
      <c r="S43" s="8" t="str">
        <f t="shared" si="6"/>
        <v/>
      </c>
      <c r="T43" s="8" t="str">
        <f t="shared" si="7"/>
        <v/>
      </c>
      <c r="U43" s="8">
        <f>IF(T43="",0,IF(SUMPRODUCT(--(T$4:T43=T43))&gt;1,1,0))</f>
        <v>0</v>
      </c>
      <c r="V43" s="8">
        <f>IF(OR(T43="",U43=1,B43="",K43&lt;&gt;"نعم"),0,IF(COUNTIFS(B$4:B43,B43,K$4:K43,"نعم",U$4:U43,0)=1,1,0))</f>
        <v>0</v>
      </c>
    </row>
    <row r="44" spans="1:22" x14ac:dyDescent="0.25">
      <c r="A44" s="8">
        <v>41</v>
      </c>
      <c r="B44" s="9"/>
      <c r="C44" s="33" t="str">
        <f t="shared" si="0"/>
        <v/>
      </c>
      <c r="D44" s="31"/>
      <c r="E44" s="31"/>
      <c r="F44" s="11"/>
      <c r="G44" s="11"/>
      <c r="H44" s="11"/>
      <c r="I44" s="9"/>
      <c r="J44" s="12" t="str">
        <f t="shared" si="1"/>
        <v/>
      </c>
      <c r="K44" s="9"/>
      <c r="L44" s="12" t="str">
        <f t="shared" si="2"/>
        <v/>
      </c>
      <c r="M44" s="11"/>
      <c r="N44" s="12" t="str">
        <f t="shared" si="3"/>
        <v/>
      </c>
      <c r="O44" s="12" t="str">
        <f t="shared" si="4"/>
        <v/>
      </c>
      <c r="P44" s="8" t="str">
        <f t="shared" si="5"/>
        <v/>
      </c>
      <c r="Q44" s="9"/>
      <c r="R44" s="31"/>
      <c r="S44" s="8" t="str">
        <f t="shared" si="6"/>
        <v/>
      </c>
      <c r="T44" s="8" t="str">
        <f t="shared" si="7"/>
        <v/>
      </c>
      <c r="U44" s="8">
        <f>IF(T44="",0,IF(SUMPRODUCT(--(T$4:T44=T44))&gt;1,1,0))</f>
        <v>0</v>
      </c>
      <c r="V44" s="8">
        <f>IF(OR(T44="",U44=1,B44="",K44&lt;&gt;"نعم"),0,IF(COUNTIFS(B$4:B44,B44,K$4:K44,"نعم",U$4:U44,0)=1,1,0))</f>
        <v>0</v>
      </c>
    </row>
    <row r="45" spans="1:22" x14ac:dyDescent="0.25">
      <c r="A45" s="8">
        <v>42</v>
      </c>
      <c r="B45" s="9"/>
      <c r="C45" s="33" t="str">
        <f t="shared" si="0"/>
        <v/>
      </c>
      <c r="D45" s="31"/>
      <c r="E45" s="31"/>
      <c r="F45" s="11"/>
      <c r="G45" s="11"/>
      <c r="H45" s="11"/>
      <c r="I45" s="9"/>
      <c r="J45" s="12" t="str">
        <f t="shared" si="1"/>
        <v/>
      </c>
      <c r="K45" s="9"/>
      <c r="L45" s="12" t="str">
        <f t="shared" si="2"/>
        <v/>
      </c>
      <c r="M45" s="11"/>
      <c r="N45" s="12" t="str">
        <f t="shared" si="3"/>
        <v/>
      </c>
      <c r="O45" s="12" t="str">
        <f t="shared" si="4"/>
        <v/>
      </c>
      <c r="P45" s="8" t="str">
        <f t="shared" si="5"/>
        <v/>
      </c>
      <c r="Q45" s="9"/>
      <c r="R45" s="31"/>
      <c r="S45" s="8" t="str">
        <f t="shared" si="6"/>
        <v/>
      </c>
      <c r="T45" s="8" t="str">
        <f t="shared" si="7"/>
        <v/>
      </c>
      <c r="U45" s="8">
        <f>IF(T45="",0,IF(SUMPRODUCT(--(T$4:T45=T45))&gt;1,1,0))</f>
        <v>0</v>
      </c>
      <c r="V45" s="8">
        <f>IF(OR(T45="",U45=1,B45="",K45&lt;&gt;"نعم"),0,IF(COUNTIFS(B$4:B45,B45,K$4:K45,"نعم",U$4:U45,0)=1,1,0))</f>
        <v>0</v>
      </c>
    </row>
    <row r="46" spans="1:22" x14ac:dyDescent="0.25">
      <c r="A46" s="8">
        <v>43</v>
      </c>
      <c r="B46" s="9"/>
      <c r="C46" s="33" t="str">
        <f t="shared" si="0"/>
        <v/>
      </c>
      <c r="D46" s="31"/>
      <c r="E46" s="31"/>
      <c r="F46" s="11"/>
      <c r="G46" s="11"/>
      <c r="H46" s="11"/>
      <c r="I46" s="9"/>
      <c r="J46" s="12" t="str">
        <f t="shared" si="1"/>
        <v/>
      </c>
      <c r="K46" s="9"/>
      <c r="L46" s="12" t="str">
        <f t="shared" si="2"/>
        <v/>
      </c>
      <c r="M46" s="11"/>
      <c r="N46" s="12" t="str">
        <f t="shared" si="3"/>
        <v/>
      </c>
      <c r="O46" s="12" t="str">
        <f t="shared" si="4"/>
        <v/>
      </c>
      <c r="P46" s="8" t="str">
        <f t="shared" si="5"/>
        <v/>
      </c>
      <c r="Q46" s="9"/>
      <c r="R46" s="31"/>
      <c r="S46" s="8" t="str">
        <f t="shared" si="6"/>
        <v/>
      </c>
      <c r="T46" s="8" t="str">
        <f t="shared" si="7"/>
        <v/>
      </c>
      <c r="U46" s="8">
        <f>IF(T46="",0,IF(SUMPRODUCT(--(T$4:T46=T46))&gt;1,1,0))</f>
        <v>0</v>
      </c>
      <c r="V46" s="8">
        <f>IF(OR(T46="",U46=1,B46="",K46&lt;&gt;"نعم"),0,IF(COUNTIFS(B$4:B46,B46,K$4:K46,"نعم",U$4:U46,0)=1,1,0))</f>
        <v>0</v>
      </c>
    </row>
    <row r="47" spans="1:22" x14ac:dyDescent="0.25">
      <c r="A47" s="8">
        <v>44</v>
      </c>
      <c r="B47" s="9"/>
      <c r="C47" s="33" t="str">
        <f t="shared" si="0"/>
        <v/>
      </c>
      <c r="D47" s="31"/>
      <c r="E47" s="31"/>
      <c r="F47" s="11"/>
      <c r="G47" s="11"/>
      <c r="H47" s="11"/>
      <c r="I47" s="9"/>
      <c r="J47" s="12" t="str">
        <f t="shared" si="1"/>
        <v/>
      </c>
      <c r="K47" s="9"/>
      <c r="L47" s="12" t="str">
        <f t="shared" si="2"/>
        <v/>
      </c>
      <c r="M47" s="11"/>
      <c r="N47" s="12" t="str">
        <f t="shared" si="3"/>
        <v/>
      </c>
      <c r="O47" s="12" t="str">
        <f t="shared" si="4"/>
        <v/>
      </c>
      <c r="P47" s="8" t="str">
        <f t="shared" si="5"/>
        <v/>
      </c>
      <c r="Q47" s="9"/>
      <c r="R47" s="31"/>
      <c r="S47" s="8" t="str">
        <f t="shared" si="6"/>
        <v/>
      </c>
      <c r="T47" s="8" t="str">
        <f t="shared" si="7"/>
        <v/>
      </c>
      <c r="U47" s="8">
        <f>IF(T47="",0,IF(SUMPRODUCT(--(T$4:T47=T47))&gt;1,1,0))</f>
        <v>0</v>
      </c>
      <c r="V47" s="8">
        <f>IF(OR(T47="",U47=1,B47="",K47&lt;&gt;"نعم"),0,IF(COUNTIFS(B$4:B47,B47,K$4:K47,"نعم",U$4:U47,0)=1,1,0))</f>
        <v>0</v>
      </c>
    </row>
    <row r="48" spans="1:22" x14ac:dyDescent="0.25">
      <c r="A48" s="8">
        <v>45</v>
      </c>
      <c r="B48" s="9"/>
      <c r="C48" s="33" t="str">
        <f t="shared" si="0"/>
        <v/>
      </c>
      <c r="D48" s="31"/>
      <c r="E48" s="31"/>
      <c r="F48" s="11"/>
      <c r="G48" s="11"/>
      <c r="H48" s="11"/>
      <c r="I48" s="9"/>
      <c r="J48" s="12" t="str">
        <f t="shared" si="1"/>
        <v/>
      </c>
      <c r="K48" s="9"/>
      <c r="L48" s="12" t="str">
        <f t="shared" si="2"/>
        <v/>
      </c>
      <c r="M48" s="11"/>
      <c r="N48" s="12" t="str">
        <f t="shared" si="3"/>
        <v/>
      </c>
      <c r="O48" s="12" t="str">
        <f t="shared" si="4"/>
        <v/>
      </c>
      <c r="P48" s="8" t="str">
        <f t="shared" si="5"/>
        <v/>
      </c>
      <c r="Q48" s="9"/>
      <c r="R48" s="31"/>
      <c r="S48" s="8" t="str">
        <f t="shared" si="6"/>
        <v/>
      </c>
      <c r="T48" s="8" t="str">
        <f t="shared" si="7"/>
        <v/>
      </c>
      <c r="U48" s="8">
        <f>IF(T48="",0,IF(SUMPRODUCT(--(T$4:T48=T48))&gt;1,1,0))</f>
        <v>0</v>
      </c>
      <c r="V48" s="8">
        <f>IF(OR(T48="",U48=1,B48="",K48&lt;&gt;"نعم"),0,IF(COUNTIFS(B$4:B48,B48,K$4:K48,"نعم",U$4:U48,0)=1,1,0))</f>
        <v>0</v>
      </c>
    </row>
    <row r="49" spans="1:22" x14ac:dyDescent="0.25">
      <c r="A49" s="8">
        <v>46</v>
      </c>
      <c r="B49" s="9"/>
      <c r="C49" s="33" t="str">
        <f t="shared" si="0"/>
        <v/>
      </c>
      <c r="D49" s="31"/>
      <c r="E49" s="31"/>
      <c r="F49" s="11"/>
      <c r="G49" s="11"/>
      <c r="H49" s="11"/>
      <c r="I49" s="9"/>
      <c r="J49" s="12" t="str">
        <f t="shared" si="1"/>
        <v/>
      </c>
      <c r="K49" s="9"/>
      <c r="L49" s="12" t="str">
        <f t="shared" si="2"/>
        <v/>
      </c>
      <c r="M49" s="11"/>
      <c r="N49" s="12" t="str">
        <f t="shared" si="3"/>
        <v/>
      </c>
      <c r="O49" s="12" t="str">
        <f t="shared" si="4"/>
        <v/>
      </c>
      <c r="P49" s="8" t="str">
        <f t="shared" si="5"/>
        <v/>
      </c>
      <c r="Q49" s="9"/>
      <c r="R49" s="31"/>
      <c r="S49" s="8" t="str">
        <f t="shared" si="6"/>
        <v/>
      </c>
      <c r="T49" s="8" t="str">
        <f t="shared" si="7"/>
        <v/>
      </c>
      <c r="U49" s="8">
        <f>IF(T49="",0,IF(SUMPRODUCT(--(T$4:T49=T49))&gt;1,1,0))</f>
        <v>0</v>
      </c>
      <c r="V49" s="8">
        <f>IF(OR(T49="",U49=1,B49="",K49&lt;&gt;"نعم"),0,IF(COUNTIFS(B$4:B49,B49,K$4:K49,"نعم",U$4:U49,0)=1,1,0))</f>
        <v>0</v>
      </c>
    </row>
    <row r="50" spans="1:22" x14ac:dyDescent="0.25">
      <c r="A50" s="8">
        <v>47</v>
      </c>
      <c r="B50" s="9"/>
      <c r="C50" s="33" t="str">
        <f t="shared" si="0"/>
        <v/>
      </c>
      <c r="D50" s="31"/>
      <c r="E50" s="31"/>
      <c r="F50" s="11"/>
      <c r="G50" s="11"/>
      <c r="H50" s="11"/>
      <c r="I50" s="9"/>
      <c r="J50" s="12" t="str">
        <f t="shared" si="1"/>
        <v/>
      </c>
      <c r="K50" s="9"/>
      <c r="L50" s="12" t="str">
        <f t="shared" si="2"/>
        <v/>
      </c>
      <c r="M50" s="11"/>
      <c r="N50" s="12" t="str">
        <f t="shared" si="3"/>
        <v/>
      </c>
      <c r="O50" s="12" t="str">
        <f t="shared" si="4"/>
        <v/>
      </c>
      <c r="P50" s="8" t="str">
        <f t="shared" si="5"/>
        <v/>
      </c>
      <c r="Q50" s="9"/>
      <c r="R50" s="31"/>
      <c r="S50" s="8" t="str">
        <f t="shared" si="6"/>
        <v/>
      </c>
      <c r="T50" s="8" t="str">
        <f t="shared" si="7"/>
        <v/>
      </c>
      <c r="U50" s="8">
        <f>IF(T50="",0,IF(SUMPRODUCT(--(T$4:T50=T50))&gt;1,1,0))</f>
        <v>0</v>
      </c>
      <c r="V50" s="8">
        <f>IF(OR(T50="",U50=1,B50="",K50&lt;&gt;"نعم"),0,IF(COUNTIFS(B$4:B50,B50,K$4:K50,"نعم",U$4:U50,0)=1,1,0))</f>
        <v>0</v>
      </c>
    </row>
    <row r="51" spans="1:22" x14ac:dyDescent="0.25">
      <c r="A51" s="8">
        <v>48</v>
      </c>
      <c r="B51" s="9"/>
      <c r="C51" s="33" t="str">
        <f t="shared" si="0"/>
        <v/>
      </c>
      <c r="D51" s="31"/>
      <c r="E51" s="31"/>
      <c r="F51" s="11"/>
      <c r="G51" s="11"/>
      <c r="H51" s="11"/>
      <c r="I51" s="9"/>
      <c r="J51" s="12" t="str">
        <f t="shared" si="1"/>
        <v/>
      </c>
      <c r="K51" s="9"/>
      <c r="L51" s="12" t="str">
        <f t="shared" si="2"/>
        <v/>
      </c>
      <c r="M51" s="11"/>
      <c r="N51" s="12" t="str">
        <f t="shared" si="3"/>
        <v/>
      </c>
      <c r="O51" s="12" t="str">
        <f t="shared" si="4"/>
        <v/>
      </c>
      <c r="P51" s="8" t="str">
        <f t="shared" si="5"/>
        <v/>
      </c>
      <c r="Q51" s="9"/>
      <c r="R51" s="31"/>
      <c r="S51" s="8" t="str">
        <f t="shared" si="6"/>
        <v/>
      </c>
      <c r="T51" s="8" t="str">
        <f t="shared" si="7"/>
        <v/>
      </c>
      <c r="U51" s="8">
        <f>IF(T51="",0,IF(SUMPRODUCT(--(T$4:T51=T51))&gt;1,1,0))</f>
        <v>0</v>
      </c>
      <c r="V51" s="8">
        <f>IF(OR(T51="",U51=1,B51="",K51&lt;&gt;"نعم"),0,IF(COUNTIFS(B$4:B51,B51,K$4:K51,"نعم",U$4:U51,0)=1,1,0))</f>
        <v>0</v>
      </c>
    </row>
    <row r="52" spans="1:22" x14ac:dyDescent="0.25">
      <c r="A52" s="8">
        <v>49</v>
      </c>
      <c r="B52" s="9"/>
      <c r="C52" s="33" t="str">
        <f t="shared" si="0"/>
        <v/>
      </c>
      <c r="D52" s="31"/>
      <c r="E52" s="31"/>
      <c r="F52" s="11"/>
      <c r="G52" s="11"/>
      <c r="H52" s="11"/>
      <c r="I52" s="9"/>
      <c r="J52" s="12" t="str">
        <f t="shared" si="1"/>
        <v/>
      </c>
      <c r="K52" s="9"/>
      <c r="L52" s="12" t="str">
        <f t="shared" si="2"/>
        <v/>
      </c>
      <c r="M52" s="11"/>
      <c r="N52" s="12" t="str">
        <f t="shared" si="3"/>
        <v/>
      </c>
      <c r="O52" s="12" t="str">
        <f t="shared" si="4"/>
        <v/>
      </c>
      <c r="P52" s="8" t="str">
        <f t="shared" si="5"/>
        <v/>
      </c>
      <c r="Q52" s="9"/>
      <c r="R52" s="31"/>
      <c r="S52" s="8" t="str">
        <f t="shared" si="6"/>
        <v/>
      </c>
      <c r="T52" s="8" t="str">
        <f t="shared" si="7"/>
        <v/>
      </c>
      <c r="U52" s="8">
        <f>IF(T52="",0,IF(SUMPRODUCT(--(T$4:T52=T52))&gt;1,1,0))</f>
        <v>0</v>
      </c>
      <c r="V52" s="8">
        <f>IF(OR(T52="",U52=1,B52="",K52&lt;&gt;"نعم"),0,IF(COUNTIFS(B$4:B52,B52,K$4:K52,"نعم",U$4:U52,0)=1,1,0))</f>
        <v>0</v>
      </c>
    </row>
    <row r="53" spans="1:22" x14ac:dyDescent="0.25">
      <c r="A53" s="8">
        <v>50</v>
      </c>
      <c r="B53" s="9"/>
      <c r="C53" s="33" t="str">
        <f t="shared" si="0"/>
        <v/>
      </c>
      <c r="D53" s="31"/>
      <c r="E53" s="31"/>
      <c r="F53" s="11"/>
      <c r="G53" s="11"/>
      <c r="H53" s="11"/>
      <c r="I53" s="9"/>
      <c r="J53" s="12" t="str">
        <f t="shared" si="1"/>
        <v/>
      </c>
      <c r="K53" s="9"/>
      <c r="L53" s="12" t="str">
        <f t="shared" si="2"/>
        <v/>
      </c>
      <c r="M53" s="11"/>
      <c r="N53" s="12" t="str">
        <f t="shared" si="3"/>
        <v/>
      </c>
      <c r="O53" s="12" t="str">
        <f t="shared" si="4"/>
        <v/>
      </c>
      <c r="P53" s="8" t="str">
        <f t="shared" si="5"/>
        <v/>
      </c>
      <c r="Q53" s="9"/>
      <c r="R53" s="31"/>
      <c r="S53" s="8" t="str">
        <f t="shared" si="6"/>
        <v/>
      </c>
      <c r="T53" s="8" t="str">
        <f t="shared" si="7"/>
        <v/>
      </c>
      <c r="U53" s="8">
        <f>IF(T53="",0,IF(SUMPRODUCT(--(T$4:T53=T53))&gt;1,1,0))</f>
        <v>0</v>
      </c>
      <c r="V53" s="8">
        <f>IF(OR(T53="",U53=1,B53="",K53&lt;&gt;"نعم"),0,IF(COUNTIFS(B$4:B53,B53,K$4:K53,"نعم",U$4:U53,0)=1,1,0))</f>
        <v>0</v>
      </c>
    </row>
    <row r="54" spans="1:22" x14ac:dyDescent="0.25">
      <c r="A54" s="8">
        <v>51</v>
      </c>
      <c r="B54" s="9"/>
      <c r="C54" s="33" t="str">
        <f t="shared" si="0"/>
        <v/>
      </c>
      <c r="D54" s="31"/>
      <c r="E54" s="31"/>
      <c r="F54" s="11"/>
      <c r="G54" s="11"/>
      <c r="H54" s="11"/>
      <c r="I54" s="9"/>
      <c r="J54" s="12" t="str">
        <f t="shared" si="1"/>
        <v/>
      </c>
      <c r="K54" s="9"/>
      <c r="L54" s="12" t="str">
        <f t="shared" si="2"/>
        <v/>
      </c>
      <c r="M54" s="11"/>
      <c r="N54" s="12" t="str">
        <f t="shared" si="3"/>
        <v/>
      </c>
      <c r="O54" s="12" t="str">
        <f t="shared" si="4"/>
        <v/>
      </c>
      <c r="P54" s="8" t="str">
        <f t="shared" si="5"/>
        <v/>
      </c>
      <c r="Q54" s="9"/>
      <c r="R54" s="31"/>
      <c r="S54" s="8" t="str">
        <f t="shared" si="6"/>
        <v/>
      </c>
      <c r="T54" s="8" t="str">
        <f t="shared" si="7"/>
        <v/>
      </c>
      <c r="U54" s="8">
        <f>IF(T54="",0,IF(SUMPRODUCT(--(T$4:T54=T54))&gt;1,1,0))</f>
        <v>0</v>
      </c>
      <c r="V54" s="8">
        <f>IF(OR(T54="",U54=1,B54="",K54&lt;&gt;"نعم"),0,IF(COUNTIFS(B$4:B54,B54,K$4:K54,"نعم",U$4:U54,0)=1,1,0))</f>
        <v>0</v>
      </c>
    </row>
    <row r="55" spans="1:22" x14ac:dyDescent="0.25">
      <c r="A55" s="8">
        <v>52</v>
      </c>
      <c r="B55" s="9"/>
      <c r="C55" s="33" t="str">
        <f t="shared" si="0"/>
        <v/>
      </c>
      <c r="D55" s="31"/>
      <c r="E55" s="31"/>
      <c r="F55" s="11"/>
      <c r="G55" s="11"/>
      <c r="H55" s="11"/>
      <c r="I55" s="9"/>
      <c r="J55" s="12" t="str">
        <f t="shared" si="1"/>
        <v/>
      </c>
      <c r="K55" s="9"/>
      <c r="L55" s="12" t="str">
        <f t="shared" si="2"/>
        <v/>
      </c>
      <c r="M55" s="11"/>
      <c r="N55" s="12" t="str">
        <f t="shared" si="3"/>
        <v/>
      </c>
      <c r="O55" s="12" t="str">
        <f t="shared" si="4"/>
        <v/>
      </c>
      <c r="P55" s="8" t="str">
        <f t="shared" si="5"/>
        <v/>
      </c>
      <c r="Q55" s="9"/>
      <c r="R55" s="31"/>
      <c r="S55" s="8" t="str">
        <f t="shared" si="6"/>
        <v/>
      </c>
      <c r="T55" s="8" t="str">
        <f t="shared" si="7"/>
        <v/>
      </c>
      <c r="U55" s="8">
        <f>IF(T55="",0,IF(SUMPRODUCT(--(T$4:T55=T55))&gt;1,1,0))</f>
        <v>0</v>
      </c>
      <c r="V55" s="8">
        <f>IF(OR(T55="",U55=1,B55="",K55&lt;&gt;"نعم"),0,IF(COUNTIFS(B$4:B55,B55,K$4:K55,"نعم",U$4:U55,0)=1,1,0))</f>
        <v>0</v>
      </c>
    </row>
    <row r="56" spans="1:22" x14ac:dyDescent="0.25">
      <c r="A56" s="8">
        <v>53</v>
      </c>
      <c r="B56" s="9"/>
      <c r="C56" s="33" t="str">
        <f t="shared" si="0"/>
        <v/>
      </c>
      <c r="D56" s="31"/>
      <c r="E56" s="31"/>
      <c r="F56" s="11"/>
      <c r="G56" s="11"/>
      <c r="H56" s="11"/>
      <c r="I56" s="9"/>
      <c r="J56" s="12" t="str">
        <f t="shared" si="1"/>
        <v/>
      </c>
      <c r="K56" s="9"/>
      <c r="L56" s="12" t="str">
        <f t="shared" si="2"/>
        <v/>
      </c>
      <c r="M56" s="11"/>
      <c r="N56" s="12" t="str">
        <f t="shared" si="3"/>
        <v/>
      </c>
      <c r="O56" s="12" t="str">
        <f t="shared" si="4"/>
        <v/>
      </c>
      <c r="P56" s="8" t="str">
        <f t="shared" si="5"/>
        <v/>
      </c>
      <c r="Q56" s="9"/>
      <c r="R56" s="31"/>
      <c r="S56" s="8" t="str">
        <f t="shared" si="6"/>
        <v/>
      </c>
      <c r="T56" s="8" t="str">
        <f t="shared" si="7"/>
        <v/>
      </c>
      <c r="U56" s="8">
        <f>IF(T56="",0,IF(SUMPRODUCT(--(T$4:T56=T56))&gt;1,1,0))</f>
        <v>0</v>
      </c>
      <c r="V56" s="8">
        <f>IF(OR(T56="",U56=1,B56="",K56&lt;&gt;"نعم"),0,IF(COUNTIFS(B$4:B56,B56,K$4:K56,"نعم",U$4:U56,0)=1,1,0))</f>
        <v>0</v>
      </c>
    </row>
    <row r="57" spans="1:22" x14ac:dyDescent="0.25">
      <c r="A57" s="8">
        <v>54</v>
      </c>
      <c r="B57" s="9"/>
      <c r="C57" s="33" t="str">
        <f t="shared" si="0"/>
        <v/>
      </c>
      <c r="D57" s="31"/>
      <c r="E57" s="31"/>
      <c r="F57" s="11"/>
      <c r="G57" s="11"/>
      <c r="H57" s="11"/>
      <c r="I57" s="9"/>
      <c r="J57" s="12" t="str">
        <f t="shared" si="1"/>
        <v/>
      </c>
      <c r="K57" s="9"/>
      <c r="L57" s="12" t="str">
        <f t="shared" si="2"/>
        <v/>
      </c>
      <c r="M57" s="11"/>
      <c r="N57" s="12" t="str">
        <f t="shared" si="3"/>
        <v/>
      </c>
      <c r="O57" s="12" t="str">
        <f t="shared" si="4"/>
        <v/>
      </c>
      <c r="P57" s="8" t="str">
        <f t="shared" si="5"/>
        <v/>
      </c>
      <c r="Q57" s="9"/>
      <c r="R57" s="31"/>
      <c r="S57" s="8" t="str">
        <f t="shared" si="6"/>
        <v/>
      </c>
      <c r="T57" s="8" t="str">
        <f t="shared" si="7"/>
        <v/>
      </c>
      <c r="U57" s="8">
        <f>IF(T57="",0,IF(SUMPRODUCT(--(T$4:T57=T57))&gt;1,1,0))</f>
        <v>0</v>
      </c>
      <c r="V57" s="8">
        <f>IF(OR(T57="",U57=1,B57="",K57&lt;&gt;"نعم"),0,IF(COUNTIFS(B$4:B57,B57,K$4:K57,"نعم",U$4:U57,0)=1,1,0))</f>
        <v>0</v>
      </c>
    </row>
    <row r="58" spans="1:22" x14ac:dyDescent="0.25">
      <c r="A58" s="8">
        <v>55</v>
      </c>
      <c r="B58" s="9"/>
      <c r="C58" s="33" t="str">
        <f t="shared" si="0"/>
        <v/>
      </c>
      <c r="D58" s="31"/>
      <c r="E58" s="31"/>
      <c r="F58" s="11"/>
      <c r="G58" s="11"/>
      <c r="H58" s="11"/>
      <c r="I58" s="9"/>
      <c r="J58" s="12" t="str">
        <f t="shared" si="1"/>
        <v/>
      </c>
      <c r="K58" s="9"/>
      <c r="L58" s="12" t="str">
        <f t="shared" si="2"/>
        <v/>
      </c>
      <c r="M58" s="11"/>
      <c r="N58" s="12" t="str">
        <f t="shared" si="3"/>
        <v/>
      </c>
      <c r="O58" s="12" t="str">
        <f t="shared" si="4"/>
        <v/>
      </c>
      <c r="P58" s="8" t="str">
        <f t="shared" si="5"/>
        <v/>
      </c>
      <c r="Q58" s="9"/>
      <c r="R58" s="31"/>
      <c r="S58" s="8" t="str">
        <f t="shared" si="6"/>
        <v/>
      </c>
      <c r="T58" s="8" t="str">
        <f t="shared" si="7"/>
        <v/>
      </c>
      <c r="U58" s="8">
        <f>IF(T58="",0,IF(SUMPRODUCT(--(T$4:T58=T58))&gt;1,1,0))</f>
        <v>0</v>
      </c>
      <c r="V58" s="8">
        <f>IF(OR(T58="",U58=1,B58="",K58&lt;&gt;"نعم"),0,IF(COUNTIFS(B$4:B58,B58,K$4:K58,"نعم",U$4:U58,0)=1,1,0))</f>
        <v>0</v>
      </c>
    </row>
    <row r="59" spans="1:22" x14ac:dyDescent="0.25">
      <c r="A59" s="8">
        <v>56</v>
      </c>
      <c r="B59" s="9"/>
      <c r="C59" s="33" t="str">
        <f t="shared" si="0"/>
        <v/>
      </c>
      <c r="D59" s="31"/>
      <c r="E59" s="31"/>
      <c r="F59" s="11"/>
      <c r="G59" s="11"/>
      <c r="H59" s="11"/>
      <c r="I59" s="9"/>
      <c r="J59" s="12" t="str">
        <f t="shared" si="1"/>
        <v/>
      </c>
      <c r="K59" s="9"/>
      <c r="L59" s="12" t="str">
        <f t="shared" si="2"/>
        <v/>
      </c>
      <c r="M59" s="11"/>
      <c r="N59" s="12" t="str">
        <f t="shared" si="3"/>
        <v/>
      </c>
      <c r="O59" s="12" t="str">
        <f t="shared" si="4"/>
        <v/>
      </c>
      <c r="P59" s="8" t="str">
        <f t="shared" si="5"/>
        <v/>
      </c>
      <c r="Q59" s="9"/>
      <c r="R59" s="31"/>
      <c r="S59" s="8" t="str">
        <f t="shared" si="6"/>
        <v/>
      </c>
      <c r="T59" s="8" t="str">
        <f t="shared" si="7"/>
        <v/>
      </c>
      <c r="U59" s="8">
        <f>IF(T59="",0,IF(SUMPRODUCT(--(T$4:T59=T59))&gt;1,1,0))</f>
        <v>0</v>
      </c>
      <c r="V59" s="8">
        <f>IF(OR(T59="",U59=1,B59="",K59&lt;&gt;"نعم"),0,IF(COUNTIFS(B$4:B59,B59,K$4:K59,"نعم",U$4:U59,0)=1,1,0))</f>
        <v>0</v>
      </c>
    </row>
    <row r="60" spans="1:22" x14ac:dyDescent="0.25">
      <c r="A60" s="8">
        <v>57</v>
      </c>
      <c r="B60" s="9"/>
      <c r="C60" s="33" t="str">
        <f t="shared" si="0"/>
        <v/>
      </c>
      <c r="D60" s="31"/>
      <c r="E60" s="31"/>
      <c r="F60" s="11"/>
      <c r="G60" s="11"/>
      <c r="H60" s="11"/>
      <c r="I60" s="9"/>
      <c r="J60" s="12" t="str">
        <f t="shared" si="1"/>
        <v/>
      </c>
      <c r="K60" s="9"/>
      <c r="L60" s="12" t="str">
        <f t="shared" si="2"/>
        <v/>
      </c>
      <c r="M60" s="11"/>
      <c r="N60" s="12" t="str">
        <f t="shared" si="3"/>
        <v/>
      </c>
      <c r="O60" s="12" t="str">
        <f t="shared" si="4"/>
        <v/>
      </c>
      <c r="P60" s="8" t="str">
        <f t="shared" si="5"/>
        <v/>
      </c>
      <c r="Q60" s="9"/>
      <c r="R60" s="31"/>
      <c r="S60" s="8" t="str">
        <f t="shared" si="6"/>
        <v/>
      </c>
      <c r="T60" s="8" t="str">
        <f t="shared" si="7"/>
        <v/>
      </c>
      <c r="U60" s="8">
        <f>IF(T60="",0,IF(SUMPRODUCT(--(T$4:T60=T60))&gt;1,1,0))</f>
        <v>0</v>
      </c>
      <c r="V60" s="8">
        <f>IF(OR(T60="",U60=1,B60="",K60&lt;&gt;"نعم"),0,IF(COUNTIFS(B$4:B60,B60,K$4:K60,"نعم",U$4:U60,0)=1,1,0))</f>
        <v>0</v>
      </c>
    </row>
    <row r="61" spans="1:22" x14ac:dyDescent="0.25">
      <c r="A61" s="8">
        <v>58</v>
      </c>
      <c r="B61" s="9"/>
      <c r="C61" s="33" t="str">
        <f t="shared" si="0"/>
        <v/>
      </c>
      <c r="D61" s="31"/>
      <c r="E61" s="31"/>
      <c r="F61" s="11"/>
      <c r="G61" s="11"/>
      <c r="H61" s="11"/>
      <c r="I61" s="9"/>
      <c r="J61" s="12" t="str">
        <f t="shared" si="1"/>
        <v/>
      </c>
      <c r="K61" s="9"/>
      <c r="L61" s="12" t="str">
        <f t="shared" si="2"/>
        <v/>
      </c>
      <c r="M61" s="11"/>
      <c r="N61" s="12" t="str">
        <f t="shared" si="3"/>
        <v/>
      </c>
      <c r="O61" s="12" t="str">
        <f t="shared" si="4"/>
        <v/>
      </c>
      <c r="P61" s="8" t="str">
        <f t="shared" si="5"/>
        <v/>
      </c>
      <c r="Q61" s="9"/>
      <c r="R61" s="31"/>
      <c r="S61" s="8" t="str">
        <f t="shared" si="6"/>
        <v/>
      </c>
      <c r="T61" s="8" t="str">
        <f t="shared" si="7"/>
        <v/>
      </c>
      <c r="U61" s="8">
        <f>IF(T61="",0,IF(SUMPRODUCT(--(T$4:T61=T61))&gt;1,1,0))</f>
        <v>0</v>
      </c>
      <c r="V61" s="8">
        <f>IF(OR(T61="",U61=1,B61="",K61&lt;&gt;"نعم"),0,IF(COUNTIFS(B$4:B61,B61,K$4:K61,"نعم",U$4:U61,0)=1,1,0))</f>
        <v>0</v>
      </c>
    </row>
    <row r="62" spans="1:22" x14ac:dyDescent="0.25">
      <c r="A62" s="8">
        <v>59</v>
      </c>
      <c r="B62" s="9"/>
      <c r="C62" s="33" t="str">
        <f t="shared" si="0"/>
        <v/>
      </c>
      <c r="D62" s="31"/>
      <c r="E62" s="31"/>
      <c r="F62" s="11"/>
      <c r="G62" s="11"/>
      <c r="H62" s="11"/>
      <c r="I62" s="9"/>
      <c r="J62" s="12" t="str">
        <f t="shared" si="1"/>
        <v/>
      </c>
      <c r="K62" s="9"/>
      <c r="L62" s="12" t="str">
        <f t="shared" si="2"/>
        <v/>
      </c>
      <c r="M62" s="11"/>
      <c r="N62" s="12" t="str">
        <f t="shared" si="3"/>
        <v/>
      </c>
      <c r="O62" s="12" t="str">
        <f t="shared" si="4"/>
        <v/>
      </c>
      <c r="P62" s="8" t="str">
        <f t="shared" si="5"/>
        <v/>
      </c>
      <c r="Q62" s="9"/>
      <c r="R62" s="31"/>
      <c r="S62" s="8" t="str">
        <f t="shared" si="6"/>
        <v/>
      </c>
      <c r="T62" s="8" t="str">
        <f t="shared" si="7"/>
        <v/>
      </c>
      <c r="U62" s="8">
        <f>IF(T62="",0,IF(SUMPRODUCT(--(T$4:T62=T62))&gt;1,1,0))</f>
        <v>0</v>
      </c>
      <c r="V62" s="8">
        <f>IF(OR(T62="",U62=1,B62="",K62&lt;&gt;"نعم"),0,IF(COUNTIFS(B$4:B62,B62,K$4:K62,"نعم",U$4:U62,0)=1,1,0))</f>
        <v>0</v>
      </c>
    </row>
    <row r="63" spans="1:22" x14ac:dyDescent="0.25">
      <c r="A63" s="8">
        <v>60</v>
      </c>
      <c r="B63" s="9"/>
      <c r="C63" s="33" t="str">
        <f t="shared" si="0"/>
        <v/>
      </c>
      <c r="D63" s="31"/>
      <c r="E63" s="31"/>
      <c r="F63" s="11"/>
      <c r="G63" s="11"/>
      <c r="H63" s="11"/>
      <c r="I63" s="9"/>
      <c r="J63" s="12" t="str">
        <f t="shared" si="1"/>
        <v/>
      </c>
      <c r="K63" s="9"/>
      <c r="L63" s="12" t="str">
        <f t="shared" si="2"/>
        <v/>
      </c>
      <c r="M63" s="11"/>
      <c r="N63" s="12" t="str">
        <f t="shared" si="3"/>
        <v/>
      </c>
      <c r="O63" s="12" t="str">
        <f t="shared" si="4"/>
        <v/>
      </c>
      <c r="P63" s="8" t="str">
        <f t="shared" si="5"/>
        <v/>
      </c>
      <c r="Q63" s="9"/>
      <c r="R63" s="31"/>
      <c r="S63" s="8" t="str">
        <f t="shared" si="6"/>
        <v/>
      </c>
      <c r="T63" s="8" t="str">
        <f t="shared" si="7"/>
        <v/>
      </c>
      <c r="U63" s="8">
        <f>IF(T63="",0,IF(SUMPRODUCT(--(T$4:T63=T63))&gt;1,1,0))</f>
        <v>0</v>
      </c>
      <c r="V63" s="8">
        <f>IF(OR(T63="",U63=1,B63="",K63&lt;&gt;"نعم"),0,IF(COUNTIFS(B$4:B63,B63,K$4:K63,"نعم",U$4:U63,0)=1,1,0))</f>
        <v>0</v>
      </c>
    </row>
    <row r="64" spans="1:22" x14ac:dyDescent="0.25">
      <c r="A64" s="8">
        <v>61</v>
      </c>
      <c r="B64" s="9"/>
      <c r="C64" s="33" t="str">
        <f t="shared" si="0"/>
        <v/>
      </c>
      <c r="D64" s="31"/>
      <c r="E64" s="31"/>
      <c r="F64" s="11"/>
      <c r="G64" s="11"/>
      <c r="H64" s="11"/>
      <c r="I64" s="9"/>
      <c r="J64" s="12" t="str">
        <f t="shared" si="1"/>
        <v/>
      </c>
      <c r="K64" s="9"/>
      <c r="L64" s="12" t="str">
        <f t="shared" si="2"/>
        <v/>
      </c>
      <c r="M64" s="11"/>
      <c r="N64" s="12" t="str">
        <f t="shared" si="3"/>
        <v/>
      </c>
      <c r="O64" s="12" t="str">
        <f t="shared" si="4"/>
        <v/>
      </c>
      <c r="P64" s="8" t="str">
        <f t="shared" si="5"/>
        <v/>
      </c>
      <c r="Q64" s="9"/>
      <c r="R64" s="31"/>
      <c r="S64" s="8" t="str">
        <f t="shared" si="6"/>
        <v/>
      </c>
      <c r="T64" s="8" t="str">
        <f t="shared" si="7"/>
        <v/>
      </c>
      <c r="U64" s="8">
        <f>IF(T64="",0,IF(SUMPRODUCT(--(T$4:T64=T64))&gt;1,1,0))</f>
        <v>0</v>
      </c>
      <c r="V64" s="8">
        <f>IF(OR(T64="",U64=1,B64="",K64&lt;&gt;"نعم"),0,IF(COUNTIFS(B$4:B64,B64,K$4:K64,"نعم",U$4:U64,0)=1,1,0))</f>
        <v>0</v>
      </c>
    </row>
    <row r="65" spans="1:22" x14ac:dyDescent="0.25">
      <c r="A65" s="8">
        <v>62</v>
      </c>
      <c r="B65" s="9"/>
      <c r="C65" s="33" t="str">
        <f t="shared" si="0"/>
        <v/>
      </c>
      <c r="D65" s="31"/>
      <c r="E65" s="31"/>
      <c r="F65" s="11"/>
      <c r="G65" s="11"/>
      <c r="H65" s="11"/>
      <c r="I65" s="9"/>
      <c r="J65" s="12" t="str">
        <f t="shared" si="1"/>
        <v/>
      </c>
      <c r="K65" s="9"/>
      <c r="L65" s="12" t="str">
        <f t="shared" si="2"/>
        <v/>
      </c>
      <c r="M65" s="11"/>
      <c r="N65" s="12" t="str">
        <f t="shared" si="3"/>
        <v/>
      </c>
      <c r="O65" s="12" t="str">
        <f t="shared" si="4"/>
        <v/>
      </c>
      <c r="P65" s="8" t="str">
        <f t="shared" si="5"/>
        <v/>
      </c>
      <c r="Q65" s="9"/>
      <c r="R65" s="31"/>
      <c r="S65" s="8" t="str">
        <f t="shared" si="6"/>
        <v/>
      </c>
      <c r="T65" s="8" t="str">
        <f t="shared" si="7"/>
        <v/>
      </c>
      <c r="U65" s="8">
        <f>IF(T65="",0,IF(SUMPRODUCT(--(T$4:T65=T65))&gt;1,1,0))</f>
        <v>0</v>
      </c>
      <c r="V65" s="8">
        <f>IF(OR(T65="",U65=1,B65="",K65&lt;&gt;"نعم"),0,IF(COUNTIFS(B$4:B65,B65,K$4:K65,"نعم",U$4:U65,0)=1,1,0))</f>
        <v>0</v>
      </c>
    </row>
    <row r="66" spans="1:22" x14ac:dyDescent="0.25">
      <c r="A66" s="8">
        <v>63</v>
      </c>
      <c r="B66" s="9"/>
      <c r="C66" s="33" t="str">
        <f t="shared" si="0"/>
        <v/>
      </c>
      <c r="D66" s="31"/>
      <c r="E66" s="31"/>
      <c r="F66" s="11"/>
      <c r="G66" s="11"/>
      <c r="H66" s="11"/>
      <c r="I66" s="9"/>
      <c r="J66" s="12" t="str">
        <f t="shared" si="1"/>
        <v/>
      </c>
      <c r="K66" s="9"/>
      <c r="L66" s="12" t="str">
        <f t="shared" si="2"/>
        <v/>
      </c>
      <c r="M66" s="11"/>
      <c r="N66" s="12" t="str">
        <f t="shared" si="3"/>
        <v/>
      </c>
      <c r="O66" s="12" t="str">
        <f t="shared" si="4"/>
        <v/>
      </c>
      <c r="P66" s="8" t="str">
        <f t="shared" si="5"/>
        <v/>
      </c>
      <c r="Q66" s="9"/>
      <c r="R66" s="31"/>
      <c r="S66" s="8" t="str">
        <f t="shared" si="6"/>
        <v/>
      </c>
      <c r="T66" s="8" t="str">
        <f t="shared" si="7"/>
        <v/>
      </c>
      <c r="U66" s="8">
        <f>IF(T66="",0,IF(SUMPRODUCT(--(T$4:T66=T66))&gt;1,1,0))</f>
        <v>0</v>
      </c>
      <c r="V66" s="8">
        <f>IF(OR(T66="",U66=1,B66="",K66&lt;&gt;"نعم"),0,IF(COUNTIFS(B$4:B66,B66,K$4:K66,"نعم",U$4:U66,0)=1,1,0))</f>
        <v>0</v>
      </c>
    </row>
    <row r="67" spans="1:22" x14ac:dyDescent="0.25">
      <c r="A67" s="8">
        <v>64</v>
      </c>
      <c r="B67" s="9"/>
      <c r="C67" s="33" t="str">
        <f t="shared" si="0"/>
        <v/>
      </c>
      <c r="D67" s="31"/>
      <c r="E67" s="31"/>
      <c r="F67" s="11"/>
      <c r="G67" s="11"/>
      <c r="H67" s="11"/>
      <c r="I67" s="9"/>
      <c r="J67" s="12" t="str">
        <f t="shared" si="1"/>
        <v/>
      </c>
      <c r="K67" s="9"/>
      <c r="L67" s="12" t="str">
        <f t="shared" si="2"/>
        <v/>
      </c>
      <c r="M67" s="11"/>
      <c r="N67" s="12" t="str">
        <f t="shared" si="3"/>
        <v/>
      </c>
      <c r="O67" s="12" t="str">
        <f t="shared" si="4"/>
        <v/>
      </c>
      <c r="P67" s="8" t="str">
        <f t="shared" si="5"/>
        <v/>
      </c>
      <c r="Q67" s="9"/>
      <c r="R67" s="31"/>
      <c r="S67" s="8" t="str">
        <f t="shared" si="6"/>
        <v/>
      </c>
      <c r="T67" s="8" t="str">
        <f t="shared" si="7"/>
        <v/>
      </c>
      <c r="U67" s="8">
        <f>IF(T67="",0,IF(SUMPRODUCT(--(T$4:T67=T67))&gt;1,1,0))</f>
        <v>0</v>
      </c>
      <c r="V67" s="8">
        <f>IF(OR(T67="",U67=1,B67="",K67&lt;&gt;"نعم"),0,IF(COUNTIFS(B$4:B67,B67,K$4:K67,"نعم",U$4:U67,0)=1,1,0))</f>
        <v>0</v>
      </c>
    </row>
    <row r="68" spans="1:22" x14ac:dyDescent="0.25">
      <c r="A68" s="8">
        <v>65</v>
      </c>
      <c r="B68" s="9"/>
      <c r="C68" s="33" t="str">
        <f t="shared" ref="C68:C131" si="8">IF(B68="","",IFERROR(INDEX(SpaceNames,MATCH(B68,SpaceCodes,0))&amp;"",""))</f>
        <v/>
      </c>
      <c r="D68" s="31"/>
      <c r="E68" s="31"/>
      <c r="F68" s="11"/>
      <c r="G68" s="11"/>
      <c r="H68" s="11"/>
      <c r="I68" s="9"/>
      <c r="J68" s="12" t="str">
        <f t="shared" ref="J68:J131" si="9">IF(T68="","",IF(U68=1,0,IF(H68&lt;&gt;"",H68*IF(I68="",1,I68),IF(AND(F68&lt;&gt;"",G68&lt;&gt;""),2*(F68+G68)*IF(I68="",1,I68),""))))</f>
        <v/>
      </c>
      <c r="K68" s="9"/>
      <c r="L68" s="12" t="str">
        <f t="shared" ref="L68:L131" si="10">IF(T68="","",IF(V68=1,SUMIFS(OP_Wtot,OP_Space,B68,OP_DedSk,"نعم"),0))</f>
        <v/>
      </c>
      <c r="M68" s="11"/>
      <c r="N68" s="12" t="str">
        <f t="shared" ref="N68:N131" si="11">IF(OR(T68="",J68=""),"",N(L68)+N(M68))</f>
        <v/>
      </c>
      <c r="O68" s="12" t="str">
        <f t="shared" ref="O68:O131" si="12">IF(OR(T68="",J68=""),"",J68-N68)</f>
        <v/>
      </c>
      <c r="P68" s="8" t="str">
        <f t="shared" ref="P68:P131" si="13">IF(D68="","",IFERROR(IF(INDEX(LinUnit,MATCH(D68,LinMat,0))="","م.ط",INDEX(LinUnit,MATCH(D68,LinMat,0))),"م.ط"))</f>
        <v/>
      </c>
      <c r="Q68" s="9"/>
      <c r="R68" s="31"/>
      <c r="S68" s="8" t="str">
        <f t="shared" ref="S68:S131" si="14">IF(T68="","",IF(U68=1,"تكرار — غير محتسب",IF(B68="","ناقص بيانات: كود الفراغ",IF(COUNTIF(SpaceCodes,B68)=0,"ناقص بيانات: الفراغ غير مسجل",IF(D68="","ناقص بيانات: نوع البند",IF(J68="","ناقص قياس",IF(N68&gt;J68+0.000001,"خطأ خصم: الخصم أكبر من الإجمالي",IF(AND(K68="نعم",V68=0),"تنبيه خصم: خصم تلقائي مكرر للفراغ — غير مطبق",IF(Q68="نعم","يحتاج مراجعة","مكتمل")))))))))</f>
        <v/>
      </c>
      <c r="T68" s="8" t="str">
        <f t="shared" ref="T68:T131" si="15">IF(COUNTA(B68,D68:I68,M68)=0,"",B68&amp;"|"&amp;D68&amp;"|"&amp;E68&amp;"|"&amp;F68&amp;"|"&amp;G68&amp;"|"&amp;H68)</f>
        <v/>
      </c>
      <c r="U68" s="8">
        <f>IF(T68="",0,IF(SUMPRODUCT(--(T$4:T68=T68))&gt;1,1,0))</f>
        <v>0</v>
      </c>
      <c r="V68" s="8">
        <f>IF(OR(T68="",U68=1,B68="",K68&lt;&gt;"نعم"),0,IF(COUNTIFS(B$4:B68,B68,K$4:K68,"نعم",U$4:U68,0)=1,1,0))</f>
        <v>0</v>
      </c>
    </row>
    <row r="69" spans="1:22" x14ac:dyDescent="0.25">
      <c r="A69" s="8">
        <v>66</v>
      </c>
      <c r="B69" s="9"/>
      <c r="C69" s="33" t="str">
        <f t="shared" si="8"/>
        <v/>
      </c>
      <c r="D69" s="31"/>
      <c r="E69" s="31"/>
      <c r="F69" s="11"/>
      <c r="G69" s="11"/>
      <c r="H69" s="11"/>
      <c r="I69" s="9"/>
      <c r="J69" s="12" t="str">
        <f t="shared" si="9"/>
        <v/>
      </c>
      <c r="K69" s="9"/>
      <c r="L69" s="12" t="str">
        <f t="shared" si="10"/>
        <v/>
      </c>
      <c r="M69" s="11"/>
      <c r="N69" s="12" t="str">
        <f t="shared" si="11"/>
        <v/>
      </c>
      <c r="O69" s="12" t="str">
        <f t="shared" si="12"/>
        <v/>
      </c>
      <c r="P69" s="8" t="str">
        <f t="shared" si="13"/>
        <v/>
      </c>
      <c r="Q69" s="9"/>
      <c r="R69" s="31"/>
      <c r="S69" s="8" t="str">
        <f t="shared" si="14"/>
        <v/>
      </c>
      <c r="T69" s="8" t="str">
        <f t="shared" si="15"/>
        <v/>
      </c>
      <c r="U69" s="8">
        <f>IF(T69="",0,IF(SUMPRODUCT(--(T$4:T69=T69))&gt;1,1,0))</f>
        <v>0</v>
      </c>
      <c r="V69" s="8">
        <f>IF(OR(T69="",U69=1,B69="",K69&lt;&gt;"نعم"),0,IF(COUNTIFS(B$4:B69,B69,K$4:K69,"نعم",U$4:U69,0)=1,1,0))</f>
        <v>0</v>
      </c>
    </row>
    <row r="70" spans="1:22" x14ac:dyDescent="0.25">
      <c r="A70" s="8">
        <v>67</v>
      </c>
      <c r="B70" s="9"/>
      <c r="C70" s="33" t="str">
        <f t="shared" si="8"/>
        <v/>
      </c>
      <c r="D70" s="31"/>
      <c r="E70" s="31"/>
      <c r="F70" s="11"/>
      <c r="G70" s="11"/>
      <c r="H70" s="11"/>
      <c r="I70" s="9"/>
      <c r="J70" s="12" t="str">
        <f t="shared" si="9"/>
        <v/>
      </c>
      <c r="K70" s="9"/>
      <c r="L70" s="12" t="str">
        <f t="shared" si="10"/>
        <v/>
      </c>
      <c r="M70" s="11"/>
      <c r="N70" s="12" t="str">
        <f t="shared" si="11"/>
        <v/>
      </c>
      <c r="O70" s="12" t="str">
        <f t="shared" si="12"/>
        <v/>
      </c>
      <c r="P70" s="8" t="str">
        <f t="shared" si="13"/>
        <v/>
      </c>
      <c r="Q70" s="9"/>
      <c r="R70" s="31"/>
      <c r="S70" s="8" t="str">
        <f t="shared" si="14"/>
        <v/>
      </c>
      <c r="T70" s="8" t="str">
        <f t="shared" si="15"/>
        <v/>
      </c>
      <c r="U70" s="8">
        <f>IF(T70="",0,IF(SUMPRODUCT(--(T$4:T70=T70))&gt;1,1,0))</f>
        <v>0</v>
      </c>
      <c r="V70" s="8">
        <f>IF(OR(T70="",U70=1,B70="",K70&lt;&gt;"نعم"),0,IF(COUNTIFS(B$4:B70,B70,K$4:K70,"نعم",U$4:U70,0)=1,1,0))</f>
        <v>0</v>
      </c>
    </row>
    <row r="71" spans="1:22" x14ac:dyDescent="0.25">
      <c r="A71" s="8">
        <v>68</v>
      </c>
      <c r="B71" s="9"/>
      <c r="C71" s="33" t="str">
        <f t="shared" si="8"/>
        <v/>
      </c>
      <c r="D71" s="31"/>
      <c r="E71" s="31"/>
      <c r="F71" s="11"/>
      <c r="G71" s="11"/>
      <c r="H71" s="11"/>
      <c r="I71" s="9"/>
      <c r="J71" s="12" t="str">
        <f t="shared" si="9"/>
        <v/>
      </c>
      <c r="K71" s="9"/>
      <c r="L71" s="12" t="str">
        <f t="shared" si="10"/>
        <v/>
      </c>
      <c r="M71" s="11"/>
      <c r="N71" s="12" t="str">
        <f t="shared" si="11"/>
        <v/>
      </c>
      <c r="O71" s="12" t="str">
        <f t="shared" si="12"/>
        <v/>
      </c>
      <c r="P71" s="8" t="str">
        <f t="shared" si="13"/>
        <v/>
      </c>
      <c r="Q71" s="9"/>
      <c r="R71" s="31"/>
      <c r="S71" s="8" t="str">
        <f t="shared" si="14"/>
        <v/>
      </c>
      <c r="T71" s="8" t="str">
        <f t="shared" si="15"/>
        <v/>
      </c>
      <c r="U71" s="8">
        <f>IF(T71="",0,IF(SUMPRODUCT(--(T$4:T71=T71))&gt;1,1,0))</f>
        <v>0</v>
      </c>
      <c r="V71" s="8">
        <f>IF(OR(T71="",U71=1,B71="",K71&lt;&gt;"نعم"),0,IF(COUNTIFS(B$4:B71,B71,K$4:K71,"نعم",U$4:U71,0)=1,1,0))</f>
        <v>0</v>
      </c>
    </row>
    <row r="72" spans="1:22" x14ac:dyDescent="0.25">
      <c r="A72" s="8">
        <v>69</v>
      </c>
      <c r="B72" s="9"/>
      <c r="C72" s="33" t="str">
        <f t="shared" si="8"/>
        <v/>
      </c>
      <c r="D72" s="31"/>
      <c r="E72" s="31"/>
      <c r="F72" s="11"/>
      <c r="G72" s="11"/>
      <c r="H72" s="11"/>
      <c r="I72" s="9"/>
      <c r="J72" s="12" t="str">
        <f t="shared" si="9"/>
        <v/>
      </c>
      <c r="K72" s="9"/>
      <c r="L72" s="12" t="str">
        <f t="shared" si="10"/>
        <v/>
      </c>
      <c r="M72" s="11"/>
      <c r="N72" s="12" t="str">
        <f t="shared" si="11"/>
        <v/>
      </c>
      <c r="O72" s="12" t="str">
        <f t="shared" si="12"/>
        <v/>
      </c>
      <c r="P72" s="8" t="str">
        <f t="shared" si="13"/>
        <v/>
      </c>
      <c r="Q72" s="9"/>
      <c r="R72" s="31"/>
      <c r="S72" s="8" t="str">
        <f t="shared" si="14"/>
        <v/>
      </c>
      <c r="T72" s="8" t="str">
        <f t="shared" si="15"/>
        <v/>
      </c>
      <c r="U72" s="8">
        <f>IF(T72="",0,IF(SUMPRODUCT(--(T$4:T72=T72))&gt;1,1,0))</f>
        <v>0</v>
      </c>
      <c r="V72" s="8">
        <f>IF(OR(T72="",U72=1,B72="",K72&lt;&gt;"نعم"),0,IF(COUNTIFS(B$4:B72,B72,K$4:K72,"نعم",U$4:U72,0)=1,1,0))</f>
        <v>0</v>
      </c>
    </row>
    <row r="73" spans="1:22" x14ac:dyDescent="0.25">
      <c r="A73" s="8">
        <v>70</v>
      </c>
      <c r="B73" s="9"/>
      <c r="C73" s="33" t="str">
        <f t="shared" si="8"/>
        <v/>
      </c>
      <c r="D73" s="31"/>
      <c r="E73" s="31"/>
      <c r="F73" s="11"/>
      <c r="G73" s="11"/>
      <c r="H73" s="11"/>
      <c r="I73" s="9"/>
      <c r="J73" s="12" t="str">
        <f t="shared" si="9"/>
        <v/>
      </c>
      <c r="K73" s="9"/>
      <c r="L73" s="12" t="str">
        <f t="shared" si="10"/>
        <v/>
      </c>
      <c r="M73" s="11"/>
      <c r="N73" s="12" t="str">
        <f t="shared" si="11"/>
        <v/>
      </c>
      <c r="O73" s="12" t="str">
        <f t="shared" si="12"/>
        <v/>
      </c>
      <c r="P73" s="8" t="str">
        <f t="shared" si="13"/>
        <v/>
      </c>
      <c r="Q73" s="9"/>
      <c r="R73" s="31"/>
      <c r="S73" s="8" t="str">
        <f t="shared" si="14"/>
        <v/>
      </c>
      <c r="T73" s="8" t="str">
        <f t="shared" si="15"/>
        <v/>
      </c>
      <c r="U73" s="8">
        <f>IF(T73="",0,IF(SUMPRODUCT(--(T$4:T73=T73))&gt;1,1,0))</f>
        <v>0</v>
      </c>
      <c r="V73" s="8">
        <f>IF(OR(T73="",U73=1,B73="",K73&lt;&gt;"نعم"),0,IF(COUNTIFS(B$4:B73,B73,K$4:K73,"نعم",U$4:U73,0)=1,1,0))</f>
        <v>0</v>
      </c>
    </row>
    <row r="74" spans="1:22" x14ac:dyDescent="0.25">
      <c r="A74" s="8">
        <v>71</v>
      </c>
      <c r="B74" s="9"/>
      <c r="C74" s="33" t="str">
        <f t="shared" si="8"/>
        <v/>
      </c>
      <c r="D74" s="31"/>
      <c r="E74" s="31"/>
      <c r="F74" s="11"/>
      <c r="G74" s="11"/>
      <c r="H74" s="11"/>
      <c r="I74" s="9"/>
      <c r="J74" s="12" t="str">
        <f t="shared" si="9"/>
        <v/>
      </c>
      <c r="K74" s="9"/>
      <c r="L74" s="12" t="str">
        <f t="shared" si="10"/>
        <v/>
      </c>
      <c r="M74" s="11"/>
      <c r="N74" s="12" t="str">
        <f t="shared" si="11"/>
        <v/>
      </c>
      <c r="O74" s="12" t="str">
        <f t="shared" si="12"/>
        <v/>
      </c>
      <c r="P74" s="8" t="str">
        <f t="shared" si="13"/>
        <v/>
      </c>
      <c r="Q74" s="9"/>
      <c r="R74" s="31"/>
      <c r="S74" s="8" t="str">
        <f t="shared" si="14"/>
        <v/>
      </c>
      <c r="T74" s="8" t="str">
        <f t="shared" si="15"/>
        <v/>
      </c>
      <c r="U74" s="8">
        <f>IF(T74="",0,IF(SUMPRODUCT(--(T$4:T74=T74))&gt;1,1,0))</f>
        <v>0</v>
      </c>
      <c r="V74" s="8">
        <f>IF(OR(T74="",U74=1,B74="",K74&lt;&gt;"نعم"),0,IF(COUNTIFS(B$4:B74,B74,K$4:K74,"نعم",U$4:U74,0)=1,1,0))</f>
        <v>0</v>
      </c>
    </row>
    <row r="75" spans="1:22" x14ac:dyDescent="0.25">
      <c r="A75" s="8">
        <v>72</v>
      </c>
      <c r="B75" s="9"/>
      <c r="C75" s="33" t="str">
        <f t="shared" si="8"/>
        <v/>
      </c>
      <c r="D75" s="31"/>
      <c r="E75" s="31"/>
      <c r="F75" s="11"/>
      <c r="G75" s="11"/>
      <c r="H75" s="11"/>
      <c r="I75" s="9"/>
      <c r="J75" s="12" t="str">
        <f t="shared" si="9"/>
        <v/>
      </c>
      <c r="K75" s="9"/>
      <c r="L75" s="12" t="str">
        <f t="shared" si="10"/>
        <v/>
      </c>
      <c r="M75" s="11"/>
      <c r="N75" s="12" t="str">
        <f t="shared" si="11"/>
        <v/>
      </c>
      <c r="O75" s="12" t="str">
        <f t="shared" si="12"/>
        <v/>
      </c>
      <c r="P75" s="8" t="str">
        <f t="shared" si="13"/>
        <v/>
      </c>
      <c r="Q75" s="9"/>
      <c r="R75" s="31"/>
      <c r="S75" s="8" t="str">
        <f t="shared" si="14"/>
        <v/>
      </c>
      <c r="T75" s="8" t="str">
        <f t="shared" si="15"/>
        <v/>
      </c>
      <c r="U75" s="8">
        <f>IF(T75="",0,IF(SUMPRODUCT(--(T$4:T75=T75))&gt;1,1,0))</f>
        <v>0</v>
      </c>
      <c r="V75" s="8">
        <f>IF(OR(T75="",U75=1,B75="",K75&lt;&gt;"نعم"),0,IF(COUNTIFS(B$4:B75,B75,K$4:K75,"نعم",U$4:U75,0)=1,1,0))</f>
        <v>0</v>
      </c>
    </row>
    <row r="76" spans="1:22" x14ac:dyDescent="0.25">
      <c r="A76" s="8">
        <v>73</v>
      </c>
      <c r="B76" s="9"/>
      <c r="C76" s="33" t="str">
        <f t="shared" si="8"/>
        <v/>
      </c>
      <c r="D76" s="31"/>
      <c r="E76" s="31"/>
      <c r="F76" s="11"/>
      <c r="G76" s="11"/>
      <c r="H76" s="11"/>
      <c r="I76" s="9"/>
      <c r="J76" s="12" t="str">
        <f t="shared" si="9"/>
        <v/>
      </c>
      <c r="K76" s="9"/>
      <c r="L76" s="12" t="str">
        <f t="shared" si="10"/>
        <v/>
      </c>
      <c r="M76" s="11"/>
      <c r="N76" s="12" t="str">
        <f t="shared" si="11"/>
        <v/>
      </c>
      <c r="O76" s="12" t="str">
        <f t="shared" si="12"/>
        <v/>
      </c>
      <c r="P76" s="8" t="str">
        <f t="shared" si="13"/>
        <v/>
      </c>
      <c r="Q76" s="9"/>
      <c r="R76" s="31"/>
      <c r="S76" s="8" t="str">
        <f t="shared" si="14"/>
        <v/>
      </c>
      <c r="T76" s="8" t="str">
        <f t="shared" si="15"/>
        <v/>
      </c>
      <c r="U76" s="8">
        <f>IF(T76="",0,IF(SUMPRODUCT(--(T$4:T76=T76))&gt;1,1,0))</f>
        <v>0</v>
      </c>
      <c r="V76" s="8">
        <f>IF(OR(T76="",U76=1,B76="",K76&lt;&gt;"نعم"),0,IF(COUNTIFS(B$4:B76,B76,K$4:K76,"نعم",U$4:U76,0)=1,1,0))</f>
        <v>0</v>
      </c>
    </row>
    <row r="77" spans="1:22" x14ac:dyDescent="0.25">
      <c r="A77" s="8">
        <v>74</v>
      </c>
      <c r="B77" s="9"/>
      <c r="C77" s="33" t="str">
        <f t="shared" si="8"/>
        <v/>
      </c>
      <c r="D77" s="31"/>
      <c r="E77" s="31"/>
      <c r="F77" s="11"/>
      <c r="G77" s="11"/>
      <c r="H77" s="11"/>
      <c r="I77" s="9"/>
      <c r="J77" s="12" t="str">
        <f t="shared" si="9"/>
        <v/>
      </c>
      <c r="K77" s="9"/>
      <c r="L77" s="12" t="str">
        <f t="shared" si="10"/>
        <v/>
      </c>
      <c r="M77" s="11"/>
      <c r="N77" s="12" t="str">
        <f t="shared" si="11"/>
        <v/>
      </c>
      <c r="O77" s="12" t="str">
        <f t="shared" si="12"/>
        <v/>
      </c>
      <c r="P77" s="8" t="str">
        <f t="shared" si="13"/>
        <v/>
      </c>
      <c r="Q77" s="9"/>
      <c r="R77" s="31"/>
      <c r="S77" s="8" t="str">
        <f t="shared" si="14"/>
        <v/>
      </c>
      <c r="T77" s="8" t="str">
        <f t="shared" si="15"/>
        <v/>
      </c>
      <c r="U77" s="8">
        <f>IF(T77="",0,IF(SUMPRODUCT(--(T$4:T77=T77))&gt;1,1,0))</f>
        <v>0</v>
      </c>
      <c r="V77" s="8">
        <f>IF(OR(T77="",U77=1,B77="",K77&lt;&gt;"نعم"),0,IF(COUNTIFS(B$4:B77,B77,K$4:K77,"نعم",U$4:U77,0)=1,1,0))</f>
        <v>0</v>
      </c>
    </row>
    <row r="78" spans="1:22" x14ac:dyDescent="0.25">
      <c r="A78" s="8">
        <v>75</v>
      </c>
      <c r="B78" s="9"/>
      <c r="C78" s="33" t="str">
        <f t="shared" si="8"/>
        <v/>
      </c>
      <c r="D78" s="31"/>
      <c r="E78" s="31"/>
      <c r="F78" s="11"/>
      <c r="G78" s="11"/>
      <c r="H78" s="11"/>
      <c r="I78" s="9"/>
      <c r="J78" s="12" t="str">
        <f t="shared" si="9"/>
        <v/>
      </c>
      <c r="K78" s="9"/>
      <c r="L78" s="12" t="str">
        <f t="shared" si="10"/>
        <v/>
      </c>
      <c r="M78" s="11"/>
      <c r="N78" s="12" t="str">
        <f t="shared" si="11"/>
        <v/>
      </c>
      <c r="O78" s="12" t="str">
        <f t="shared" si="12"/>
        <v/>
      </c>
      <c r="P78" s="8" t="str">
        <f t="shared" si="13"/>
        <v/>
      </c>
      <c r="Q78" s="9"/>
      <c r="R78" s="31"/>
      <c r="S78" s="8" t="str">
        <f t="shared" si="14"/>
        <v/>
      </c>
      <c r="T78" s="8" t="str">
        <f t="shared" si="15"/>
        <v/>
      </c>
      <c r="U78" s="8">
        <f>IF(T78="",0,IF(SUMPRODUCT(--(T$4:T78=T78))&gt;1,1,0))</f>
        <v>0</v>
      </c>
      <c r="V78" s="8">
        <f>IF(OR(T78="",U78=1,B78="",K78&lt;&gt;"نعم"),0,IF(COUNTIFS(B$4:B78,B78,K$4:K78,"نعم",U$4:U78,0)=1,1,0))</f>
        <v>0</v>
      </c>
    </row>
    <row r="79" spans="1:22" x14ac:dyDescent="0.25">
      <c r="A79" s="8">
        <v>76</v>
      </c>
      <c r="B79" s="9"/>
      <c r="C79" s="33" t="str">
        <f t="shared" si="8"/>
        <v/>
      </c>
      <c r="D79" s="31"/>
      <c r="E79" s="31"/>
      <c r="F79" s="11"/>
      <c r="G79" s="11"/>
      <c r="H79" s="11"/>
      <c r="I79" s="9"/>
      <c r="J79" s="12" t="str">
        <f t="shared" si="9"/>
        <v/>
      </c>
      <c r="K79" s="9"/>
      <c r="L79" s="12" t="str">
        <f t="shared" si="10"/>
        <v/>
      </c>
      <c r="M79" s="11"/>
      <c r="N79" s="12" t="str">
        <f t="shared" si="11"/>
        <v/>
      </c>
      <c r="O79" s="12" t="str">
        <f t="shared" si="12"/>
        <v/>
      </c>
      <c r="P79" s="8" t="str">
        <f t="shared" si="13"/>
        <v/>
      </c>
      <c r="Q79" s="9"/>
      <c r="R79" s="31"/>
      <c r="S79" s="8" t="str">
        <f t="shared" si="14"/>
        <v/>
      </c>
      <c r="T79" s="8" t="str">
        <f t="shared" si="15"/>
        <v/>
      </c>
      <c r="U79" s="8">
        <f>IF(T79="",0,IF(SUMPRODUCT(--(T$4:T79=T79))&gt;1,1,0))</f>
        <v>0</v>
      </c>
      <c r="V79" s="8">
        <f>IF(OR(T79="",U79=1,B79="",K79&lt;&gt;"نعم"),0,IF(COUNTIFS(B$4:B79,B79,K$4:K79,"نعم",U$4:U79,0)=1,1,0))</f>
        <v>0</v>
      </c>
    </row>
    <row r="80" spans="1:22" x14ac:dyDescent="0.25">
      <c r="A80" s="8">
        <v>77</v>
      </c>
      <c r="B80" s="9"/>
      <c r="C80" s="33" t="str">
        <f t="shared" si="8"/>
        <v/>
      </c>
      <c r="D80" s="31"/>
      <c r="E80" s="31"/>
      <c r="F80" s="11"/>
      <c r="G80" s="11"/>
      <c r="H80" s="11"/>
      <c r="I80" s="9"/>
      <c r="J80" s="12" t="str">
        <f t="shared" si="9"/>
        <v/>
      </c>
      <c r="K80" s="9"/>
      <c r="L80" s="12" t="str">
        <f t="shared" si="10"/>
        <v/>
      </c>
      <c r="M80" s="11"/>
      <c r="N80" s="12" t="str">
        <f t="shared" si="11"/>
        <v/>
      </c>
      <c r="O80" s="12" t="str">
        <f t="shared" si="12"/>
        <v/>
      </c>
      <c r="P80" s="8" t="str">
        <f t="shared" si="13"/>
        <v/>
      </c>
      <c r="Q80" s="9"/>
      <c r="R80" s="31"/>
      <c r="S80" s="8" t="str">
        <f t="shared" si="14"/>
        <v/>
      </c>
      <c r="T80" s="8" t="str">
        <f t="shared" si="15"/>
        <v/>
      </c>
      <c r="U80" s="8">
        <f>IF(T80="",0,IF(SUMPRODUCT(--(T$4:T80=T80))&gt;1,1,0))</f>
        <v>0</v>
      </c>
      <c r="V80" s="8">
        <f>IF(OR(T80="",U80=1,B80="",K80&lt;&gt;"نعم"),0,IF(COUNTIFS(B$4:B80,B80,K$4:K80,"نعم",U$4:U80,0)=1,1,0))</f>
        <v>0</v>
      </c>
    </row>
    <row r="81" spans="1:22" x14ac:dyDescent="0.25">
      <c r="A81" s="8">
        <v>78</v>
      </c>
      <c r="B81" s="9"/>
      <c r="C81" s="33" t="str">
        <f t="shared" si="8"/>
        <v/>
      </c>
      <c r="D81" s="31"/>
      <c r="E81" s="31"/>
      <c r="F81" s="11"/>
      <c r="G81" s="11"/>
      <c r="H81" s="11"/>
      <c r="I81" s="9"/>
      <c r="J81" s="12" t="str">
        <f t="shared" si="9"/>
        <v/>
      </c>
      <c r="K81" s="9"/>
      <c r="L81" s="12" t="str">
        <f t="shared" si="10"/>
        <v/>
      </c>
      <c r="M81" s="11"/>
      <c r="N81" s="12" t="str">
        <f t="shared" si="11"/>
        <v/>
      </c>
      <c r="O81" s="12" t="str">
        <f t="shared" si="12"/>
        <v/>
      </c>
      <c r="P81" s="8" t="str">
        <f t="shared" si="13"/>
        <v/>
      </c>
      <c r="Q81" s="9"/>
      <c r="R81" s="31"/>
      <c r="S81" s="8" t="str">
        <f t="shared" si="14"/>
        <v/>
      </c>
      <c r="T81" s="8" t="str">
        <f t="shared" si="15"/>
        <v/>
      </c>
      <c r="U81" s="8">
        <f>IF(T81="",0,IF(SUMPRODUCT(--(T$4:T81=T81))&gt;1,1,0))</f>
        <v>0</v>
      </c>
      <c r="V81" s="8">
        <f>IF(OR(T81="",U81=1,B81="",K81&lt;&gt;"نعم"),0,IF(COUNTIFS(B$4:B81,B81,K$4:K81,"نعم",U$4:U81,0)=1,1,0))</f>
        <v>0</v>
      </c>
    </row>
    <row r="82" spans="1:22" x14ac:dyDescent="0.25">
      <c r="A82" s="8">
        <v>79</v>
      </c>
      <c r="B82" s="9"/>
      <c r="C82" s="33" t="str">
        <f t="shared" si="8"/>
        <v/>
      </c>
      <c r="D82" s="31"/>
      <c r="E82" s="31"/>
      <c r="F82" s="11"/>
      <c r="G82" s="11"/>
      <c r="H82" s="11"/>
      <c r="I82" s="9"/>
      <c r="J82" s="12" t="str">
        <f t="shared" si="9"/>
        <v/>
      </c>
      <c r="K82" s="9"/>
      <c r="L82" s="12" t="str">
        <f t="shared" si="10"/>
        <v/>
      </c>
      <c r="M82" s="11"/>
      <c r="N82" s="12" t="str">
        <f t="shared" si="11"/>
        <v/>
      </c>
      <c r="O82" s="12" t="str">
        <f t="shared" si="12"/>
        <v/>
      </c>
      <c r="P82" s="8" t="str">
        <f t="shared" si="13"/>
        <v/>
      </c>
      <c r="Q82" s="9"/>
      <c r="R82" s="31"/>
      <c r="S82" s="8" t="str">
        <f t="shared" si="14"/>
        <v/>
      </c>
      <c r="T82" s="8" t="str">
        <f t="shared" si="15"/>
        <v/>
      </c>
      <c r="U82" s="8">
        <f>IF(T82="",0,IF(SUMPRODUCT(--(T$4:T82=T82))&gt;1,1,0))</f>
        <v>0</v>
      </c>
      <c r="V82" s="8">
        <f>IF(OR(T82="",U82=1,B82="",K82&lt;&gt;"نعم"),0,IF(COUNTIFS(B$4:B82,B82,K$4:K82,"نعم",U$4:U82,0)=1,1,0))</f>
        <v>0</v>
      </c>
    </row>
    <row r="83" spans="1:22" x14ac:dyDescent="0.25">
      <c r="A83" s="8">
        <v>80</v>
      </c>
      <c r="B83" s="9"/>
      <c r="C83" s="33" t="str">
        <f t="shared" si="8"/>
        <v/>
      </c>
      <c r="D83" s="31"/>
      <c r="E83" s="31"/>
      <c r="F83" s="11"/>
      <c r="G83" s="11"/>
      <c r="H83" s="11"/>
      <c r="I83" s="9"/>
      <c r="J83" s="12" t="str">
        <f t="shared" si="9"/>
        <v/>
      </c>
      <c r="K83" s="9"/>
      <c r="L83" s="12" t="str">
        <f t="shared" si="10"/>
        <v/>
      </c>
      <c r="M83" s="11"/>
      <c r="N83" s="12" t="str">
        <f t="shared" si="11"/>
        <v/>
      </c>
      <c r="O83" s="12" t="str">
        <f t="shared" si="12"/>
        <v/>
      </c>
      <c r="P83" s="8" t="str">
        <f t="shared" si="13"/>
        <v/>
      </c>
      <c r="Q83" s="9"/>
      <c r="R83" s="31"/>
      <c r="S83" s="8" t="str">
        <f t="shared" si="14"/>
        <v/>
      </c>
      <c r="T83" s="8" t="str">
        <f t="shared" si="15"/>
        <v/>
      </c>
      <c r="U83" s="8">
        <f>IF(T83="",0,IF(SUMPRODUCT(--(T$4:T83=T83))&gt;1,1,0))</f>
        <v>0</v>
      </c>
      <c r="V83" s="8">
        <f>IF(OR(T83="",U83=1,B83="",K83&lt;&gt;"نعم"),0,IF(COUNTIFS(B$4:B83,B83,K$4:K83,"نعم",U$4:U83,0)=1,1,0))</f>
        <v>0</v>
      </c>
    </row>
    <row r="84" spans="1:22" x14ac:dyDescent="0.25">
      <c r="A84" s="8">
        <v>81</v>
      </c>
      <c r="B84" s="9"/>
      <c r="C84" s="33" t="str">
        <f t="shared" si="8"/>
        <v/>
      </c>
      <c r="D84" s="31"/>
      <c r="E84" s="31"/>
      <c r="F84" s="11"/>
      <c r="G84" s="11"/>
      <c r="H84" s="11"/>
      <c r="I84" s="9"/>
      <c r="J84" s="12" t="str">
        <f t="shared" si="9"/>
        <v/>
      </c>
      <c r="K84" s="9"/>
      <c r="L84" s="12" t="str">
        <f t="shared" si="10"/>
        <v/>
      </c>
      <c r="M84" s="11"/>
      <c r="N84" s="12" t="str">
        <f t="shared" si="11"/>
        <v/>
      </c>
      <c r="O84" s="12" t="str">
        <f t="shared" si="12"/>
        <v/>
      </c>
      <c r="P84" s="8" t="str">
        <f t="shared" si="13"/>
        <v/>
      </c>
      <c r="Q84" s="9"/>
      <c r="R84" s="31"/>
      <c r="S84" s="8" t="str">
        <f t="shared" si="14"/>
        <v/>
      </c>
      <c r="T84" s="8" t="str">
        <f t="shared" si="15"/>
        <v/>
      </c>
      <c r="U84" s="8">
        <f>IF(T84="",0,IF(SUMPRODUCT(--(T$4:T84=T84))&gt;1,1,0))</f>
        <v>0</v>
      </c>
      <c r="V84" s="8">
        <f>IF(OR(T84="",U84=1,B84="",K84&lt;&gt;"نعم"),0,IF(COUNTIFS(B$4:B84,B84,K$4:K84,"نعم",U$4:U84,0)=1,1,0))</f>
        <v>0</v>
      </c>
    </row>
    <row r="85" spans="1:22" x14ac:dyDescent="0.25">
      <c r="A85" s="8">
        <v>82</v>
      </c>
      <c r="B85" s="9"/>
      <c r="C85" s="33" t="str">
        <f t="shared" si="8"/>
        <v/>
      </c>
      <c r="D85" s="31"/>
      <c r="E85" s="31"/>
      <c r="F85" s="11"/>
      <c r="G85" s="11"/>
      <c r="H85" s="11"/>
      <c r="I85" s="9"/>
      <c r="J85" s="12" t="str">
        <f t="shared" si="9"/>
        <v/>
      </c>
      <c r="K85" s="9"/>
      <c r="L85" s="12" t="str">
        <f t="shared" si="10"/>
        <v/>
      </c>
      <c r="M85" s="11"/>
      <c r="N85" s="12" t="str">
        <f t="shared" si="11"/>
        <v/>
      </c>
      <c r="O85" s="12" t="str">
        <f t="shared" si="12"/>
        <v/>
      </c>
      <c r="P85" s="8" t="str">
        <f t="shared" si="13"/>
        <v/>
      </c>
      <c r="Q85" s="9"/>
      <c r="R85" s="31"/>
      <c r="S85" s="8" t="str">
        <f t="shared" si="14"/>
        <v/>
      </c>
      <c r="T85" s="8" t="str">
        <f t="shared" si="15"/>
        <v/>
      </c>
      <c r="U85" s="8">
        <f>IF(T85="",0,IF(SUMPRODUCT(--(T$4:T85=T85))&gt;1,1,0))</f>
        <v>0</v>
      </c>
      <c r="V85" s="8">
        <f>IF(OR(T85="",U85=1,B85="",K85&lt;&gt;"نعم"),0,IF(COUNTIFS(B$4:B85,B85,K$4:K85,"نعم",U$4:U85,0)=1,1,0))</f>
        <v>0</v>
      </c>
    </row>
    <row r="86" spans="1:22" x14ac:dyDescent="0.25">
      <c r="A86" s="8">
        <v>83</v>
      </c>
      <c r="B86" s="9"/>
      <c r="C86" s="33" t="str">
        <f t="shared" si="8"/>
        <v/>
      </c>
      <c r="D86" s="31"/>
      <c r="E86" s="31"/>
      <c r="F86" s="11"/>
      <c r="G86" s="11"/>
      <c r="H86" s="11"/>
      <c r="I86" s="9"/>
      <c r="J86" s="12" t="str">
        <f t="shared" si="9"/>
        <v/>
      </c>
      <c r="K86" s="9"/>
      <c r="L86" s="12" t="str">
        <f t="shared" si="10"/>
        <v/>
      </c>
      <c r="M86" s="11"/>
      <c r="N86" s="12" t="str">
        <f t="shared" si="11"/>
        <v/>
      </c>
      <c r="O86" s="12" t="str">
        <f t="shared" si="12"/>
        <v/>
      </c>
      <c r="P86" s="8" t="str">
        <f t="shared" si="13"/>
        <v/>
      </c>
      <c r="Q86" s="9"/>
      <c r="R86" s="31"/>
      <c r="S86" s="8" t="str">
        <f t="shared" si="14"/>
        <v/>
      </c>
      <c r="T86" s="8" t="str">
        <f t="shared" si="15"/>
        <v/>
      </c>
      <c r="U86" s="8">
        <f>IF(T86="",0,IF(SUMPRODUCT(--(T$4:T86=T86))&gt;1,1,0))</f>
        <v>0</v>
      </c>
      <c r="V86" s="8">
        <f>IF(OR(T86="",U86=1,B86="",K86&lt;&gt;"نعم"),0,IF(COUNTIFS(B$4:B86,B86,K$4:K86,"نعم",U$4:U86,0)=1,1,0))</f>
        <v>0</v>
      </c>
    </row>
    <row r="87" spans="1:22" x14ac:dyDescent="0.25">
      <c r="A87" s="8">
        <v>84</v>
      </c>
      <c r="B87" s="9"/>
      <c r="C87" s="33" t="str">
        <f t="shared" si="8"/>
        <v/>
      </c>
      <c r="D87" s="31"/>
      <c r="E87" s="31"/>
      <c r="F87" s="11"/>
      <c r="G87" s="11"/>
      <c r="H87" s="11"/>
      <c r="I87" s="9"/>
      <c r="J87" s="12" t="str">
        <f t="shared" si="9"/>
        <v/>
      </c>
      <c r="K87" s="9"/>
      <c r="L87" s="12" t="str">
        <f t="shared" si="10"/>
        <v/>
      </c>
      <c r="M87" s="11"/>
      <c r="N87" s="12" t="str">
        <f t="shared" si="11"/>
        <v/>
      </c>
      <c r="O87" s="12" t="str">
        <f t="shared" si="12"/>
        <v/>
      </c>
      <c r="P87" s="8" t="str">
        <f t="shared" si="13"/>
        <v/>
      </c>
      <c r="Q87" s="9"/>
      <c r="R87" s="31"/>
      <c r="S87" s="8" t="str">
        <f t="shared" si="14"/>
        <v/>
      </c>
      <c r="T87" s="8" t="str">
        <f t="shared" si="15"/>
        <v/>
      </c>
      <c r="U87" s="8">
        <f>IF(T87="",0,IF(SUMPRODUCT(--(T$4:T87=T87))&gt;1,1,0))</f>
        <v>0</v>
      </c>
      <c r="V87" s="8">
        <f>IF(OR(T87="",U87=1,B87="",K87&lt;&gt;"نعم"),0,IF(COUNTIFS(B$4:B87,B87,K$4:K87,"نعم",U$4:U87,0)=1,1,0))</f>
        <v>0</v>
      </c>
    </row>
    <row r="88" spans="1:22" x14ac:dyDescent="0.25">
      <c r="A88" s="8">
        <v>85</v>
      </c>
      <c r="B88" s="9"/>
      <c r="C88" s="33" t="str">
        <f t="shared" si="8"/>
        <v/>
      </c>
      <c r="D88" s="31"/>
      <c r="E88" s="31"/>
      <c r="F88" s="11"/>
      <c r="G88" s="11"/>
      <c r="H88" s="11"/>
      <c r="I88" s="9"/>
      <c r="J88" s="12" t="str">
        <f t="shared" si="9"/>
        <v/>
      </c>
      <c r="K88" s="9"/>
      <c r="L88" s="12" t="str">
        <f t="shared" si="10"/>
        <v/>
      </c>
      <c r="M88" s="11"/>
      <c r="N88" s="12" t="str">
        <f t="shared" si="11"/>
        <v/>
      </c>
      <c r="O88" s="12" t="str">
        <f t="shared" si="12"/>
        <v/>
      </c>
      <c r="P88" s="8" t="str">
        <f t="shared" si="13"/>
        <v/>
      </c>
      <c r="Q88" s="9"/>
      <c r="R88" s="31"/>
      <c r="S88" s="8" t="str">
        <f t="shared" si="14"/>
        <v/>
      </c>
      <c r="T88" s="8" t="str">
        <f t="shared" si="15"/>
        <v/>
      </c>
      <c r="U88" s="8">
        <f>IF(T88="",0,IF(SUMPRODUCT(--(T$4:T88=T88))&gt;1,1,0))</f>
        <v>0</v>
      </c>
      <c r="V88" s="8">
        <f>IF(OR(T88="",U88=1,B88="",K88&lt;&gt;"نعم"),0,IF(COUNTIFS(B$4:B88,B88,K$4:K88,"نعم",U$4:U88,0)=1,1,0))</f>
        <v>0</v>
      </c>
    </row>
    <row r="89" spans="1:22" x14ac:dyDescent="0.25">
      <c r="A89" s="8">
        <v>86</v>
      </c>
      <c r="B89" s="9"/>
      <c r="C89" s="33" t="str">
        <f t="shared" si="8"/>
        <v/>
      </c>
      <c r="D89" s="31"/>
      <c r="E89" s="31"/>
      <c r="F89" s="11"/>
      <c r="G89" s="11"/>
      <c r="H89" s="11"/>
      <c r="I89" s="9"/>
      <c r="J89" s="12" t="str">
        <f t="shared" si="9"/>
        <v/>
      </c>
      <c r="K89" s="9"/>
      <c r="L89" s="12" t="str">
        <f t="shared" si="10"/>
        <v/>
      </c>
      <c r="M89" s="11"/>
      <c r="N89" s="12" t="str">
        <f t="shared" si="11"/>
        <v/>
      </c>
      <c r="O89" s="12" t="str">
        <f t="shared" si="12"/>
        <v/>
      </c>
      <c r="P89" s="8" t="str">
        <f t="shared" si="13"/>
        <v/>
      </c>
      <c r="Q89" s="9"/>
      <c r="R89" s="31"/>
      <c r="S89" s="8" t="str">
        <f t="shared" si="14"/>
        <v/>
      </c>
      <c r="T89" s="8" t="str">
        <f t="shared" si="15"/>
        <v/>
      </c>
      <c r="U89" s="8">
        <f>IF(T89="",0,IF(SUMPRODUCT(--(T$4:T89=T89))&gt;1,1,0))</f>
        <v>0</v>
      </c>
      <c r="V89" s="8">
        <f>IF(OR(T89="",U89=1,B89="",K89&lt;&gt;"نعم"),0,IF(COUNTIFS(B$4:B89,B89,K$4:K89,"نعم",U$4:U89,0)=1,1,0))</f>
        <v>0</v>
      </c>
    </row>
    <row r="90" spans="1:22" x14ac:dyDescent="0.25">
      <c r="A90" s="8">
        <v>87</v>
      </c>
      <c r="B90" s="9"/>
      <c r="C90" s="33" t="str">
        <f t="shared" si="8"/>
        <v/>
      </c>
      <c r="D90" s="31"/>
      <c r="E90" s="31"/>
      <c r="F90" s="11"/>
      <c r="G90" s="11"/>
      <c r="H90" s="11"/>
      <c r="I90" s="9"/>
      <c r="J90" s="12" t="str">
        <f t="shared" si="9"/>
        <v/>
      </c>
      <c r="K90" s="9"/>
      <c r="L90" s="12" t="str">
        <f t="shared" si="10"/>
        <v/>
      </c>
      <c r="M90" s="11"/>
      <c r="N90" s="12" t="str">
        <f t="shared" si="11"/>
        <v/>
      </c>
      <c r="O90" s="12" t="str">
        <f t="shared" si="12"/>
        <v/>
      </c>
      <c r="P90" s="8" t="str">
        <f t="shared" si="13"/>
        <v/>
      </c>
      <c r="Q90" s="9"/>
      <c r="R90" s="31"/>
      <c r="S90" s="8" t="str">
        <f t="shared" si="14"/>
        <v/>
      </c>
      <c r="T90" s="8" t="str">
        <f t="shared" si="15"/>
        <v/>
      </c>
      <c r="U90" s="8">
        <f>IF(T90="",0,IF(SUMPRODUCT(--(T$4:T90=T90))&gt;1,1,0))</f>
        <v>0</v>
      </c>
      <c r="V90" s="8">
        <f>IF(OR(T90="",U90=1,B90="",K90&lt;&gt;"نعم"),0,IF(COUNTIFS(B$4:B90,B90,K$4:K90,"نعم",U$4:U90,0)=1,1,0))</f>
        <v>0</v>
      </c>
    </row>
    <row r="91" spans="1:22" x14ac:dyDescent="0.25">
      <c r="A91" s="8">
        <v>88</v>
      </c>
      <c r="B91" s="9"/>
      <c r="C91" s="33" t="str">
        <f t="shared" si="8"/>
        <v/>
      </c>
      <c r="D91" s="31"/>
      <c r="E91" s="31"/>
      <c r="F91" s="11"/>
      <c r="G91" s="11"/>
      <c r="H91" s="11"/>
      <c r="I91" s="9"/>
      <c r="J91" s="12" t="str">
        <f t="shared" si="9"/>
        <v/>
      </c>
      <c r="K91" s="9"/>
      <c r="L91" s="12" t="str">
        <f t="shared" si="10"/>
        <v/>
      </c>
      <c r="M91" s="11"/>
      <c r="N91" s="12" t="str">
        <f t="shared" si="11"/>
        <v/>
      </c>
      <c r="O91" s="12" t="str">
        <f t="shared" si="12"/>
        <v/>
      </c>
      <c r="P91" s="8" t="str">
        <f t="shared" si="13"/>
        <v/>
      </c>
      <c r="Q91" s="9"/>
      <c r="R91" s="31"/>
      <c r="S91" s="8" t="str">
        <f t="shared" si="14"/>
        <v/>
      </c>
      <c r="T91" s="8" t="str">
        <f t="shared" si="15"/>
        <v/>
      </c>
      <c r="U91" s="8">
        <f>IF(T91="",0,IF(SUMPRODUCT(--(T$4:T91=T91))&gt;1,1,0))</f>
        <v>0</v>
      </c>
      <c r="V91" s="8">
        <f>IF(OR(T91="",U91=1,B91="",K91&lt;&gt;"نعم"),0,IF(COUNTIFS(B$4:B91,B91,K$4:K91,"نعم",U$4:U91,0)=1,1,0))</f>
        <v>0</v>
      </c>
    </row>
    <row r="92" spans="1:22" x14ac:dyDescent="0.25">
      <c r="A92" s="8">
        <v>89</v>
      </c>
      <c r="B92" s="9"/>
      <c r="C92" s="33" t="str">
        <f t="shared" si="8"/>
        <v/>
      </c>
      <c r="D92" s="31"/>
      <c r="E92" s="31"/>
      <c r="F92" s="11"/>
      <c r="G92" s="11"/>
      <c r="H92" s="11"/>
      <c r="I92" s="9"/>
      <c r="J92" s="12" t="str">
        <f t="shared" si="9"/>
        <v/>
      </c>
      <c r="K92" s="9"/>
      <c r="L92" s="12" t="str">
        <f t="shared" si="10"/>
        <v/>
      </c>
      <c r="M92" s="11"/>
      <c r="N92" s="12" t="str">
        <f t="shared" si="11"/>
        <v/>
      </c>
      <c r="O92" s="12" t="str">
        <f t="shared" si="12"/>
        <v/>
      </c>
      <c r="P92" s="8" t="str">
        <f t="shared" si="13"/>
        <v/>
      </c>
      <c r="Q92" s="9"/>
      <c r="R92" s="31"/>
      <c r="S92" s="8" t="str">
        <f t="shared" si="14"/>
        <v/>
      </c>
      <c r="T92" s="8" t="str">
        <f t="shared" si="15"/>
        <v/>
      </c>
      <c r="U92" s="8">
        <f>IF(T92="",0,IF(SUMPRODUCT(--(T$4:T92=T92))&gt;1,1,0))</f>
        <v>0</v>
      </c>
      <c r="V92" s="8">
        <f>IF(OR(T92="",U92=1,B92="",K92&lt;&gt;"نعم"),0,IF(COUNTIFS(B$4:B92,B92,K$4:K92,"نعم",U$4:U92,0)=1,1,0))</f>
        <v>0</v>
      </c>
    </row>
    <row r="93" spans="1:22" x14ac:dyDescent="0.25">
      <c r="A93" s="8">
        <v>90</v>
      </c>
      <c r="B93" s="9"/>
      <c r="C93" s="33" t="str">
        <f t="shared" si="8"/>
        <v/>
      </c>
      <c r="D93" s="31"/>
      <c r="E93" s="31"/>
      <c r="F93" s="11"/>
      <c r="G93" s="11"/>
      <c r="H93" s="11"/>
      <c r="I93" s="9"/>
      <c r="J93" s="12" t="str">
        <f t="shared" si="9"/>
        <v/>
      </c>
      <c r="K93" s="9"/>
      <c r="L93" s="12" t="str">
        <f t="shared" si="10"/>
        <v/>
      </c>
      <c r="M93" s="11"/>
      <c r="N93" s="12" t="str">
        <f t="shared" si="11"/>
        <v/>
      </c>
      <c r="O93" s="12" t="str">
        <f t="shared" si="12"/>
        <v/>
      </c>
      <c r="P93" s="8" t="str">
        <f t="shared" si="13"/>
        <v/>
      </c>
      <c r="Q93" s="9"/>
      <c r="R93" s="31"/>
      <c r="S93" s="8" t="str">
        <f t="shared" si="14"/>
        <v/>
      </c>
      <c r="T93" s="8" t="str">
        <f t="shared" si="15"/>
        <v/>
      </c>
      <c r="U93" s="8">
        <f>IF(T93="",0,IF(SUMPRODUCT(--(T$4:T93=T93))&gt;1,1,0))</f>
        <v>0</v>
      </c>
      <c r="V93" s="8">
        <f>IF(OR(T93="",U93=1,B93="",K93&lt;&gt;"نعم"),0,IF(COUNTIFS(B$4:B93,B93,K$4:K93,"نعم",U$4:U93,0)=1,1,0))</f>
        <v>0</v>
      </c>
    </row>
    <row r="94" spans="1:22" x14ac:dyDescent="0.25">
      <c r="A94" s="8">
        <v>91</v>
      </c>
      <c r="B94" s="9"/>
      <c r="C94" s="33" t="str">
        <f t="shared" si="8"/>
        <v/>
      </c>
      <c r="D94" s="31"/>
      <c r="E94" s="31"/>
      <c r="F94" s="11"/>
      <c r="G94" s="11"/>
      <c r="H94" s="11"/>
      <c r="I94" s="9"/>
      <c r="J94" s="12" t="str">
        <f t="shared" si="9"/>
        <v/>
      </c>
      <c r="K94" s="9"/>
      <c r="L94" s="12" t="str">
        <f t="shared" si="10"/>
        <v/>
      </c>
      <c r="M94" s="11"/>
      <c r="N94" s="12" t="str">
        <f t="shared" si="11"/>
        <v/>
      </c>
      <c r="O94" s="12" t="str">
        <f t="shared" si="12"/>
        <v/>
      </c>
      <c r="P94" s="8" t="str">
        <f t="shared" si="13"/>
        <v/>
      </c>
      <c r="Q94" s="9"/>
      <c r="R94" s="31"/>
      <c r="S94" s="8" t="str">
        <f t="shared" si="14"/>
        <v/>
      </c>
      <c r="T94" s="8" t="str">
        <f t="shared" si="15"/>
        <v/>
      </c>
      <c r="U94" s="8">
        <f>IF(T94="",0,IF(SUMPRODUCT(--(T$4:T94=T94))&gt;1,1,0))</f>
        <v>0</v>
      </c>
      <c r="V94" s="8">
        <f>IF(OR(T94="",U94=1,B94="",K94&lt;&gt;"نعم"),0,IF(COUNTIFS(B$4:B94,B94,K$4:K94,"نعم",U$4:U94,0)=1,1,0))</f>
        <v>0</v>
      </c>
    </row>
    <row r="95" spans="1:22" x14ac:dyDescent="0.25">
      <c r="A95" s="8">
        <v>92</v>
      </c>
      <c r="B95" s="9"/>
      <c r="C95" s="33" t="str">
        <f t="shared" si="8"/>
        <v/>
      </c>
      <c r="D95" s="31"/>
      <c r="E95" s="31"/>
      <c r="F95" s="11"/>
      <c r="G95" s="11"/>
      <c r="H95" s="11"/>
      <c r="I95" s="9"/>
      <c r="J95" s="12" t="str">
        <f t="shared" si="9"/>
        <v/>
      </c>
      <c r="K95" s="9"/>
      <c r="L95" s="12" t="str">
        <f t="shared" si="10"/>
        <v/>
      </c>
      <c r="M95" s="11"/>
      <c r="N95" s="12" t="str">
        <f t="shared" si="11"/>
        <v/>
      </c>
      <c r="O95" s="12" t="str">
        <f t="shared" si="12"/>
        <v/>
      </c>
      <c r="P95" s="8" t="str">
        <f t="shared" si="13"/>
        <v/>
      </c>
      <c r="Q95" s="9"/>
      <c r="R95" s="31"/>
      <c r="S95" s="8" t="str">
        <f t="shared" si="14"/>
        <v/>
      </c>
      <c r="T95" s="8" t="str">
        <f t="shared" si="15"/>
        <v/>
      </c>
      <c r="U95" s="8">
        <f>IF(T95="",0,IF(SUMPRODUCT(--(T$4:T95=T95))&gt;1,1,0))</f>
        <v>0</v>
      </c>
      <c r="V95" s="8">
        <f>IF(OR(T95="",U95=1,B95="",K95&lt;&gt;"نعم"),0,IF(COUNTIFS(B$4:B95,B95,K$4:K95,"نعم",U$4:U95,0)=1,1,0))</f>
        <v>0</v>
      </c>
    </row>
    <row r="96" spans="1:22" x14ac:dyDescent="0.25">
      <c r="A96" s="8">
        <v>93</v>
      </c>
      <c r="B96" s="9"/>
      <c r="C96" s="33" t="str">
        <f t="shared" si="8"/>
        <v/>
      </c>
      <c r="D96" s="31"/>
      <c r="E96" s="31"/>
      <c r="F96" s="11"/>
      <c r="G96" s="11"/>
      <c r="H96" s="11"/>
      <c r="I96" s="9"/>
      <c r="J96" s="12" t="str">
        <f t="shared" si="9"/>
        <v/>
      </c>
      <c r="K96" s="9"/>
      <c r="L96" s="12" t="str">
        <f t="shared" si="10"/>
        <v/>
      </c>
      <c r="M96" s="11"/>
      <c r="N96" s="12" t="str">
        <f t="shared" si="11"/>
        <v/>
      </c>
      <c r="O96" s="12" t="str">
        <f t="shared" si="12"/>
        <v/>
      </c>
      <c r="P96" s="8" t="str">
        <f t="shared" si="13"/>
        <v/>
      </c>
      <c r="Q96" s="9"/>
      <c r="R96" s="31"/>
      <c r="S96" s="8" t="str">
        <f t="shared" si="14"/>
        <v/>
      </c>
      <c r="T96" s="8" t="str">
        <f t="shared" si="15"/>
        <v/>
      </c>
      <c r="U96" s="8">
        <f>IF(T96="",0,IF(SUMPRODUCT(--(T$4:T96=T96))&gt;1,1,0))</f>
        <v>0</v>
      </c>
      <c r="V96" s="8">
        <f>IF(OR(T96="",U96=1,B96="",K96&lt;&gt;"نعم"),0,IF(COUNTIFS(B$4:B96,B96,K$4:K96,"نعم",U$4:U96,0)=1,1,0))</f>
        <v>0</v>
      </c>
    </row>
    <row r="97" spans="1:22" x14ac:dyDescent="0.25">
      <c r="A97" s="8">
        <v>94</v>
      </c>
      <c r="B97" s="9"/>
      <c r="C97" s="33" t="str">
        <f t="shared" si="8"/>
        <v/>
      </c>
      <c r="D97" s="31"/>
      <c r="E97" s="31"/>
      <c r="F97" s="11"/>
      <c r="G97" s="11"/>
      <c r="H97" s="11"/>
      <c r="I97" s="9"/>
      <c r="J97" s="12" t="str">
        <f t="shared" si="9"/>
        <v/>
      </c>
      <c r="K97" s="9"/>
      <c r="L97" s="12" t="str">
        <f t="shared" si="10"/>
        <v/>
      </c>
      <c r="M97" s="11"/>
      <c r="N97" s="12" t="str">
        <f t="shared" si="11"/>
        <v/>
      </c>
      <c r="O97" s="12" t="str">
        <f t="shared" si="12"/>
        <v/>
      </c>
      <c r="P97" s="8" t="str">
        <f t="shared" si="13"/>
        <v/>
      </c>
      <c r="Q97" s="9"/>
      <c r="R97" s="31"/>
      <c r="S97" s="8" t="str">
        <f t="shared" si="14"/>
        <v/>
      </c>
      <c r="T97" s="8" t="str">
        <f t="shared" si="15"/>
        <v/>
      </c>
      <c r="U97" s="8">
        <f>IF(T97="",0,IF(SUMPRODUCT(--(T$4:T97=T97))&gt;1,1,0))</f>
        <v>0</v>
      </c>
      <c r="V97" s="8">
        <f>IF(OR(T97="",U97=1,B97="",K97&lt;&gt;"نعم"),0,IF(COUNTIFS(B$4:B97,B97,K$4:K97,"نعم",U$4:U97,0)=1,1,0))</f>
        <v>0</v>
      </c>
    </row>
    <row r="98" spans="1:22" x14ac:dyDescent="0.25">
      <c r="A98" s="8">
        <v>95</v>
      </c>
      <c r="B98" s="9"/>
      <c r="C98" s="33" t="str">
        <f t="shared" si="8"/>
        <v/>
      </c>
      <c r="D98" s="31"/>
      <c r="E98" s="31"/>
      <c r="F98" s="11"/>
      <c r="G98" s="11"/>
      <c r="H98" s="11"/>
      <c r="I98" s="9"/>
      <c r="J98" s="12" t="str">
        <f t="shared" si="9"/>
        <v/>
      </c>
      <c r="K98" s="9"/>
      <c r="L98" s="12" t="str">
        <f t="shared" si="10"/>
        <v/>
      </c>
      <c r="M98" s="11"/>
      <c r="N98" s="12" t="str">
        <f t="shared" si="11"/>
        <v/>
      </c>
      <c r="O98" s="12" t="str">
        <f t="shared" si="12"/>
        <v/>
      </c>
      <c r="P98" s="8" t="str">
        <f t="shared" si="13"/>
        <v/>
      </c>
      <c r="Q98" s="9"/>
      <c r="R98" s="31"/>
      <c r="S98" s="8" t="str">
        <f t="shared" si="14"/>
        <v/>
      </c>
      <c r="T98" s="8" t="str">
        <f t="shared" si="15"/>
        <v/>
      </c>
      <c r="U98" s="8">
        <f>IF(T98="",0,IF(SUMPRODUCT(--(T$4:T98=T98))&gt;1,1,0))</f>
        <v>0</v>
      </c>
      <c r="V98" s="8">
        <f>IF(OR(T98="",U98=1,B98="",K98&lt;&gt;"نعم"),0,IF(COUNTIFS(B$4:B98,B98,K$4:K98,"نعم",U$4:U98,0)=1,1,0))</f>
        <v>0</v>
      </c>
    </row>
    <row r="99" spans="1:22" x14ac:dyDescent="0.25">
      <c r="A99" s="8">
        <v>96</v>
      </c>
      <c r="B99" s="9"/>
      <c r="C99" s="33" t="str">
        <f t="shared" si="8"/>
        <v/>
      </c>
      <c r="D99" s="31"/>
      <c r="E99" s="31"/>
      <c r="F99" s="11"/>
      <c r="G99" s="11"/>
      <c r="H99" s="11"/>
      <c r="I99" s="9"/>
      <c r="J99" s="12" t="str">
        <f t="shared" si="9"/>
        <v/>
      </c>
      <c r="K99" s="9"/>
      <c r="L99" s="12" t="str">
        <f t="shared" si="10"/>
        <v/>
      </c>
      <c r="M99" s="11"/>
      <c r="N99" s="12" t="str">
        <f t="shared" si="11"/>
        <v/>
      </c>
      <c r="O99" s="12" t="str">
        <f t="shared" si="12"/>
        <v/>
      </c>
      <c r="P99" s="8" t="str">
        <f t="shared" si="13"/>
        <v/>
      </c>
      <c r="Q99" s="9"/>
      <c r="R99" s="31"/>
      <c r="S99" s="8" t="str">
        <f t="shared" si="14"/>
        <v/>
      </c>
      <c r="T99" s="8" t="str">
        <f t="shared" si="15"/>
        <v/>
      </c>
      <c r="U99" s="8">
        <f>IF(T99="",0,IF(SUMPRODUCT(--(T$4:T99=T99))&gt;1,1,0))</f>
        <v>0</v>
      </c>
      <c r="V99" s="8">
        <f>IF(OR(T99="",U99=1,B99="",K99&lt;&gt;"نعم"),0,IF(COUNTIFS(B$4:B99,B99,K$4:K99,"نعم",U$4:U99,0)=1,1,0))</f>
        <v>0</v>
      </c>
    </row>
    <row r="100" spans="1:22" x14ac:dyDescent="0.25">
      <c r="A100" s="8">
        <v>97</v>
      </c>
      <c r="B100" s="9"/>
      <c r="C100" s="33" t="str">
        <f t="shared" si="8"/>
        <v/>
      </c>
      <c r="D100" s="31"/>
      <c r="E100" s="31"/>
      <c r="F100" s="11"/>
      <c r="G100" s="11"/>
      <c r="H100" s="11"/>
      <c r="I100" s="9"/>
      <c r="J100" s="12" t="str">
        <f t="shared" si="9"/>
        <v/>
      </c>
      <c r="K100" s="9"/>
      <c r="L100" s="12" t="str">
        <f t="shared" si="10"/>
        <v/>
      </c>
      <c r="M100" s="11"/>
      <c r="N100" s="12" t="str">
        <f t="shared" si="11"/>
        <v/>
      </c>
      <c r="O100" s="12" t="str">
        <f t="shared" si="12"/>
        <v/>
      </c>
      <c r="P100" s="8" t="str">
        <f t="shared" si="13"/>
        <v/>
      </c>
      <c r="Q100" s="9"/>
      <c r="R100" s="31"/>
      <c r="S100" s="8" t="str">
        <f t="shared" si="14"/>
        <v/>
      </c>
      <c r="T100" s="8" t="str">
        <f t="shared" si="15"/>
        <v/>
      </c>
      <c r="U100" s="8">
        <f>IF(T100="",0,IF(SUMPRODUCT(--(T$4:T100=T100))&gt;1,1,0))</f>
        <v>0</v>
      </c>
      <c r="V100" s="8">
        <f>IF(OR(T100="",U100=1,B100="",K100&lt;&gt;"نعم"),0,IF(COUNTIFS(B$4:B100,B100,K$4:K100,"نعم",U$4:U100,0)=1,1,0))</f>
        <v>0</v>
      </c>
    </row>
    <row r="101" spans="1:22" x14ac:dyDescent="0.25">
      <c r="A101" s="8">
        <v>98</v>
      </c>
      <c r="B101" s="9"/>
      <c r="C101" s="33" t="str">
        <f t="shared" si="8"/>
        <v/>
      </c>
      <c r="D101" s="31"/>
      <c r="E101" s="31"/>
      <c r="F101" s="11"/>
      <c r="G101" s="11"/>
      <c r="H101" s="11"/>
      <c r="I101" s="9"/>
      <c r="J101" s="12" t="str">
        <f t="shared" si="9"/>
        <v/>
      </c>
      <c r="K101" s="9"/>
      <c r="L101" s="12" t="str">
        <f t="shared" si="10"/>
        <v/>
      </c>
      <c r="M101" s="11"/>
      <c r="N101" s="12" t="str">
        <f t="shared" si="11"/>
        <v/>
      </c>
      <c r="O101" s="12" t="str">
        <f t="shared" si="12"/>
        <v/>
      </c>
      <c r="P101" s="8" t="str">
        <f t="shared" si="13"/>
        <v/>
      </c>
      <c r="Q101" s="9"/>
      <c r="R101" s="31"/>
      <c r="S101" s="8" t="str">
        <f t="shared" si="14"/>
        <v/>
      </c>
      <c r="T101" s="8" t="str">
        <f t="shared" si="15"/>
        <v/>
      </c>
      <c r="U101" s="8">
        <f>IF(T101="",0,IF(SUMPRODUCT(--(T$4:T101=T101))&gt;1,1,0))</f>
        <v>0</v>
      </c>
      <c r="V101" s="8">
        <f>IF(OR(T101="",U101=1,B101="",K101&lt;&gt;"نعم"),0,IF(COUNTIFS(B$4:B101,B101,K$4:K101,"نعم",U$4:U101,0)=1,1,0))</f>
        <v>0</v>
      </c>
    </row>
    <row r="102" spans="1:22" x14ac:dyDescent="0.25">
      <c r="A102" s="8">
        <v>99</v>
      </c>
      <c r="B102" s="9"/>
      <c r="C102" s="33" t="str">
        <f t="shared" si="8"/>
        <v/>
      </c>
      <c r="D102" s="31"/>
      <c r="E102" s="31"/>
      <c r="F102" s="11"/>
      <c r="G102" s="11"/>
      <c r="H102" s="11"/>
      <c r="I102" s="9"/>
      <c r="J102" s="12" t="str">
        <f t="shared" si="9"/>
        <v/>
      </c>
      <c r="K102" s="9"/>
      <c r="L102" s="12" t="str">
        <f t="shared" si="10"/>
        <v/>
      </c>
      <c r="M102" s="11"/>
      <c r="N102" s="12" t="str">
        <f t="shared" si="11"/>
        <v/>
      </c>
      <c r="O102" s="12" t="str">
        <f t="shared" si="12"/>
        <v/>
      </c>
      <c r="P102" s="8" t="str">
        <f t="shared" si="13"/>
        <v/>
      </c>
      <c r="Q102" s="9"/>
      <c r="R102" s="31"/>
      <c r="S102" s="8" t="str">
        <f t="shared" si="14"/>
        <v/>
      </c>
      <c r="T102" s="8" t="str">
        <f t="shared" si="15"/>
        <v/>
      </c>
      <c r="U102" s="8">
        <f>IF(T102="",0,IF(SUMPRODUCT(--(T$4:T102=T102))&gt;1,1,0))</f>
        <v>0</v>
      </c>
      <c r="V102" s="8">
        <f>IF(OR(T102="",U102=1,B102="",K102&lt;&gt;"نعم"),0,IF(COUNTIFS(B$4:B102,B102,K$4:K102,"نعم",U$4:U102,0)=1,1,0))</f>
        <v>0</v>
      </c>
    </row>
    <row r="103" spans="1:22" x14ac:dyDescent="0.25">
      <c r="A103" s="8">
        <v>100</v>
      </c>
      <c r="B103" s="9"/>
      <c r="C103" s="33" t="str">
        <f t="shared" si="8"/>
        <v/>
      </c>
      <c r="D103" s="31"/>
      <c r="E103" s="31"/>
      <c r="F103" s="11"/>
      <c r="G103" s="11"/>
      <c r="H103" s="11"/>
      <c r="I103" s="9"/>
      <c r="J103" s="12" t="str">
        <f t="shared" si="9"/>
        <v/>
      </c>
      <c r="K103" s="9"/>
      <c r="L103" s="12" t="str">
        <f t="shared" si="10"/>
        <v/>
      </c>
      <c r="M103" s="11"/>
      <c r="N103" s="12" t="str">
        <f t="shared" si="11"/>
        <v/>
      </c>
      <c r="O103" s="12" t="str">
        <f t="shared" si="12"/>
        <v/>
      </c>
      <c r="P103" s="8" t="str">
        <f t="shared" si="13"/>
        <v/>
      </c>
      <c r="Q103" s="9"/>
      <c r="R103" s="31"/>
      <c r="S103" s="8" t="str">
        <f t="shared" si="14"/>
        <v/>
      </c>
      <c r="T103" s="8" t="str">
        <f t="shared" si="15"/>
        <v/>
      </c>
      <c r="U103" s="8">
        <f>IF(T103="",0,IF(SUMPRODUCT(--(T$4:T103=T103))&gt;1,1,0))</f>
        <v>0</v>
      </c>
      <c r="V103" s="8">
        <f>IF(OR(T103="",U103=1,B103="",K103&lt;&gt;"نعم"),0,IF(COUNTIFS(B$4:B103,B103,K$4:K103,"نعم",U$4:U103,0)=1,1,0))</f>
        <v>0</v>
      </c>
    </row>
    <row r="104" spans="1:22" x14ac:dyDescent="0.25">
      <c r="A104" s="8">
        <v>101</v>
      </c>
      <c r="B104" s="9"/>
      <c r="C104" s="33" t="str">
        <f t="shared" si="8"/>
        <v/>
      </c>
      <c r="D104" s="31"/>
      <c r="E104" s="31"/>
      <c r="F104" s="11"/>
      <c r="G104" s="11"/>
      <c r="H104" s="11"/>
      <c r="I104" s="9"/>
      <c r="J104" s="12" t="str">
        <f t="shared" si="9"/>
        <v/>
      </c>
      <c r="K104" s="9"/>
      <c r="L104" s="12" t="str">
        <f t="shared" si="10"/>
        <v/>
      </c>
      <c r="M104" s="11"/>
      <c r="N104" s="12" t="str">
        <f t="shared" si="11"/>
        <v/>
      </c>
      <c r="O104" s="12" t="str">
        <f t="shared" si="12"/>
        <v/>
      </c>
      <c r="P104" s="8" t="str">
        <f t="shared" si="13"/>
        <v/>
      </c>
      <c r="Q104" s="9"/>
      <c r="R104" s="31"/>
      <c r="S104" s="8" t="str">
        <f t="shared" si="14"/>
        <v/>
      </c>
      <c r="T104" s="8" t="str">
        <f t="shared" si="15"/>
        <v/>
      </c>
      <c r="U104" s="8">
        <f>IF(T104="",0,IF(SUMPRODUCT(--(T$4:T104=T104))&gt;1,1,0))</f>
        <v>0</v>
      </c>
      <c r="V104" s="8">
        <f>IF(OR(T104="",U104=1,B104="",K104&lt;&gt;"نعم"),0,IF(COUNTIFS(B$4:B104,B104,K$4:K104,"نعم",U$4:U104,0)=1,1,0))</f>
        <v>0</v>
      </c>
    </row>
    <row r="105" spans="1:22" x14ac:dyDescent="0.25">
      <c r="A105" s="8">
        <v>102</v>
      </c>
      <c r="B105" s="9"/>
      <c r="C105" s="33" t="str">
        <f t="shared" si="8"/>
        <v/>
      </c>
      <c r="D105" s="31"/>
      <c r="E105" s="31"/>
      <c r="F105" s="11"/>
      <c r="G105" s="11"/>
      <c r="H105" s="11"/>
      <c r="I105" s="9"/>
      <c r="J105" s="12" t="str">
        <f t="shared" si="9"/>
        <v/>
      </c>
      <c r="K105" s="9"/>
      <c r="L105" s="12" t="str">
        <f t="shared" si="10"/>
        <v/>
      </c>
      <c r="M105" s="11"/>
      <c r="N105" s="12" t="str">
        <f t="shared" si="11"/>
        <v/>
      </c>
      <c r="O105" s="12" t="str">
        <f t="shared" si="12"/>
        <v/>
      </c>
      <c r="P105" s="8" t="str">
        <f t="shared" si="13"/>
        <v/>
      </c>
      <c r="Q105" s="9"/>
      <c r="R105" s="31"/>
      <c r="S105" s="8" t="str">
        <f t="shared" si="14"/>
        <v/>
      </c>
      <c r="T105" s="8" t="str">
        <f t="shared" si="15"/>
        <v/>
      </c>
      <c r="U105" s="8">
        <f>IF(T105="",0,IF(SUMPRODUCT(--(T$4:T105=T105))&gt;1,1,0))</f>
        <v>0</v>
      </c>
      <c r="V105" s="8">
        <f>IF(OR(T105="",U105=1,B105="",K105&lt;&gt;"نعم"),0,IF(COUNTIFS(B$4:B105,B105,K$4:K105,"نعم",U$4:U105,0)=1,1,0))</f>
        <v>0</v>
      </c>
    </row>
    <row r="106" spans="1:22" x14ac:dyDescent="0.25">
      <c r="A106" s="8">
        <v>103</v>
      </c>
      <c r="B106" s="9"/>
      <c r="C106" s="33" t="str">
        <f t="shared" si="8"/>
        <v/>
      </c>
      <c r="D106" s="31"/>
      <c r="E106" s="31"/>
      <c r="F106" s="11"/>
      <c r="G106" s="11"/>
      <c r="H106" s="11"/>
      <c r="I106" s="9"/>
      <c r="J106" s="12" t="str">
        <f t="shared" si="9"/>
        <v/>
      </c>
      <c r="K106" s="9"/>
      <c r="L106" s="12" t="str">
        <f t="shared" si="10"/>
        <v/>
      </c>
      <c r="M106" s="11"/>
      <c r="N106" s="12" t="str">
        <f t="shared" si="11"/>
        <v/>
      </c>
      <c r="O106" s="12" t="str">
        <f t="shared" si="12"/>
        <v/>
      </c>
      <c r="P106" s="8" t="str">
        <f t="shared" si="13"/>
        <v/>
      </c>
      <c r="Q106" s="9"/>
      <c r="R106" s="31"/>
      <c r="S106" s="8" t="str">
        <f t="shared" si="14"/>
        <v/>
      </c>
      <c r="T106" s="8" t="str">
        <f t="shared" si="15"/>
        <v/>
      </c>
      <c r="U106" s="8">
        <f>IF(T106="",0,IF(SUMPRODUCT(--(T$4:T106=T106))&gt;1,1,0))</f>
        <v>0</v>
      </c>
      <c r="V106" s="8">
        <f>IF(OR(T106="",U106=1,B106="",K106&lt;&gt;"نعم"),0,IF(COUNTIFS(B$4:B106,B106,K$4:K106,"نعم",U$4:U106,0)=1,1,0))</f>
        <v>0</v>
      </c>
    </row>
    <row r="107" spans="1:22" x14ac:dyDescent="0.25">
      <c r="A107" s="8">
        <v>104</v>
      </c>
      <c r="B107" s="9"/>
      <c r="C107" s="33" t="str">
        <f t="shared" si="8"/>
        <v/>
      </c>
      <c r="D107" s="31"/>
      <c r="E107" s="31"/>
      <c r="F107" s="11"/>
      <c r="G107" s="11"/>
      <c r="H107" s="11"/>
      <c r="I107" s="9"/>
      <c r="J107" s="12" t="str">
        <f t="shared" si="9"/>
        <v/>
      </c>
      <c r="K107" s="9"/>
      <c r="L107" s="12" t="str">
        <f t="shared" si="10"/>
        <v/>
      </c>
      <c r="M107" s="11"/>
      <c r="N107" s="12" t="str">
        <f t="shared" si="11"/>
        <v/>
      </c>
      <c r="O107" s="12" t="str">
        <f t="shared" si="12"/>
        <v/>
      </c>
      <c r="P107" s="8" t="str">
        <f t="shared" si="13"/>
        <v/>
      </c>
      <c r="Q107" s="9"/>
      <c r="R107" s="31"/>
      <c r="S107" s="8" t="str">
        <f t="shared" si="14"/>
        <v/>
      </c>
      <c r="T107" s="8" t="str">
        <f t="shared" si="15"/>
        <v/>
      </c>
      <c r="U107" s="8">
        <f>IF(T107="",0,IF(SUMPRODUCT(--(T$4:T107=T107))&gt;1,1,0))</f>
        <v>0</v>
      </c>
      <c r="V107" s="8">
        <f>IF(OR(T107="",U107=1,B107="",K107&lt;&gt;"نعم"),0,IF(COUNTIFS(B$4:B107,B107,K$4:K107,"نعم",U$4:U107,0)=1,1,0))</f>
        <v>0</v>
      </c>
    </row>
    <row r="108" spans="1:22" x14ac:dyDescent="0.25">
      <c r="A108" s="8">
        <v>105</v>
      </c>
      <c r="B108" s="9"/>
      <c r="C108" s="33" t="str">
        <f t="shared" si="8"/>
        <v/>
      </c>
      <c r="D108" s="31"/>
      <c r="E108" s="31"/>
      <c r="F108" s="11"/>
      <c r="G108" s="11"/>
      <c r="H108" s="11"/>
      <c r="I108" s="9"/>
      <c r="J108" s="12" t="str">
        <f t="shared" si="9"/>
        <v/>
      </c>
      <c r="K108" s="9"/>
      <c r="L108" s="12" t="str">
        <f t="shared" si="10"/>
        <v/>
      </c>
      <c r="M108" s="11"/>
      <c r="N108" s="12" t="str">
        <f t="shared" si="11"/>
        <v/>
      </c>
      <c r="O108" s="12" t="str">
        <f t="shared" si="12"/>
        <v/>
      </c>
      <c r="P108" s="8" t="str">
        <f t="shared" si="13"/>
        <v/>
      </c>
      <c r="Q108" s="9"/>
      <c r="R108" s="31"/>
      <c r="S108" s="8" t="str">
        <f t="shared" si="14"/>
        <v/>
      </c>
      <c r="T108" s="8" t="str">
        <f t="shared" si="15"/>
        <v/>
      </c>
      <c r="U108" s="8">
        <f>IF(T108="",0,IF(SUMPRODUCT(--(T$4:T108=T108))&gt;1,1,0))</f>
        <v>0</v>
      </c>
      <c r="V108" s="8">
        <f>IF(OR(T108="",U108=1,B108="",K108&lt;&gt;"نعم"),0,IF(COUNTIFS(B$4:B108,B108,K$4:K108,"نعم",U$4:U108,0)=1,1,0))</f>
        <v>0</v>
      </c>
    </row>
    <row r="109" spans="1:22" x14ac:dyDescent="0.25">
      <c r="A109" s="8">
        <v>106</v>
      </c>
      <c r="B109" s="9"/>
      <c r="C109" s="33" t="str">
        <f t="shared" si="8"/>
        <v/>
      </c>
      <c r="D109" s="31"/>
      <c r="E109" s="31"/>
      <c r="F109" s="11"/>
      <c r="G109" s="11"/>
      <c r="H109" s="11"/>
      <c r="I109" s="9"/>
      <c r="J109" s="12" t="str">
        <f t="shared" si="9"/>
        <v/>
      </c>
      <c r="K109" s="9"/>
      <c r="L109" s="12" t="str">
        <f t="shared" si="10"/>
        <v/>
      </c>
      <c r="M109" s="11"/>
      <c r="N109" s="12" t="str">
        <f t="shared" si="11"/>
        <v/>
      </c>
      <c r="O109" s="12" t="str">
        <f t="shared" si="12"/>
        <v/>
      </c>
      <c r="P109" s="8" t="str">
        <f t="shared" si="13"/>
        <v/>
      </c>
      <c r="Q109" s="9"/>
      <c r="R109" s="31"/>
      <c r="S109" s="8" t="str">
        <f t="shared" si="14"/>
        <v/>
      </c>
      <c r="T109" s="8" t="str">
        <f t="shared" si="15"/>
        <v/>
      </c>
      <c r="U109" s="8">
        <f>IF(T109="",0,IF(SUMPRODUCT(--(T$4:T109=T109))&gt;1,1,0))</f>
        <v>0</v>
      </c>
      <c r="V109" s="8">
        <f>IF(OR(T109="",U109=1,B109="",K109&lt;&gt;"نعم"),0,IF(COUNTIFS(B$4:B109,B109,K$4:K109,"نعم",U$4:U109,0)=1,1,0))</f>
        <v>0</v>
      </c>
    </row>
    <row r="110" spans="1:22" x14ac:dyDescent="0.25">
      <c r="A110" s="8">
        <v>107</v>
      </c>
      <c r="B110" s="9"/>
      <c r="C110" s="33" t="str">
        <f t="shared" si="8"/>
        <v/>
      </c>
      <c r="D110" s="31"/>
      <c r="E110" s="31"/>
      <c r="F110" s="11"/>
      <c r="G110" s="11"/>
      <c r="H110" s="11"/>
      <c r="I110" s="9"/>
      <c r="J110" s="12" t="str">
        <f t="shared" si="9"/>
        <v/>
      </c>
      <c r="K110" s="9"/>
      <c r="L110" s="12" t="str">
        <f t="shared" si="10"/>
        <v/>
      </c>
      <c r="M110" s="11"/>
      <c r="N110" s="12" t="str">
        <f t="shared" si="11"/>
        <v/>
      </c>
      <c r="O110" s="12" t="str">
        <f t="shared" si="12"/>
        <v/>
      </c>
      <c r="P110" s="8" t="str">
        <f t="shared" si="13"/>
        <v/>
      </c>
      <c r="Q110" s="9"/>
      <c r="R110" s="31"/>
      <c r="S110" s="8" t="str">
        <f t="shared" si="14"/>
        <v/>
      </c>
      <c r="T110" s="8" t="str">
        <f t="shared" si="15"/>
        <v/>
      </c>
      <c r="U110" s="8">
        <f>IF(T110="",0,IF(SUMPRODUCT(--(T$4:T110=T110))&gt;1,1,0))</f>
        <v>0</v>
      </c>
      <c r="V110" s="8">
        <f>IF(OR(T110="",U110=1,B110="",K110&lt;&gt;"نعم"),0,IF(COUNTIFS(B$4:B110,B110,K$4:K110,"نعم",U$4:U110,0)=1,1,0))</f>
        <v>0</v>
      </c>
    </row>
    <row r="111" spans="1:22" x14ac:dyDescent="0.25">
      <c r="A111" s="8">
        <v>108</v>
      </c>
      <c r="B111" s="9"/>
      <c r="C111" s="33" t="str">
        <f t="shared" si="8"/>
        <v/>
      </c>
      <c r="D111" s="31"/>
      <c r="E111" s="31"/>
      <c r="F111" s="11"/>
      <c r="G111" s="11"/>
      <c r="H111" s="11"/>
      <c r="I111" s="9"/>
      <c r="J111" s="12" t="str">
        <f t="shared" si="9"/>
        <v/>
      </c>
      <c r="K111" s="9"/>
      <c r="L111" s="12" t="str">
        <f t="shared" si="10"/>
        <v/>
      </c>
      <c r="M111" s="11"/>
      <c r="N111" s="12" t="str">
        <f t="shared" si="11"/>
        <v/>
      </c>
      <c r="O111" s="12" t="str">
        <f t="shared" si="12"/>
        <v/>
      </c>
      <c r="P111" s="8" t="str">
        <f t="shared" si="13"/>
        <v/>
      </c>
      <c r="Q111" s="9"/>
      <c r="R111" s="31"/>
      <c r="S111" s="8" t="str">
        <f t="shared" si="14"/>
        <v/>
      </c>
      <c r="T111" s="8" t="str">
        <f t="shared" si="15"/>
        <v/>
      </c>
      <c r="U111" s="8">
        <f>IF(T111="",0,IF(SUMPRODUCT(--(T$4:T111=T111))&gt;1,1,0))</f>
        <v>0</v>
      </c>
      <c r="V111" s="8">
        <f>IF(OR(T111="",U111=1,B111="",K111&lt;&gt;"نعم"),0,IF(COUNTIFS(B$4:B111,B111,K$4:K111,"نعم",U$4:U111,0)=1,1,0))</f>
        <v>0</v>
      </c>
    </row>
    <row r="112" spans="1:22" x14ac:dyDescent="0.25">
      <c r="A112" s="8">
        <v>109</v>
      </c>
      <c r="B112" s="9"/>
      <c r="C112" s="33" t="str">
        <f t="shared" si="8"/>
        <v/>
      </c>
      <c r="D112" s="31"/>
      <c r="E112" s="31"/>
      <c r="F112" s="11"/>
      <c r="G112" s="11"/>
      <c r="H112" s="11"/>
      <c r="I112" s="9"/>
      <c r="J112" s="12" t="str">
        <f t="shared" si="9"/>
        <v/>
      </c>
      <c r="K112" s="9"/>
      <c r="L112" s="12" t="str">
        <f t="shared" si="10"/>
        <v/>
      </c>
      <c r="M112" s="11"/>
      <c r="N112" s="12" t="str">
        <f t="shared" si="11"/>
        <v/>
      </c>
      <c r="O112" s="12" t="str">
        <f t="shared" si="12"/>
        <v/>
      </c>
      <c r="P112" s="8" t="str">
        <f t="shared" si="13"/>
        <v/>
      </c>
      <c r="Q112" s="9"/>
      <c r="R112" s="31"/>
      <c r="S112" s="8" t="str">
        <f t="shared" si="14"/>
        <v/>
      </c>
      <c r="T112" s="8" t="str">
        <f t="shared" si="15"/>
        <v/>
      </c>
      <c r="U112" s="8">
        <f>IF(T112="",0,IF(SUMPRODUCT(--(T$4:T112=T112))&gt;1,1,0))</f>
        <v>0</v>
      </c>
      <c r="V112" s="8">
        <f>IF(OR(T112="",U112=1,B112="",K112&lt;&gt;"نعم"),0,IF(COUNTIFS(B$4:B112,B112,K$4:K112,"نعم",U$4:U112,0)=1,1,0))</f>
        <v>0</v>
      </c>
    </row>
    <row r="113" spans="1:22" x14ac:dyDescent="0.25">
      <c r="A113" s="8">
        <v>110</v>
      </c>
      <c r="B113" s="9"/>
      <c r="C113" s="33" t="str">
        <f t="shared" si="8"/>
        <v/>
      </c>
      <c r="D113" s="31"/>
      <c r="E113" s="31"/>
      <c r="F113" s="11"/>
      <c r="G113" s="11"/>
      <c r="H113" s="11"/>
      <c r="I113" s="9"/>
      <c r="J113" s="12" t="str">
        <f t="shared" si="9"/>
        <v/>
      </c>
      <c r="K113" s="9"/>
      <c r="L113" s="12" t="str">
        <f t="shared" si="10"/>
        <v/>
      </c>
      <c r="M113" s="11"/>
      <c r="N113" s="12" t="str">
        <f t="shared" si="11"/>
        <v/>
      </c>
      <c r="O113" s="12" t="str">
        <f t="shared" si="12"/>
        <v/>
      </c>
      <c r="P113" s="8" t="str">
        <f t="shared" si="13"/>
        <v/>
      </c>
      <c r="Q113" s="9"/>
      <c r="R113" s="31"/>
      <c r="S113" s="8" t="str">
        <f t="shared" si="14"/>
        <v/>
      </c>
      <c r="T113" s="8" t="str">
        <f t="shared" si="15"/>
        <v/>
      </c>
      <c r="U113" s="8">
        <f>IF(T113="",0,IF(SUMPRODUCT(--(T$4:T113=T113))&gt;1,1,0))</f>
        <v>0</v>
      </c>
      <c r="V113" s="8">
        <f>IF(OR(T113="",U113=1,B113="",K113&lt;&gt;"نعم"),0,IF(COUNTIFS(B$4:B113,B113,K$4:K113,"نعم",U$4:U113,0)=1,1,0))</f>
        <v>0</v>
      </c>
    </row>
    <row r="114" spans="1:22" x14ac:dyDescent="0.25">
      <c r="A114" s="8">
        <v>111</v>
      </c>
      <c r="B114" s="9"/>
      <c r="C114" s="33" t="str">
        <f t="shared" si="8"/>
        <v/>
      </c>
      <c r="D114" s="31"/>
      <c r="E114" s="31"/>
      <c r="F114" s="11"/>
      <c r="G114" s="11"/>
      <c r="H114" s="11"/>
      <c r="I114" s="9"/>
      <c r="J114" s="12" t="str">
        <f t="shared" si="9"/>
        <v/>
      </c>
      <c r="K114" s="9"/>
      <c r="L114" s="12" t="str">
        <f t="shared" si="10"/>
        <v/>
      </c>
      <c r="M114" s="11"/>
      <c r="N114" s="12" t="str">
        <f t="shared" si="11"/>
        <v/>
      </c>
      <c r="O114" s="12" t="str">
        <f t="shared" si="12"/>
        <v/>
      </c>
      <c r="P114" s="8" t="str">
        <f t="shared" si="13"/>
        <v/>
      </c>
      <c r="Q114" s="9"/>
      <c r="R114" s="31"/>
      <c r="S114" s="8" t="str">
        <f t="shared" si="14"/>
        <v/>
      </c>
      <c r="T114" s="8" t="str">
        <f t="shared" si="15"/>
        <v/>
      </c>
      <c r="U114" s="8">
        <f>IF(T114="",0,IF(SUMPRODUCT(--(T$4:T114=T114))&gt;1,1,0))</f>
        <v>0</v>
      </c>
      <c r="V114" s="8">
        <f>IF(OR(T114="",U114=1,B114="",K114&lt;&gt;"نعم"),0,IF(COUNTIFS(B$4:B114,B114,K$4:K114,"نعم",U$4:U114,0)=1,1,0))</f>
        <v>0</v>
      </c>
    </row>
    <row r="115" spans="1:22" x14ac:dyDescent="0.25">
      <c r="A115" s="8">
        <v>112</v>
      </c>
      <c r="B115" s="9"/>
      <c r="C115" s="33" t="str">
        <f t="shared" si="8"/>
        <v/>
      </c>
      <c r="D115" s="31"/>
      <c r="E115" s="31"/>
      <c r="F115" s="11"/>
      <c r="G115" s="11"/>
      <c r="H115" s="11"/>
      <c r="I115" s="9"/>
      <c r="J115" s="12" t="str">
        <f t="shared" si="9"/>
        <v/>
      </c>
      <c r="K115" s="9"/>
      <c r="L115" s="12" t="str">
        <f t="shared" si="10"/>
        <v/>
      </c>
      <c r="M115" s="11"/>
      <c r="N115" s="12" t="str">
        <f t="shared" si="11"/>
        <v/>
      </c>
      <c r="O115" s="12" t="str">
        <f t="shared" si="12"/>
        <v/>
      </c>
      <c r="P115" s="8" t="str">
        <f t="shared" si="13"/>
        <v/>
      </c>
      <c r="Q115" s="9"/>
      <c r="R115" s="31"/>
      <c r="S115" s="8" t="str">
        <f t="shared" si="14"/>
        <v/>
      </c>
      <c r="T115" s="8" t="str">
        <f t="shared" si="15"/>
        <v/>
      </c>
      <c r="U115" s="8">
        <f>IF(T115="",0,IF(SUMPRODUCT(--(T$4:T115=T115))&gt;1,1,0))</f>
        <v>0</v>
      </c>
      <c r="V115" s="8">
        <f>IF(OR(T115="",U115=1,B115="",K115&lt;&gt;"نعم"),0,IF(COUNTIFS(B$4:B115,B115,K$4:K115,"نعم",U$4:U115,0)=1,1,0))</f>
        <v>0</v>
      </c>
    </row>
    <row r="116" spans="1:22" x14ac:dyDescent="0.25">
      <c r="A116" s="8">
        <v>113</v>
      </c>
      <c r="B116" s="9"/>
      <c r="C116" s="33" t="str">
        <f t="shared" si="8"/>
        <v/>
      </c>
      <c r="D116" s="31"/>
      <c r="E116" s="31"/>
      <c r="F116" s="11"/>
      <c r="G116" s="11"/>
      <c r="H116" s="11"/>
      <c r="I116" s="9"/>
      <c r="J116" s="12" t="str">
        <f t="shared" si="9"/>
        <v/>
      </c>
      <c r="K116" s="9"/>
      <c r="L116" s="12" t="str">
        <f t="shared" si="10"/>
        <v/>
      </c>
      <c r="M116" s="11"/>
      <c r="N116" s="12" t="str">
        <f t="shared" si="11"/>
        <v/>
      </c>
      <c r="O116" s="12" t="str">
        <f t="shared" si="12"/>
        <v/>
      </c>
      <c r="P116" s="8" t="str">
        <f t="shared" si="13"/>
        <v/>
      </c>
      <c r="Q116" s="9"/>
      <c r="R116" s="31"/>
      <c r="S116" s="8" t="str">
        <f t="shared" si="14"/>
        <v/>
      </c>
      <c r="T116" s="8" t="str">
        <f t="shared" si="15"/>
        <v/>
      </c>
      <c r="U116" s="8">
        <f>IF(T116="",0,IF(SUMPRODUCT(--(T$4:T116=T116))&gt;1,1,0))</f>
        <v>0</v>
      </c>
      <c r="V116" s="8">
        <f>IF(OR(T116="",U116=1,B116="",K116&lt;&gt;"نعم"),0,IF(COUNTIFS(B$4:B116,B116,K$4:K116,"نعم",U$4:U116,0)=1,1,0))</f>
        <v>0</v>
      </c>
    </row>
    <row r="117" spans="1:22" x14ac:dyDescent="0.25">
      <c r="A117" s="8">
        <v>114</v>
      </c>
      <c r="B117" s="9"/>
      <c r="C117" s="33" t="str">
        <f t="shared" si="8"/>
        <v/>
      </c>
      <c r="D117" s="31"/>
      <c r="E117" s="31"/>
      <c r="F117" s="11"/>
      <c r="G117" s="11"/>
      <c r="H117" s="11"/>
      <c r="I117" s="9"/>
      <c r="J117" s="12" t="str">
        <f t="shared" si="9"/>
        <v/>
      </c>
      <c r="K117" s="9"/>
      <c r="L117" s="12" t="str">
        <f t="shared" si="10"/>
        <v/>
      </c>
      <c r="M117" s="11"/>
      <c r="N117" s="12" t="str">
        <f t="shared" si="11"/>
        <v/>
      </c>
      <c r="O117" s="12" t="str">
        <f t="shared" si="12"/>
        <v/>
      </c>
      <c r="P117" s="8" t="str">
        <f t="shared" si="13"/>
        <v/>
      </c>
      <c r="Q117" s="9"/>
      <c r="R117" s="31"/>
      <c r="S117" s="8" t="str">
        <f t="shared" si="14"/>
        <v/>
      </c>
      <c r="T117" s="8" t="str">
        <f t="shared" si="15"/>
        <v/>
      </c>
      <c r="U117" s="8">
        <f>IF(T117="",0,IF(SUMPRODUCT(--(T$4:T117=T117))&gt;1,1,0))</f>
        <v>0</v>
      </c>
      <c r="V117" s="8">
        <f>IF(OR(T117="",U117=1,B117="",K117&lt;&gt;"نعم"),0,IF(COUNTIFS(B$4:B117,B117,K$4:K117,"نعم",U$4:U117,0)=1,1,0))</f>
        <v>0</v>
      </c>
    </row>
    <row r="118" spans="1:22" x14ac:dyDescent="0.25">
      <c r="A118" s="8">
        <v>115</v>
      </c>
      <c r="B118" s="9"/>
      <c r="C118" s="33" t="str">
        <f t="shared" si="8"/>
        <v/>
      </c>
      <c r="D118" s="31"/>
      <c r="E118" s="31"/>
      <c r="F118" s="11"/>
      <c r="G118" s="11"/>
      <c r="H118" s="11"/>
      <c r="I118" s="9"/>
      <c r="J118" s="12" t="str">
        <f t="shared" si="9"/>
        <v/>
      </c>
      <c r="K118" s="9"/>
      <c r="L118" s="12" t="str">
        <f t="shared" si="10"/>
        <v/>
      </c>
      <c r="M118" s="11"/>
      <c r="N118" s="12" t="str">
        <f t="shared" si="11"/>
        <v/>
      </c>
      <c r="O118" s="12" t="str">
        <f t="shared" si="12"/>
        <v/>
      </c>
      <c r="P118" s="8" t="str">
        <f t="shared" si="13"/>
        <v/>
      </c>
      <c r="Q118" s="9"/>
      <c r="R118" s="31"/>
      <c r="S118" s="8" t="str">
        <f t="shared" si="14"/>
        <v/>
      </c>
      <c r="T118" s="8" t="str">
        <f t="shared" si="15"/>
        <v/>
      </c>
      <c r="U118" s="8">
        <f>IF(T118="",0,IF(SUMPRODUCT(--(T$4:T118=T118))&gt;1,1,0))</f>
        <v>0</v>
      </c>
      <c r="V118" s="8">
        <f>IF(OR(T118="",U118=1,B118="",K118&lt;&gt;"نعم"),0,IF(COUNTIFS(B$4:B118,B118,K$4:K118,"نعم",U$4:U118,0)=1,1,0))</f>
        <v>0</v>
      </c>
    </row>
    <row r="119" spans="1:22" x14ac:dyDescent="0.25">
      <c r="A119" s="8">
        <v>116</v>
      </c>
      <c r="B119" s="9"/>
      <c r="C119" s="33" t="str">
        <f t="shared" si="8"/>
        <v/>
      </c>
      <c r="D119" s="31"/>
      <c r="E119" s="31"/>
      <c r="F119" s="11"/>
      <c r="G119" s="11"/>
      <c r="H119" s="11"/>
      <c r="I119" s="9"/>
      <c r="J119" s="12" t="str">
        <f t="shared" si="9"/>
        <v/>
      </c>
      <c r="K119" s="9"/>
      <c r="L119" s="12" t="str">
        <f t="shared" si="10"/>
        <v/>
      </c>
      <c r="M119" s="11"/>
      <c r="N119" s="12" t="str">
        <f t="shared" si="11"/>
        <v/>
      </c>
      <c r="O119" s="12" t="str">
        <f t="shared" si="12"/>
        <v/>
      </c>
      <c r="P119" s="8" t="str">
        <f t="shared" si="13"/>
        <v/>
      </c>
      <c r="Q119" s="9"/>
      <c r="R119" s="31"/>
      <c r="S119" s="8" t="str">
        <f t="shared" si="14"/>
        <v/>
      </c>
      <c r="T119" s="8" t="str">
        <f t="shared" si="15"/>
        <v/>
      </c>
      <c r="U119" s="8">
        <f>IF(T119="",0,IF(SUMPRODUCT(--(T$4:T119=T119))&gt;1,1,0))</f>
        <v>0</v>
      </c>
      <c r="V119" s="8">
        <f>IF(OR(T119="",U119=1,B119="",K119&lt;&gt;"نعم"),0,IF(COUNTIFS(B$4:B119,B119,K$4:K119,"نعم",U$4:U119,0)=1,1,0))</f>
        <v>0</v>
      </c>
    </row>
    <row r="120" spans="1:22" x14ac:dyDescent="0.25">
      <c r="A120" s="8">
        <v>117</v>
      </c>
      <c r="B120" s="9"/>
      <c r="C120" s="33" t="str">
        <f t="shared" si="8"/>
        <v/>
      </c>
      <c r="D120" s="31"/>
      <c r="E120" s="31"/>
      <c r="F120" s="11"/>
      <c r="G120" s="11"/>
      <c r="H120" s="11"/>
      <c r="I120" s="9"/>
      <c r="J120" s="12" t="str">
        <f t="shared" si="9"/>
        <v/>
      </c>
      <c r="K120" s="9"/>
      <c r="L120" s="12" t="str">
        <f t="shared" si="10"/>
        <v/>
      </c>
      <c r="M120" s="11"/>
      <c r="N120" s="12" t="str">
        <f t="shared" si="11"/>
        <v/>
      </c>
      <c r="O120" s="12" t="str">
        <f t="shared" si="12"/>
        <v/>
      </c>
      <c r="P120" s="8" t="str">
        <f t="shared" si="13"/>
        <v/>
      </c>
      <c r="Q120" s="9"/>
      <c r="R120" s="31"/>
      <c r="S120" s="8" t="str">
        <f t="shared" si="14"/>
        <v/>
      </c>
      <c r="T120" s="8" t="str">
        <f t="shared" si="15"/>
        <v/>
      </c>
      <c r="U120" s="8">
        <f>IF(T120="",0,IF(SUMPRODUCT(--(T$4:T120=T120))&gt;1,1,0))</f>
        <v>0</v>
      </c>
      <c r="V120" s="8">
        <f>IF(OR(T120="",U120=1,B120="",K120&lt;&gt;"نعم"),0,IF(COUNTIFS(B$4:B120,B120,K$4:K120,"نعم",U$4:U120,0)=1,1,0))</f>
        <v>0</v>
      </c>
    </row>
    <row r="121" spans="1:22" x14ac:dyDescent="0.25">
      <c r="A121" s="8">
        <v>118</v>
      </c>
      <c r="B121" s="9"/>
      <c r="C121" s="33" t="str">
        <f t="shared" si="8"/>
        <v/>
      </c>
      <c r="D121" s="31"/>
      <c r="E121" s="31"/>
      <c r="F121" s="11"/>
      <c r="G121" s="11"/>
      <c r="H121" s="11"/>
      <c r="I121" s="9"/>
      <c r="J121" s="12" t="str">
        <f t="shared" si="9"/>
        <v/>
      </c>
      <c r="K121" s="9"/>
      <c r="L121" s="12" t="str">
        <f t="shared" si="10"/>
        <v/>
      </c>
      <c r="M121" s="11"/>
      <c r="N121" s="12" t="str">
        <f t="shared" si="11"/>
        <v/>
      </c>
      <c r="O121" s="12" t="str">
        <f t="shared" si="12"/>
        <v/>
      </c>
      <c r="P121" s="8" t="str">
        <f t="shared" si="13"/>
        <v/>
      </c>
      <c r="Q121" s="9"/>
      <c r="R121" s="31"/>
      <c r="S121" s="8" t="str">
        <f t="shared" si="14"/>
        <v/>
      </c>
      <c r="T121" s="8" t="str">
        <f t="shared" si="15"/>
        <v/>
      </c>
      <c r="U121" s="8">
        <f>IF(T121="",0,IF(SUMPRODUCT(--(T$4:T121=T121))&gt;1,1,0))</f>
        <v>0</v>
      </c>
      <c r="V121" s="8">
        <f>IF(OR(T121="",U121=1,B121="",K121&lt;&gt;"نعم"),0,IF(COUNTIFS(B$4:B121,B121,K$4:K121,"نعم",U$4:U121,0)=1,1,0))</f>
        <v>0</v>
      </c>
    </row>
    <row r="122" spans="1:22" x14ac:dyDescent="0.25">
      <c r="A122" s="8">
        <v>119</v>
      </c>
      <c r="B122" s="9"/>
      <c r="C122" s="33" t="str">
        <f t="shared" si="8"/>
        <v/>
      </c>
      <c r="D122" s="31"/>
      <c r="E122" s="31"/>
      <c r="F122" s="11"/>
      <c r="G122" s="11"/>
      <c r="H122" s="11"/>
      <c r="I122" s="9"/>
      <c r="J122" s="12" t="str">
        <f t="shared" si="9"/>
        <v/>
      </c>
      <c r="K122" s="9"/>
      <c r="L122" s="12" t="str">
        <f t="shared" si="10"/>
        <v/>
      </c>
      <c r="M122" s="11"/>
      <c r="N122" s="12" t="str">
        <f t="shared" si="11"/>
        <v/>
      </c>
      <c r="O122" s="12" t="str">
        <f t="shared" si="12"/>
        <v/>
      </c>
      <c r="P122" s="8" t="str">
        <f t="shared" si="13"/>
        <v/>
      </c>
      <c r="Q122" s="9"/>
      <c r="R122" s="31"/>
      <c r="S122" s="8" t="str">
        <f t="shared" si="14"/>
        <v/>
      </c>
      <c r="T122" s="8" t="str">
        <f t="shared" si="15"/>
        <v/>
      </c>
      <c r="U122" s="8">
        <f>IF(T122="",0,IF(SUMPRODUCT(--(T$4:T122=T122))&gt;1,1,0))</f>
        <v>0</v>
      </c>
      <c r="V122" s="8">
        <f>IF(OR(T122="",U122=1,B122="",K122&lt;&gt;"نعم"),0,IF(COUNTIFS(B$4:B122,B122,K$4:K122,"نعم",U$4:U122,0)=1,1,0))</f>
        <v>0</v>
      </c>
    </row>
    <row r="123" spans="1:22" x14ac:dyDescent="0.25">
      <c r="A123" s="8">
        <v>120</v>
      </c>
      <c r="B123" s="9"/>
      <c r="C123" s="33" t="str">
        <f t="shared" si="8"/>
        <v/>
      </c>
      <c r="D123" s="31"/>
      <c r="E123" s="31"/>
      <c r="F123" s="11"/>
      <c r="G123" s="11"/>
      <c r="H123" s="11"/>
      <c r="I123" s="9"/>
      <c r="J123" s="12" t="str">
        <f t="shared" si="9"/>
        <v/>
      </c>
      <c r="K123" s="9"/>
      <c r="L123" s="12" t="str">
        <f t="shared" si="10"/>
        <v/>
      </c>
      <c r="M123" s="11"/>
      <c r="N123" s="12" t="str">
        <f t="shared" si="11"/>
        <v/>
      </c>
      <c r="O123" s="12" t="str">
        <f t="shared" si="12"/>
        <v/>
      </c>
      <c r="P123" s="8" t="str">
        <f t="shared" si="13"/>
        <v/>
      </c>
      <c r="Q123" s="9"/>
      <c r="R123" s="31"/>
      <c r="S123" s="8" t="str">
        <f t="shared" si="14"/>
        <v/>
      </c>
      <c r="T123" s="8" t="str">
        <f t="shared" si="15"/>
        <v/>
      </c>
      <c r="U123" s="8">
        <f>IF(T123="",0,IF(SUMPRODUCT(--(T$4:T123=T123))&gt;1,1,0))</f>
        <v>0</v>
      </c>
      <c r="V123" s="8">
        <f>IF(OR(T123="",U123=1,B123="",K123&lt;&gt;"نعم"),0,IF(COUNTIFS(B$4:B123,B123,K$4:K123,"نعم",U$4:U123,0)=1,1,0))</f>
        <v>0</v>
      </c>
    </row>
    <row r="124" spans="1:22" x14ac:dyDescent="0.25">
      <c r="A124" s="8">
        <v>121</v>
      </c>
      <c r="B124" s="9"/>
      <c r="C124" s="33" t="str">
        <f t="shared" si="8"/>
        <v/>
      </c>
      <c r="D124" s="31"/>
      <c r="E124" s="31"/>
      <c r="F124" s="11"/>
      <c r="G124" s="11"/>
      <c r="H124" s="11"/>
      <c r="I124" s="9"/>
      <c r="J124" s="12" t="str">
        <f t="shared" si="9"/>
        <v/>
      </c>
      <c r="K124" s="9"/>
      <c r="L124" s="12" t="str">
        <f t="shared" si="10"/>
        <v/>
      </c>
      <c r="M124" s="11"/>
      <c r="N124" s="12" t="str">
        <f t="shared" si="11"/>
        <v/>
      </c>
      <c r="O124" s="12" t="str">
        <f t="shared" si="12"/>
        <v/>
      </c>
      <c r="P124" s="8" t="str">
        <f t="shared" si="13"/>
        <v/>
      </c>
      <c r="Q124" s="9"/>
      <c r="R124" s="31"/>
      <c r="S124" s="8" t="str">
        <f t="shared" si="14"/>
        <v/>
      </c>
      <c r="T124" s="8" t="str">
        <f t="shared" si="15"/>
        <v/>
      </c>
      <c r="U124" s="8">
        <f>IF(T124="",0,IF(SUMPRODUCT(--(T$4:T124=T124))&gt;1,1,0))</f>
        <v>0</v>
      </c>
      <c r="V124" s="8">
        <f>IF(OR(T124="",U124=1,B124="",K124&lt;&gt;"نعم"),0,IF(COUNTIFS(B$4:B124,B124,K$4:K124,"نعم",U$4:U124,0)=1,1,0))</f>
        <v>0</v>
      </c>
    </row>
    <row r="125" spans="1:22" x14ac:dyDescent="0.25">
      <c r="A125" s="8">
        <v>122</v>
      </c>
      <c r="B125" s="9"/>
      <c r="C125" s="33" t="str">
        <f t="shared" si="8"/>
        <v/>
      </c>
      <c r="D125" s="31"/>
      <c r="E125" s="31"/>
      <c r="F125" s="11"/>
      <c r="G125" s="11"/>
      <c r="H125" s="11"/>
      <c r="I125" s="9"/>
      <c r="J125" s="12" t="str">
        <f t="shared" si="9"/>
        <v/>
      </c>
      <c r="K125" s="9"/>
      <c r="L125" s="12" t="str">
        <f t="shared" si="10"/>
        <v/>
      </c>
      <c r="M125" s="11"/>
      <c r="N125" s="12" t="str">
        <f t="shared" si="11"/>
        <v/>
      </c>
      <c r="O125" s="12" t="str">
        <f t="shared" si="12"/>
        <v/>
      </c>
      <c r="P125" s="8" t="str">
        <f t="shared" si="13"/>
        <v/>
      </c>
      <c r="Q125" s="9"/>
      <c r="R125" s="31"/>
      <c r="S125" s="8" t="str">
        <f t="shared" si="14"/>
        <v/>
      </c>
      <c r="T125" s="8" t="str">
        <f t="shared" si="15"/>
        <v/>
      </c>
      <c r="U125" s="8">
        <f>IF(T125="",0,IF(SUMPRODUCT(--(T$4:T125=T125))&gt;1,1,0))</f>
        <v>0</v>
      </c>
      <c r="V125" s="8">
        <f>IF(OR(T125="",U125=1,B125="",K125&lt;&gt;"نعم"),0,IF(COUNTIFS(B$4:B125,B125,K$4:K125,"نعم",U$4:U125,0)=1,1,0))</f>
        <v>0</v>
      </c>
    </row>
    <row r="126" spans="1:22" x14ac:dyDescent="0.25">
      <c r="A126" s="8">
        <v>123</v>
      </c>
      <c r="B126" s="9"/>
      <c r="C126" s="33" t="str">
        <f t="shared" si="8"/>
        <v/>
      </c>
      <c r="D126" s="31"/>
      <c r="E126" s="31"/>
      <c r="F126" s="11"/>
      <c r="G126" s="11"/>
      <c r="H126" s="11"/>
      <c r="I126" s="9"/>
      <c r="J126" s="12" t="str">
        <f t="shared" si="9"/>
        <v/>
      </c>
      <c r="K126" s="9"/>
      <c r="L126" s="12" t="str">
        <f t="shared" si="10"/>
        <v/>
      </c>
      <c r="M126" s="11"/>
      <c r="N126" s="12" t="str">
        <f t="shared" si="11"/>
        <v/>
      </c>
      <c r="O126" s="12" t="str">
        <f t="shared" si="12"/>
        <v/>
      </c>
      <c r="P126" s="8" t="str">
        <f t="shared" si="13"/>
        <v/>
      </c>
      <c r="Q126" s="9"/>
      <c r="R126" s="31"/>
      <c r="S126" s="8" t="str">
        <f t="shared" si="14"/>
        <v/>
      </c>
      <c r="T126" s="8" t="str">
        <f t="shared" si="15"/>
        <v/>
      </c>
      <c r="U126" s="8">
        <f>IF(T126="",0,IF(SUMPRODUCT(--(T$4:T126=T126))&gt;1,1,0))</f>
        <v>0</v>
      </c>
      <c r="V126" s="8">
        <f>IF(OR(T126="",U126=1,B126="",K126&lt;&gt;"نعم"),0,IF(COUNTIFS(B$4:B126,B126,K$4:K126,"نعم",U$4:U126,0)=1,1,0))</f>
        <v>0</v>
      </c>
    </row>
    <row r="127" spans="1:22" x14ac:dyDescent="0.25">
      <c r="A127" s="8">
        <v>124</v>
      </c>
      <c r="B127" s="9"/>
      <c r="C127" s="33" t="str">
        <f t="shared" si="8"/>
        <v/>
      </c>
      <c r="D127" s="31"/>
      <c r="E127" s="31"/>
      <c r="F127" s="11"/>
      <c r="G127" s="11"/>
      <c r="H127" s="11"/>
      <c r="I127" s="9"/>
      <c r="J127" s="12" t="str">
        <f t="shared" si="9"/>
        <v/>
      </c>
      <c r="K127" s="9"/>
      <c r="L127" s="12" t="str">
        <f t="shared" si="10"/>
        <v/>
      </c>
      <c r="M127" s="11"/>
      <c r="N127" s="12" t="str">
        <f t="shared" si="11"/>
        <v/>
      </c>
      <c r="O127" s="12" t="str">
        <f t="shared" si="12"/>
        <v/>
      </c>
      <c r="P127" s="8" t="str">
        <f t="shared" si="13"/>
        <v/>
      </c>
      <c r="Q127" s="9"/>
      <c r="R127" s="31"/>
      <c r="S127" s="8" t="str">
        <f t="shared" si="14"/>
        <v/>
      </c>
      <c r="T127" s="8" t="str">
        <f t="shared" si="15"/>
        <v/>
      </c>
      <c r="U127" s="8">
        <f>IF(T127="",0,IF(SUMPRODUCT(--(T$4:T127=T127))&gt;1,1,0))</f>
        <v>0</v>
      </c>
      <c r="V127" s="8">
        <f>IF(OR(T127="",U127=1,B127="",K127&lt;&gt;"نعم"),0,IF(COUNTIFS(B$4:B127,B127,K$4:K127,"نعم",U$4:U127,0)=1,1,0))</f>
        <v>0</v>
      </c>
    </row>
    <row r="128" spans="1:22" x14ac:dyDescent="0.25">
      <c r="A128" s="8">
        <v>125</v>
      </c>
      <c r="B128" s="9"/>
      <c r="C128" s="33" t="str">
        <f t="shared" si="8"/>
        <v/>
      </c>
      <c r="D128" s="31"/>
      <c r="E128" s="31"/>
      <c r="F128" s="11"/>
      <c r="G128" s="11"/>
      <c r="H128" s="11"/>
      <c r="I128" s="9"/>
      <c r="J128" s="12" t="str">
        <f t="shared" si="9"/>
        <v/>
      </c>
      <c r="K128" s="9"/>
      <c r="L128" s="12" t="str">
        <f t="shared" si="10"/>
        <v/>
      </c>
      <c r="M128" s="11"/>
      <c r="N128" s="12" t="str">
        <f t="shared" si="11"/>
        <v/>
      </c>
      <c r="O128" s="12" t="str">
        <f t="shared" si="12"/>
        <v/>
      </c>
      <c r="P128" s="8" t="str">
        <f t="shared" si="13"/>
        <v/>
      </c>
      <c r="Q128" s="9"/>
      <c r="R128" s="31"/>
      <c r="S128" s="8" t="str">
        <f t="shared" si="14"/>
        <v/>
      </c>
      <c r="T128" s="8" t="str">
        <f t="shared" si="15"/>
        <v/>
      </c>
      <c r="U128" s="8">
        <f>IF(T128="",0,IF(SUMPRODUCT(--(T$4:T128=T128))&gt;1,1,0))</f>
        <v>0</v>
      </c>
      <c r="V128" s="8">
        <f>IF(OR(T128="",U128=1,B128="",K128&lt;&gt;"نعم"),0,IF(COUNTIFS(B$4:B128,B128,K$4:K128,"نعم",U$4:U128,0)=1,1,0))</f>
        <v>0</v>
      </c>
    </row>
    <row r="129" spans="1:22" x14ac:dyDescent="0.25">
      <c r="A129" s="8">
        <v>126</v>
      </c>
      <c r="B129" s="9"/>
      <c r="C129" s="33" t="str">
        <f t="shared" si="8"/>
        <v/>
      </c>
      <c r="D129" s="31"/>
      <c r="E129" s="31"/>
      <c r="F129" s="11"/>
      <c r="G129" s="11"/>
      <c r="H129" s="11"/>
      <c r="I129" s="9"/>
      <c r="J129" s="12" t="str">
        <f t="shared" si="9"/>
        <v/>
      </c>
      <c r="K129" s="9"/>
      <c r="L129" s="12" t="str">
        <f t="shared" si="10"/>
        <v/>
      </c>
      <c r="M129" s="11"/>
      <c r="N129" s="12" t="str">
        <f t="shared" si="11"/>
        <v/>
      </c>
      <c r="O129" s="12" t="str">
        <f t="shared" si="12"/>
        <v/>
      </c>
      <c r="P129" s="8" t="str">
        <f t="shared" si="13"/>
        <v/>
      </c>
      <c r="Q129" s="9"/>
      <c r="R129" s="31"/>
      <c r="S129" s="8" t="str">
        <f t="shared" si="14"/>
        <v/>
      </c>
      <c r="T129" s="8" t="str">
        <f t="shared" si="15"/>
        <v/>
      </c>
      <c r="U129" s="8">
        <f>IF(T129="",0,IF(SUMPRODUCT(--(T$4:T129=T129))&gt;1,1,0))</f>
        <v>0</v>
      </c>
      <c r="V129" s="8">
        <f>IF(OR(T129="",U129=1,B129="",K129&lt;&gt;"نعم"),0,IF(COUNTIFS(B$4:B129,B129,K$4:K129,"نعم",U$4:U129,0)=1,1,0))</f>
        <v>0</v>
      </c>
    </row>
    <row r="130" spans="1:22" x14ac:dyDescent="0.25">
      <c r="A130" s="8">
        <v>127</v>
      </c>
      <c r="B130" s="9"/>
      <c r="C130" s="33" t="str">
        <f t="shared" si="8"/>
        <v/>
      </c>
      <c r="D130" s="31"/>
      <c r="E130" s="31"/>
      <c r="F130" s="11"/>
      <c r="G130" s="11"/>
      <c r="H130" s="11"/>
      <c r="I130" s="9"/>
      <c r="J130" s="12" t="str">
        <f t="shared" si="9"/>
        <v/>
      </c>
      <c r="K130" s="9"/>
      <c r="L130" s="12" t="str">
        <f t="shared" si="10"/>
        <v/>
      </c>
      <c r="M130" s="11"/>
      <c r="N130" s="12" t="str">
        <f t="shared" si="11"/>
        <v/>
      </c>
      <c r="O130" s="12" t="str">
        <f t="shared" si="12"/>
        <v/>
      </c>
      <c r="P130" s="8" t="str">
        <f t="shared" si="13"/>
        <v/>
      </c>
      <c r="Q130" s="9"/>
      <c r="R130" s="31"/>
      <c r="S130" s="8" t="str">
        <f t="shared" si="14"/>
        <v/>
      </c>
      <c r="T130" s="8" t="str">
        <f t="shared" si="15"/>
        <v/>
      </c>
      <c r="U130" s="8">
        <f>IF(T130="",0,IF(SUMPRODUCT(--(T$4:T130=T130))&gt;1,1,0))</f>
        <v>0</v>
      </c>
      <c r="V130" s="8">
        <f>IF(OR(T130="",U130=1,B130="",K130&lt;&gt;"نعم"),0,IF(COUNTIFS(B$4:B130,B130,K$4:K130,"نعم",U$4:U130,0)=1,1,0))</f>
        <v>0</v>
      </c>
    </row>
    <row r="131" spans="1:22" x14ac:dyDescent="0.25">
      <c r="A131" s="8">
        <v>128</v>
      </c>
      <c r="B131" s="9"/>
      <c r="C131" s="33" t="str">
        <f t="shared" si="8"/>
        <v/>
      </c>
      <c r="D131" s="31"/>
      <c r="E131" s="31"/>
      <c r="F131" s="11"/>
      <c r="G131" s="11"/>
      <c r="H131" s="11"/>
      <c r="I131" s="9"/>
      <c r="J131" s="12" t="str">
        <f t="shared" si="9"/>
        <v/>
      </c>
      <c r="K131" s="9"/>
      <c r="L131" s="12" t="str">
        <f t="shared" si="10"/>
        <v/>
      </c>
      <c r="M131" s="11"/>
      <c r="N131" s="12" t="str">
        <f t="shared" si="11"/>
        <v/>
      </c>
      <c r="O131" s="12" t="str">
        <f t="shared" si="12"/>
        <v/>
      </c>
      <c r="P131" s="8" t="str">
        <f t="shared" si="13"/>
        <v/>
      </c>
      <c r="Q131" s="9"/>
      <c r="R131" s="31"/>
      <c r="S131" s="8" t="str">
        <f t="shared" si="14"/>
        <v/>
      </c>
      <c r="T131" s="8" t="str">
        <f t="shared" si="15"/>
        <v/>
      </c>
      <c r="U131" s="8">
        <f>IF(T131="",0,IF(SUMPRODUCT(--(T$4:T131=T131))&gt;1,1,0))</f>
        <v>0</v>
      </c>
      <c r="V131" s="8">
        <f>IF(OR(T131="",U131=1,B131="",K131&lt;&gt;"نعم"),0,IF(COUNTIFS(B$4:B131,B131,K$4:K131,"نعم",U$4:U131,0)=1,1,0))</f>
        <v>0</v>
      </c>
    </row>
    <row r="132" spans="1:22" x14ac:dyDescent="0.25">
      <c r="A132" s="8">
        <v>129</v>
      </c>
      <c r="B132" s="9"/>
      <c r="C132" s="33" t="str">
        <f t="shared" ref="C132:C195" si="16">IF(B132="","",IFERROR(INDEX(SpaceNames,MATCH(B132,SpaceCodes,0))&amp;"",""))</f>
        <v/>
      </c>
      <c r="D132" s="31"/>
      <c r="E132" s="31"/>
      <c r="F132" s="11"/>
      <c r="G132" s="11"/>
      <c r="H132" s="11"/>
      <c r="I132" s="9"/>
      <c r="J132" s="12" t="str">
        <f t="shared" ref="J132:J195" si="17">IF(T132="","",IF(U132=1,0,IF(H132&lt;&gt;"",H132*IF(I132="",1,I132),IF(AND(F132&lt;&gt;"",G132&lt;&gt;""),2*(F132+G132)*IF(I132="",1,I132),""))))</f>
        <v/>
      </c>
      <c r="K132" s="9"/>
      <c r="L132" s="12" t="str">
        <f t="shared" ref="L132:L195" si="18">IF(T132="","",IF(V132=1,SUMIFS(OP_Wtot,OP_Space,B132,OP_DedSk,"نعم"),0))</f>
        <v/>
      </c>
      <c r="M132" s="11"/>
      <c r="N132" s="12" t="str">
        <f t="shared" ref="N132:N195" si="19">IF(OR(T132="",J132=""),"",N(L132)+N(M132))</f>
        <v/>
      </c>
      <c r="O132" s="12" t="str">
        <f t="shared" ref="O132:O195" si="20">IF(OR(T132="",J132=""),"",J132-N132)</f>
        <v/>
      </c>
      <c r="P132" s="8" t="str">
        <f t="shared" ref="P132:P195" si="21">IF(D132="","",IFERROR(IF(INDEX(LinUnit,MATCH(D132,LinMat,0))="","م.ط",INDEX(LinUnit,MATCH(D132,LinMat,0))),"م.ط"))</f>
        <v/>
      </c>
      <c r="Q132" s="9"/>
      <c r="R132" s="31"/>
      <c r="S132" s="8" t="str">
        <f t="shared" ref="S132:S195" si="22">IF(T132="","",IF(U132=1,"تكرار — غير محتسب",IF(B132="","ناقص بيانات: كود الفراغ",IF(COUNTIF(SpaceCodes,B132)=0,"ناقص بيانات: الفراغ غير مسجل",IF(D132="","ناقص بيانات: نوع البند",IF(J132="","ناقص قياس",IF(N132&gt;J132+0.000001,"خطأ خصم: الخصم أكبر من الإجمالي",IF(AND(K132="نعم",V132=0),"تنبيه خصم: خصم تلقائي مكرر للفراغ — غير مطبق",IF(Q132="نعم","يحتاج مراجعة","مكتمل")))))))))</f>
        <v/>
      </c>
      <c r="T132" s="8" t="str">
        <f t="shared" ref="T132:T195" si="23">IF(COUNTA(B132,D132:I132,M132)=0,"",B132&amp;"|"&amp;D132&amp;"|"&amp;E132&amp;"|"&amp;F132&amp;"|"&amp;G132&amp;"|"&amp;H132)</f>
        <v/>
      </c>
      <c r="U132" s="8">
        <f>IF(T132="",0,IF(SUMPRODUCT(--(T$4:T132=T132))&gt;1,1,0))</f>
        <v>0</v>
      </c>
      <c r="V132" s="8">
        <f>IF(OR(T132="",U132=1,B132="",K132&lt;&gt;"نعم"),0,IF(COUNTIFS(B$4:B132,B132,K$4:K132,"نعم",U$4:U132,0)=1,1,0))</f>
        <v>0</v>
      </c>
    </row>
    <row r="133" spans="1:22" x14ac:dyDescent="0.25">
      <c r="A133" s="8">
        <v>130</v>
      </c>
      <c r="B133" s="9"/>
      <c r="C133" s="33" t="str">
        <f t="shared" si="16"/>
        <v/>
      </c>
      <c r="D133" s="31"/>
      <c r="E133" s="31"/>
      <c r="F133" s="11"/>
      <c r="G133" s="11"/>
      <c r="H133" s="11"/>
      <c r="I133" s="9"/>
      <c r="J133" s="12" t="str">
        <f t="shared" si="17"/>
        <v/>
      </c>
      <c r="K133" s="9"/>
      <c r="L133" s="12" t="str">
        <f t="shared" si="18"/>
        <v/>
      </c>
      <c r="M133" s="11"/>
      <c r="N133" s="12" t="str">
        <f t="shared" si="19"/>
        <v/>
      </c>
      <c r="O133" s="12" t="str">
        <f t="shared" si="20"/>
        <v/>
      </c>
      <c r="P133" s="8" t="str">
        <f t="shared" si="21"/>
        <v/>
      </c>
      <c r="Q133" s="9"/>
      <c r="R133" s="31"/>
      <c r="S133" s="8" t="str">
        <f t="shared" si="22"/>
        <v/>
      </c>
      <c r="T133" s="8" t="str">
        <f t="shared" si="23"/>
        <v/>
      </c>
      <c r="U133" s="8">
        <f>IF(T133="",0,IF(SUMPRODUCT(--(T$4:T133=T133))&gt;1,1,0))</f>
        <v>0</v>
      </c>
      <c r="V133" s="8">
        <f>IF(OR(T133="",U133=1,B133="",K133&lt;&gt;"نعم"),0,IF(COUNTIFS(B$4:B133,B133,K$4:K133,"نعم",U$4:U133,0)=1,1,0))</f>
        <v>0</v>
      </c>
    </row>
    <row r="134" spans="1:22" x14ac:dyDescent="0.25">
      <c r="A134" s="8">
        <v>131</v>
      </c>
      <c r="B134" s="9"/>
      <c r="C134" s="33" t="str">
        <f t="shared" si="16"/>
        <v/>
      </c>
      <c r="D134" s="31"/>
      <c r="E134" s="31"/>
      <c r="F134" s="11"/>
      <c r="G134" s="11"/>
      <c r="H134" s="11"/>
      <c r="I134" s="9"/>
      <c r="J134" s="12" t="str">
        <f t="shared" si="17"/>
        <v/>
      </c>
      <c r="K134" s="9"/>
      <c r="L134" s="12" t="str">
        <f t="shared" si="18"/>
        <v/>
      </c>
      <c r="M134" s="11"/>
      <c r="N134" s="12" t="str">
        <f t="shared" si="19"/>
        <v/>
      </c>
      <c r="O134" s="12" t="str">
        <f t="shared" si="20"/>
        <v/>
      </c>
      <c r="P134" s="8" t="str">
        <f t="shared" si="21"/>
        <v/>
      </c>
      <c r="Q134" s="9"/>
      <c r="R134" s="31"/>
      <c r="S134" s="8" t="str">
        <f t="shared" si="22"/>
        <v/>
      </c>
      <c r="T134" s="8" t="str">
        <f t="shared" si="23"/>
        <v/>
      </c>
      <c r="U134" s="8">
        <f>IF(T134="",0,IF(SUMPRODUCT(--(T$4:T134=T134))&gt;1,1,0))</f>
        <v>0</v>
      </c>
      <c r="V134" s="8">
        <f>IF(OR(T134="",U134=1,B134="",K134&lt;&gt;"نعم"),0,IF(COUNTIFS(B$4:B134,B134,K$4:K134,"نعم",U$4:U134,0)=1,1,0))</f>
        <v>0</v>
      </c>
    </row>
    <row r="135" spans="1:22" x14ac:dyDescent="0.25">
      <c r="A135" s="8">
        <v>132</v>
      </c>
      <c r="B135" s="9"/>
      <c r="C135" s="33" t="str">
        <f t="shared" si="16"/>
        <v/>
      </c>
      <c r="D135" s="31"/>
      <c r="E135" s="31"/>
      <c r="F135" s="11"/>
      <c r="G135" s="11"/>
      <c r="H135" s="11"/>
      <c r="I135" s="9"/>
      <c r="J135" s="12" t="str">
        <f t="shared" si="17"/>
        <v/>
      </c>
      <c r="K135" s="9"/>
      <c r="L135" s="12" t="str">
        <f t="shared" si="18"/>
        <v/>
      </c>
      <c r="M135" s="11"/>
      <c r="N135" s="12" t="str">
        <f t="shared" si="19"/>
        <v/>
      </c>
      <c r="O135" s="12" t="str">
        <f t="shared" si="20"/>
        <v/>
      </c>
      <c r="P135" s="8" t="str">
        <f t="shared" si="21"/>
        <v/>
      </c>
      <c r="Q135" s="9"/>
      <c r="R135" s="31"/>
      <c r="S135" s="8" t="str">
        <f t="shared" si="22"/>
        <v/>
      </c>
      <c r="T135" s="8" t="str">
        <f t="shared" si="23"/>
        <v/>
      </c>
      <c r="U135" s="8">
        <f>IF(T135="",0,IF(SUMPRODUCT(--(T$4:T135=T135))&gt;1,1,0))</f>
        <v>0</v>
      </c>
      <c r="V135" s="8">
        <f>IF(OR(T135="",U135=1,B135="",K135&lt;&gt;"نعم"),0,IF(COUNTIFS(B$4:B135,B135,K$4:K135,"نعم",U$4:U135,0)=1,1,0))</f>
        <v>0</v>
      </c>
    </row>
    <row r="136" spans="1:22" x14ac:dyDescent="0.25">
      <c r="A136" s="8">
        <v>133</v>
      </c>
      <c r="B136" s="9"/>
      <c r="C136" s="33" t="str">
        <f t="shared" si="16"/>
        <v/>
      </c>
      <c r="D136" s="31"/>
      <c r="E136" s="31"/>
      <c r="F136" s="11"/>
      <c r="G136" s="11"/>
      <c r="H136" s="11"/>
      <c r="I136" s="9"/>
      <c r="J136" s="12" t="str">
        <f t="shared" si="17"/>
        <v/>
      </c>
      <c r="K136" s="9"/>
      <c r="L136" s="12" t="str">
        <f t="shared" si="18"/>
        <v/>
      </c>
      <c r="M136" s="11"/>
      <c r="N136" s="12" t="str">
        <f t="shared" si="19"/>
        <v/>
      </c>
      <c r="O136" s="12" t="str">
        <f t="shared" si="20"/>
        <v/>
      </c>
      <c r="P136" s="8" t="str">
        <f t="shared" si="21"/>
        <v/>
      </c>
      <c r="Q136" s="9"/>
      <c r="R136" s="31"/>
      <c r="S136" s="8" t="str">
        <f t="shared" si="22"/>
        <v/>
      </c>
      <c r="T136" s="8" t="str">
        <f t="shared" si="23"/>
        <v/>
      </c>
      <c r="U136" s="8">
        <f>IF(T136="",0,IF(SUMPRODUCT(--(T$4:T136=T136))&gt;1,1,0))</f>
        <v>0</v>
      </c>
      <c r="V136" s="8">
        <f>IF(OR(T136="",U136=1,B136="",K136&lt;&gt;"نعم"),0,IF(COUNTIFS(B$4:B136,B136,K$4:K136,"نعم",U$4:U136,0)=1,1,0))</f>
        <v>0</v>
      </c>
    </row>
    <row r="137" spans="1:22" x14ac:dyDescent="0.25">
      <c r="A137" s="8">
        <v>134</v>
      </c>
      <c r="B137" s="9"/>
      <c r="C137" s="33" t="str">
        <f t="shared" si="16"/>
        <v/>
      </c>
      <c r="D137" s="31"/>
      <c r="E137" s="31"/>
      <c r="F137" s="11"/>
      <c r="G137" s="11"/>
      <c r="H137" s="11"/>
      <c r="I137" s="9"/>
      <c r="J137" s="12" t="str">
        <f t="shared" si="17"/>
        <v/>
      </c>
      <c r="K137" s="9"/>
      <c r="L137" s="12" t="str">
        <f t="shared" si="18"/>
        <v/>
      </c>
      <c r="M137" s="11"/>
      <c r="N137" s="12" t="str">
        <f t="shared" si="19"/>
        <v/>
      </c>
      <c r="O137" s="12" t="str">
        <f t="shared" si="20"/>
        <v/>
      </c>
      <c r="P137" s="8" t="str">
        <f t="shared" si="21"/>
        <v/>
      </c>
      <c r="Q137" s="9"/>
      <c r="R137" s="31"/>
      <c r="S137" s="8" t="str">
        <f t="shared" si="22"/>
        <v/>
      </c>
      <c r="T137" s="8" t="str">
        <f t="shared" si="23"/>
        <v/>
      </c>
      <c r="U137" s="8">
        <f>IF(T137="",0,IF(SUMPRODUCT(--(T$4:T137=T137))&gt;1,1,0))</f>
        <v>0</v>
      </c>
      <c r="V137" s="8">
        <f>IF(OR(T137="",U137=1,B137="",K137&lt;&gt;"نعم"),0,IF(COUNTIFS(B$4:B137,B137,K$4:K137,"نعم",U$4:U137,0)=1,1,0))</f>
        <v>0</v>
      </c>
    </row>
    <row r="138" spans="1:22" x14ac:dyDescent="0.25">
      <c r="A138" s="8">
        <v>135</v>
      </c>
      <c r="B138" s="9"/>
      <c r="C138" s="33" t="str">
        <f t="shared" si="16"/>
        <v/>
      </c>
      <c r="D138" s="31"/>
      <c r="E138" s="31"/>
      <c r="F138" s="11"/>
      <c r="G138" s="11"/>
      <c r="H138" s="11"/>
      <c r="I138" s="9"/>
      <c r="J138" s="12" t="str">
        <f t="shared" si="17"/>
        <v/>
      </c>
      <c r="K138" s="9"/>
      <c r="L138" s="12" t="str">
        <f t="shared" si="18"/>
        <v/>
      </c>
      <c r="M138" s="11"/>
      <c r="N138" s="12" t="str">
        <f t="shared" si="19"/>
        <v/>
      </c>
      <c r="O138" s="12" t="str">
        <f t="shared" si="20"/>
        <v/>
      </c>
      <c r="P138" s="8" t="str">
        <f t="shared" si="21"/>
        <v/>
      </c>
      <c r="Q138" s="9"/>
      <c r="R138" s="31"/>
      <c r="S138" s="8" t="str">
        <f t="shared" si="22"/>
        <v/>
      </c>
      <c r="T138" s="8" t="str">
        <f t="shared" si="23"/>
        <v/>
      </c>
      <c r="U138" s="8">
        <f>IF(T138="",0,IF(SUMPRODUCT(--(T$4:T138=T138))&gt;1,1,0))</f>
        <v>0</v>
      </c>
      <c r="V138" s="8">
        <f>IF(OR(T138="",U138=1,B138="",K138&lt;&gt;"نعم"),0,IF(COUNTIFS(B$4:B138,B138,K$4:K138,"نعم",U$4:U138,0)=1,1,0))</f>
        <v>0</v>
      </c>
    </row>
    <row r="139" spans="1:22" x14ac:dyDescent="0.25">
      <c r="A139" s="8">
        <v>136</v>
      </c>
      <c r="B139" s="9"/>
      <c r="C139" s="33" t="str">
        <f t="shared" si="16"/>
        <v/>
      </c>
      <c r="D139" s="31"/>
      <c r="E139" s="31"/>
      <c r="F139" s="11"/>
      <c r="G139" s="11"/>
      <c r="H139" s="11"/>
      <c r="I139" s="9"/>
      <c r="J139" s="12" t="str">
        <f t="shared" si="17"/>
        <v/>
      </c>
      <c r="K139" s="9"/>
      <c r="L139" s="12" t="str">
        <f t="shared" si="18"/>
        <v/>
      </c>
      <c r="M139" s="11"/>
      <c r="N139" s="12" t="str">
        <f t="shared" si="19"/>
        <v/>
      </c>
      <c r="O139" s="12" t="str">
        <f t="shared" si="20"/>
        <v/>
      </c>
      <c r="P139" s="8" t="str">
        <f t="shared" si="21"/>
        <v/>
      </c>
      <c r="Q139" s="9"/>
      <c r="R139" s="31"/>
      <c r="S139" s="8" t="str">
        <f t="shared" si="22"/>
        <v/>
      </c>
      <c r="T139" s="8" t="str">
        <f t="shared" si="23"/>
        <v/>
      </c>
      <c r="U139" s="8">
        <f>IF(T139="",0,IF(SUMPRODUCT(--(T$4:T139=T139))&gt;1,1,0))</f>
        <v>0</v>
      </c>
      <c r="V139" s="8">
        <f>IF(OR(T139="",U139=1,B139="",K139&lt;&gt;"نعم"),0,IF(COUNTIFS(B$4:B139,B139,K$4:K139,"نعم",U$4:U139,0)=1,1,0))</f>
        <v>0</v>
      </c>
    </row>
    <row r="140" spans="1:22" x14ac:dyDescent="0.25">
      <c r="A140" s="8">
        <v>137</v>
      </c>
      <c r="B140" s="9"/>
      <c r="C140" s="33" t="str">
        <f t="shared" si="16"/>
        <v/>
      </c>
      <c r="D140" s="31"/>
      <c r="E140" s="31"/>
      <c r="F140" s="11"/>
      <c r="G140" s="11"/>
      <c r="H140" s="11"/>
      <c r="I140" s="9"/>
      <c r="J140" s="12" t="str">
        <f t="shared" si="17"/>
        <v/>
      </c>
      <c r="K140" s="9"/>
      <c r="L140" s="12" t="str">
        <f t="shared" si="18"/>
        <v/>
      </c>
      <c r="M140" s="11"/>
      <c r="N140" s="12" t="str">
        <f t="shared" si="19"/>
        <v/>
      </c>
      <c r="O140" s="12" t="str">
        <f t="shared" si="20"/>
        <v/>
      </c>
      <c r="P140" s="8" t="str">
        <f t="shared" si="21"/>
        <v/>
      </c>
      <c r="Q140" s="9"/>
      <c r="R140" s="31"/>
      <c r="S140" s="8" t="str">
        <f t="shared" si="22"/>
        <v/>
      </c>
      <c r="T140" s="8" t="str">
        <f t="shared" si="23"/>
        <v/>
      </c>
      <c r="U140" s="8">
        <f>IF(T140="",0,IF(SUMPRODUCT(--(T$4:T140=T140))&gt;1,1,0))</f>
        <v>0</v>
      </c>
      <c r="V140" s="8">
        <f>IF(OR(T140="",U140=1,B140="",K140&lt;&gt;"نعم"),0,IF(COUNTIFS(B$4:B140,B140,K$4:K140,"نعم",U$4:U140,0)=1,1,0))</f>
        <v>0</v>
      </c>
    </row>
    <row r="141" spans="1:22" x14ac:dyDescent="0.25">
      <c r="A141" s="8">
        <v>138</v>
      </c>
      <c r="B141" s="9"/>
      <c r="C141" s="33" t="str">
        <f t="shared" si="16"/>
        <v/>
      </c>
      <c r="D141" s="31"/>
      <c r="E141" s="31"/>
      <c r="F141" s="11"/>
      <c r="G141" s="11"/>
      <c r="H141" s="11"/>
      <c r="I141" s="9"/>
      <c r="J141" s="12" t="str">
        <f t="shared" si="17"/>
        <v/>
      </c>
      <c r="K141" s="9"/>
      <c r="L141" s="12" t="str">
        <f t="shared" si="18"/>
        <v/>
      </c>
      <c r="M141" s="11"/>
      <c r="N141" s="12" t="str">
        <f t="shared" si="19"/>
        <v/>
      </c>
      <c r="O141" s="12" t="str">
        <f t="shared" si="20"/>
        <v/>
      </c>
      <c r="P141" s="8" t="str">
        <f t="shared" si="21"/>
        <v/>
      </c>
      <c r="Q141" s="9"/>
      <c r="R141" s="31"/>
      <c r="S141" s="8" t="str">
        <f t="shared" si="22"/>
        <v/>
      </c>
      <c r="T141" s="8" t="str">
        <f t="shared" si="23"/>
        <v/>
      </c>
      <c r="U141" s="8">
        <f>IF(T141="",0,IF(SUMPRODUCT(--(T$4:T141=T141))&gt;1,1,0))</f>
        <v>0</v>
      </c>
      <c r="V141" s="8">
        <f>IF(OR(T141="",U141=1,B141="",K141&lt;&gt;"نعم"),0,IF(COUNTIFS(B$4:B141,B141,K$4:K141,"نعم",U$4:U141,0)=1,1,0))</f>
        <v>0</v>
      </c>
    </row>
    <row r="142" spans="1:22" x14ac:dyDescent="0.25">
      <c r="A142" s="8">
        <v>139</v>
      </c>
      <c r="B142" s="9"/>
      <c r="C142" s="33" t="str">
        <f t="shared" si="16"/>
        <v/>
      </c>
      <c r="D142" s="31"/>
      <c r="E142" s="31"/>
      <c r="F142" s="11"/>
      <c r="G142" s="11"/>
      <c r="H142" s="11"/>
      <c r="I142" s="9"/>
      <c r="J142" s="12" t="str">
        <f t="shared" si="17"/>
        <v/>
      </c>
      <c r="K142" s="9"/>
      <c r="L142" s="12" t="str">
        <f t="shared" si="18"/>
        <v/>
      </c>
      <c r="M142" s="11"/>
      <c r="N142" s="12" t="str">
        <f t="shared" si="19"/>
        <v/>
      </c>
      <c r="O142" s="12" t="str">
        <f t="shared" si="20"/>
        <v/>
      </c>
      <c r="P142" s="8" t="str">
        <f t="shared" si="21"/>
        <v/>
      </c>
      <c r="Q142" s="9"/>
      <c r="R142" s="31"/>
      <c r="S142" s="8" t="str">
        <f t="shared" si="22"/>
        <v/>
      </c>
      <c r="T142" s="8" t="str">
        <f t="shared" si="23"/>
        <v/>
      </c>
      <c r="U142" s="8">
        <f>IF(T142="",0,IF(SUMPRODUCT(--(T$4:T142=T142))&gt;1,1,0))</f>
        <v>0</v>
      </c>
      <c r="V142" s="8">
        <f>IF(OR(T142="",U142=1,B142="",K142&lt;&gt;"نعم"),0,IF(COUNTIFS(B$4:B142,B142,K$4:K142,"نعم",U$4:U142,0)=1,1,0))</f>
        <v>0</v>
      </c>
    </row>
    <row r="143" spans="1:22" x14ac:dyDescent="0.25">
      <c r="A143" s="8">
        <v>140</v>
      </c>
      <c r="B143" s="9"/>
      <c r="C143" s="33" t="str">
        <f t="shared" si="16"/>
        <v/>
      </c>
      <c r="D143" s="31"/>
      <c r="E143" s="31"/>
      <c r="F143" s="11"/>
      <c r="G143" s="11"/>
      <c r="H143" s="11"/>
      <c r="I143" s="9"/>
      <c r="J143" s="12" t="str">
        <f t="shared" si="17"/>
        <v/>
      </c>
      <c r="K143" s="9"/>
      <c r="L143" s="12" t="str">
        <f t="shared" si="18"/>
        <v/>
      </c>
      <c r="M143" s="11"/>
      <c r="N143" s="12" t="str">
        <f t="shared" si="19"/>
        <v/>
      </c>
      <c r="O143" s="12" t="str">
        <f t="shared" si="20"/>
        <v/>
      </c>
      <c r="P143" s="8" t="str">
        <f t="shared" si="21"/>
        <v/>
      </c>
      <c r="Q143" s="9"/>
      <c r="R143" s="31"/>
      <c r="S143" s="8" t="str">
        <f t="shared" si="22"/>
        <v/>
      </c>
      <c r="T143" s="8" t="str">
        <f t="shared" si="23"/>
        <v/>
      </c>
      <c r="U143" s="8">
        <f>IF(T143="",0,IF(SUMPRODUCT(--(T$4:T143=T143))&gt;1,1,0))</f>
        <v>0</v>
      </c>
      <c r="V143" s="8">
        <f>IF(OR(T143="",U143=1,B143="",K143&lt;&gt;"نعم"),0,IF(COUNTIFS(B$4:B143,B143,K$4:K143,"نعم",U$4:U143,0)=1,1,0))</f>
        <v>0</v>
      </c>
    </row>
    <row r="144" spans="1:22" x14ac:dyDescent="0.25">
      <c r="A144" s="8">
        <v>141</v>
      </c>
      <c r="B144" s="9"/>
      <c r="C144" s="33" t="str">
        <f t="shared" si="16"/>
        <v/>
      </c>
      <c r="D144" s="31"/>
      <c r="E144" s="31"/>
      <c r="F144" s="11"/>
      <c r="G144" s="11"/>
      <c r="H144" s="11"/>
      <c r="I144" s="9"/>
      <c r="J144" s="12" t="str">
        <f t="shared" si="17"/>
        <v/>
      </c>
      <c r="K144" s="9"/>
      <c r="L144" s="12" t="str">
        <f t="shared" si="18"/>
        <v/>
      </c>
      <c r="M144" s="11"/>
      <c r="N144" s="12" t="str">
        <f t="shared" si="19"/>
        <v/>
      </c>
      <c r="O144" s="12" t="str">
        <f t="shared" si="20"/>
        <v/>
      </c>
      <c r="P144" s="8" t="str">
        <f t="shared" si="21"/>
        <v/>
      </c>
      <c r="Q144" s="9"/>
      <c r="R144" s="31"/>
      <c r="S144" s="8" t="str">
        <f t="shared" si="22"/>
        <v/>
      </c>
      <c r="T144" s="8" t="str">
        <f t="shared" si="23"/>
        <v/>
      </c>
      <c r="U144" s="8">
        <f>IF(T144="",0,IF(SUMPRODUCT(--(T$4:T144=T144))&gt;1,1,0))</f>
        <v>0</v>
      </c>
      <c r="V144" s="8">
        <f>IF(OR(T144="",U144=1,B144="",K144&lt;&gt;"نعم"),0,IF(COUNTIFS(B$4:B144,B144,K$4:K144,"نعم",U$4:U144,0)=1,1,0))</f>
        <v>0</v>
      </c>
    </row>
    <row r="145" spans="1:22" x14ac:dyDescent="0.25">
      <c r="A145" s="8">
        <v>142</v>
      </c>
      <c r="B145" s="9"/>
      <c r="C145" s="33" t="str">
        <f t="shared" si="16"/>
        <v/>
      </c>
      <c r="D145" s="31"/>
      <c r="E145" s="31"/>
      <c r="F145" s="11"/>
      <c r="G145" s="11"/>
      <c r="H145" s="11"/>
      <c r="I145" s="9"/>
      <c r="J145" s="12" t="str">
        <f t="shared" si="17"/>
        <v/>
      </c>
      <c r="K145" s="9"/>
      <c r="L145" s="12" t="str">
        <f t="shared" si="18"/>
        <v/>
      </c>
      <c r="M145" s="11"/>
      <c r="N145" s="12" t="str">
        <f t="shared" si="19"/>
        <v/>
      </c>
      <c r="O145" s="12" t="str">
        <f t="shared" si="20"/>
        <v/>
      </c>
      <c r="P145" s="8" t="str">
        <f t="shared" si="21"/>
        <v/>
      </c>
      <c r="Q145" s="9"/>
      <c r="R145" s="31"/>
      <c r="S145" s="8" t="str">
        <f t="shared" si="22"/>
        <v/>
      </c>
      <c r="T145" s="8" t="str">
        <f t="shared" si="23"/>
        <v/>
      </c>
      <c r="U145" s="8">
        <f>IF(T145="",0,IF(SUMPRODUCT(--(T$4:T145=T145))&gt;1,1,0))</f>
        <v>0</v>
      </c>
      <c r="V145" s="8">
        <f>IF(OR(T145="",U145=1,B145="",K145&lt;&gt;"نعم"),0,IF(COUNTIFS(B$4:B145,B145,K$4:K145,"نعم",U$4:U145,0)=1,1,0))</f>
        <v>0</v>
      </c>
    </row>
    <row r="146" spans="1:22" x14ac:dyDescent="0.25">
      <c r="A146" s="8">
        <v>143</v>
      </c>
      <c r="B146" s="9"/>
      <c r="C146" s="33" t="str">
        <f t="shared" si="16"/>
        <v/>
      </c>
      <c r="D146" s="31"/>
      <c r="E146" s="31"/>
      <c r="F146" s="11"/>
      <c r="G146" s="11"/>
      <c r="H146" s="11"/>
      <c r="I146" s="9"/>
      <c r="J146" s="12" t="str">
        <f t="shared" si="17"/>
        <v/>
      </c>
      <c r="K146" s="9"/>
      <c r="L146" s="12" t="str">
        <f t="shared" si="18"/>
        <v/>
      </c>
      <c r="M146" s="11"/>
      <c r="N146" s="12" t="str">
        <f t="shared" si="19"/>
        <v/>
      </c>
      <c r="O146" s="12" t="str">
        <f t="shared" si="20"/>
        <v/>
      </c>
      <c r="P146" s="8" t="str">
        <f t="shared" si="21"/>
        <v/>
      </c>
      <c r="Q146" s="9"/>
      <c r="R146" s="31"/>
      <c r="S146" s="8" t="str">
        <f t="shared" si="22"/>
        <v/>
      </c>
      <c r="T146" s="8" t="str">
        <f t="shared" si="23"/>
        <v/>
      </c>
      <c r="U146" s="8">
        <f>IF(T146="",0,IF(SUMPRODUCT(--(T$4:T146=T146))&gt;1,1,0))</f>
        <v>0</v>
      </c>
      <c r="V146" s="8">
        <f>IF(OR(T146="",U146=1,B146="",K146&lt;&gt;"نعم"),0,IF(COUNTIFS(B$4:B146,B146,K$4:K146,"نعم",U$4:U146,0)=1,1,0))</f>
        <v>0</v>
      </c>
    </row>
    <row r="147" spans="1:22" x14ac:dyDescent="0.25">
      <c r="A147" s="8">
        <v>144</v>
      </c>
      <c r="B147" s="9"/>
      <c r="C147" s="33" t="str">
        <f t="shared" si="16"/>
        <v/>
      </c>
      <c r="D147" s="31"/>
      <c r="E147" s="31"/>
      <c r="F147" s="11"/>
      <c r="G147" s="11"/>
      <c r="H147" s="11"/>
      <c r="I147" s="9"/>
      <c r="J147" s="12" t="str">
        <f t="shared" si="17"/>
        <v/>
      </c>
      <c r="K147" s="9"/>
      <c r="L147" s="12" t="str">
        <f t="shared" si="18"/>
        <v/>
      </c>
      <c r="M147" s="11"/>
      <c r="N147" s="12" t="str">
        <f t="shared" si="19"/>
        <v/>
      </c>
      <c r="O147" s="12" t="str">
        <f t="shared" si="20"/>
        <v/>
      </c>
      <c r="P147" s="8" t="str">
        <f t="shared" si="21"/>
        <v/>
      </c>
      <c r="Q147" s="9"/>
      <c r="R147" s="31"/>
      <c r="S147" s="8" t="str">
        <f t="shared" si="22"/>
        <v/>
      </c>
      <c r="T147" s="8" t="str">
        <f t="shared" si="23"/>
        <v/>
      </c>
      <c r="U147" s="8">
        <f>IF(T147="",0,IF(SUMPRODUCT(--(T$4:T147=T147))&gt;1,1,0))</f>
        <v>0</v>
      </c>
      <c r="V147" s="8">
        <f>IF(OR(T147="",U147=1,B147="",K147&lt;&gt;"نعم"),0,IF(COUNTIFS(B$4:B147,B147,K$4:K147,"نعم",U$4:U147,0)=1,1,0))</f>
        <v>0</v>
      </c>
    </row>
    <row r="148" spans="1:22" x14ac:dyDescent="0.25">
      <c r="A148" s="8">
        <v>145</v>
      </c>
      <c r="B148" s="9"/>
      <c r="C148" s="33" t="str">
        <f t="shared" si="16"/>
        <v/>
      </c>
      <c r="D148" s="31"/>
      <c r="E148" s="31"/>
      <c r="F148" s="11"/>
      <c r="G148" s="11"/>
      <c r="H148" s="11"/>
      <c r="I148" s="9"/>
      <c r="J148" s="12" t="str">
        <f t="shared" si="17"/>
        <v/>
      </c>
      <c r="K148" s="9"/>
      <c r="L148" s="12" t="str">
        <f t="shared" si="18"/>
        <v/>
      </c>
      <c r="M148" s="11"/>
      <c r="N148" s="12" t="str">
        <f t="shared" si="19"/>
        <v/>
      </c>
      <c r="O148" s="12" t="str">
        <f t="shared" si="20"/>
        <v/>
      </c>
      <c r="P148" s="8" t="str">
        <f t="shared" si="21"/>
        <v/>
      </c>
      <c r="Q148" s="9"/>
      <c r="R148" s="31"/>
      <c r="S148" s="8" t="str">
        <f t="shared" si="22"/>
        <v/>
      </c>
      <c r="T148" s="8" t="str">
        <f t="shared" si="23"/>
        <v/>
      </c>
      <c r="U148" s="8">
        <f>IF(T148="",0,IF(SUMPRODUCT(--(T$4:T148=T148))&gt;1,1,0))</f>
        <v>0</v>
      </c>
      <c r="V148" s="8">
        <f>IF(OR(T148="",U148=1,B148="",K148&lt;&gt;"نعم"),0,IF(COUNTIFS(B$4:B148,B148,K$4:K148,"نعم",U$4:U148,0)=1,1,0))</f>
        <v>0</v>
      </c>
    </row>
    <row r="149" spans="1:22" x14ac:dyDescent="0.25">
      <c r="A149" s="8">
        <v>146</v>
      </c>
      <c r="B149" s="9"/>
      <c r="C149" s="33" t="str">
        <f t="shared" si="16"/>
        <v/>
      </c>
      <c r="D149" s="31"/>
      <c r="E149" s="31"/>
      <c r="F149" s="11"/>
      <c r="G149" s="11"/>
      <c r="H149" s="11"/>
      <c r="I149" s="9"/>
      <c r="J149" s="12" t="str">
        <f t="shared" si="17"/>
        <v/>
      </c>
      <c r="K149" s="9"/>
      <c r="L149" s="12" t="str">
        <f t="shared" si="18"/>
        <v/>
      </c>
      <c r="M149" s="11"/>
      <c r="N149" s="12" t="str">
        <f t="shared" si="19"/>
        <v/>
      </c>
      <c r="O149" s="12" t="str">
        <f t="shared" si="20"/>
        <v/>
      </c>
      <c r="P149" s="8" t="str">
        <f t="shared" si="21"/>
        <v/>
      </c>
      <c r="Q149" s="9"/>
      <c r="R149" s="31"/>
      <c r="S149" s="8" t="str">
        <f t="shared" si="22"/>
        <v/>
      </c>
      <c r="T149" s="8" t="str">
        <f t="shared" si="23"/>
        <v/>
      </c>
      <c r="U149" s="8">
        <f>IF(T149="",0,IF(SUMPRODUCT(--(T$4:T149=T149))&gt;1,1,0))</f>
        <v>0</v>
      </c>
      <c r="V149" s="8">
        <f>IF(OR(T149="",U149=1,B149="",K149&lt;&gt;"نعم"),0,IF(COUNTIFS(B$4:B149,B149,K$4:K149,"نعم",U$4:U149,0)=1,1,0))</f>
        <v>0</v>
      </c>
    </row>
    <row r="150" spans="1:22" x14ac:dyDescent="0.25">
      <c r="A150" s="8">
        <v>147</v>
      </c>
      <c r="B150" s="9"/>
      <c r="C150" s="33" t="str">
        <f t="shared" si="16"/>
        <v/>
      </c>
      <c r="D150" s="31"/>
      <c r="E150" s="31"/>
      <c r="F150" s="11"/>
      <c r="G150" s="11"/>
      <c r="H150" s="11"/>
      <c r="I150" s="9"/>
      <c r="J150" s="12" t="str">
        <f t="shared" si="17"/>
        <v/>
      </c>
      <c r="K150" s="9"/>
      <c r="L150" s="12" t="str">
        <f t="shared" si="18"/>
        <v/>
      </c>
      <c r="M150" s="11"/>
      <c r="N150" s="12" t="str">
        <f t="shared" si="19"/>
        <v/>
      </c>
      <c r="O150" s="12" t="str">
        <f t="shared" si="20"/>
        <v/>
      </c>
      <c r="P150" s="8" t="str">
        <f t="shared" si="21"/>
        <v/>
      </c>
      <c r="Q150" s="9"/>
      <c r="R150" s="31"/>
      <c r="S150" s="8" t="str">
        <f t="shared" si="22"/>
        <v/>
      </c>
      <c r="T150" s="8" t="str">
        <f t="shared" si="23"/>
        <v/>
      </c>
      <c r="U150" s="8">
        <f>IF(T150="",0,IF(SUMPRODUCT(--(T$4:T150=T150))&gt;1,1,0))</f>
        <v>0</v>
      </c>
      <c r="V150" s="8">
        <f>IF(OR(T150="",U150=1,B150="",K150&lt;&gt;"نعم"),0,IF(COUNTIFS(B$4:B150,B150,K$4:K150,"نعم",U$4:U150,0)=1,1,0))</f>
        <v>0</v>
      </c>
    </row>
    <row r="151" spans="1:22" x14ac:dyDescent="0.25">
      <c r="A151" s="8">
        <v>148</v>
      </c>
      <c r="B151" s="9"/>
      <c r="C151" s="33" t="str">
        <f t="shared" si="16"/>
        <v/>
      </c>
      <c r="D151" s="31"/>
      <c r="E151" s="31"/>
      <c r="F151" s="11"/>
      <c r="G151" s="11"/>
      <c r="H151" s="11"/>
      <c r="I151" s="9"/>
      <c r="J151" s="12" t="str">
        <f t="shared" si="17"/>
        <v/>
      </c>
      <c r="K151" s="9"/>
      <c r="L151" s="12" t="str">
        <f t="shared" si="18"/>
        <v/>
      </c>
      <c r="M151" s="11"/>
      <c r="N151" s="12" t="str">
        <f t="shared" si="19"/>
        <v/>
      </c>
      <c r="O151" s="12" t="str">
        <f t="shared" si="20"/>
        <v/>
      </c>
      <c r="P151" s="8" t="str">
        <f t="shared" si="21"/>
        <v/>
      </c>
      <c r="Q151" s="9"/>
      <c r="R151" s="31"/>
      <c r="S151" s="8" t="str">
        <f t="shared" si="22"/>
        <v/>
      </c>
      <c r="T151" s="8" t="str">
        <f t="shared" si="23"/>
        <v/>
      </c>
      <c r="U151" s="8">
        <f>IF(T151="",0,IF(SUMPRODUCT(--(T$4:T151=T151))&gt;1,1,0))</f>
        <v>0</v>
      </c>
      <c r="V151" s="8">
        <f>IF(OR(T151="",U151=1,B151="",K151&lt;&gt;"نعم"),0,IF(COUNTIFS(B$4:B151,B151,K$4:K151,"نعم",U$4:U151,0)=1,1,0))</f>
        <v>0</v>
      </c>
    </row>
    <row r="152" spans="1:22" x14ac:dyDescent="0.25">
      <c r="A152" s="8">
        <v>149</v>
      </c>
      <c r="B152" s="9"/>
      <c r="C152" s="33" t="str">
        <f t="shared" si="16"/>
        <v/>
      </c>
      <c r="D152" s="31"/>
      <c r="E152" s="31"/>
      <c r="F152" s="11"/>
      <c r="G152" s="11"/>
      <c r="H152" s="11"/>
      <c r="I152" s="9"/>
      <c r="J152" s="12" t="str">
        <f t="shared" si="17"/>
        <v/>
      </c>
      <c r="K152" s="9"/>
      <c r="L152" s="12" t="str">
        <f t="shared" si="18"/>
        <v/>
      </c>
      <c r="M152" s="11"/>
      <c r="N152" s="12" t="str">
        <f t="shared" si="19"/>
        <v/>
      </c>
      <c r="O152" s="12" t="str">
        <f t="shared" si="20"/>
        <v/>
      </c>
      <c r="P152" s="8" t="str">
        <f t="shared" si="21"/>
        <v/>
      </c>
      <c r="Q152" s="9"/>
      <c r="R152" s="31"/>
      <c r="S152" s="8" t="str">
        <f t="shared" si="22"/>
        <v/>
      </c>
      <c r="T152" s="8" t="str">
        <f t="shared" si="23"/>
        <v/>
      </c>
      <c r="U152" s="8">
        <f>IF(T152="",0,IF(SUMPRODUCT(--(T$4:T152=T152))&gt;1,1,0))</f>
        <v>0</v>
      </c>
      <c r="V152" s="8">
        <f>IF(OR(T152="",U152=1,B152="",K152&lt;&gt;"نعم"),0,IF(COUNTIFS(B$4:B152,B152,K$4:K152,"نعم",U$4:U152,0)=1,1,0))</f>
        <v>0</v>
      </c>
    </row>
    <row r="153" spans="1:22" x14ac:dyDescent="0.25">
      <c r="A153" s="8">
        <v>150</v>
      </c>
      <c r="B153" s="9"/>
      <c r="C153" s="33" t="str">
        <f t="shared" si="16"/>
        <v/>
      </c>
      <c r="D153" s="31"/>
      <c r="E153" s="31"/>
      <c r="F153" s="11"/>
      <c r="G153" s="11"/>
      <c r="H153" s="11"/>
      <c r="I153" s="9"/>
      <c r="J153" s="12" t="str">
        <f t="shared" si="17"/>
        <v/>
      </c>
      <c r="K153" s="9"/>
      <c r="L153" s="12" t="str">
        <f t="shared" si="18"/>
        <v/>
      </c>
      <c r="M153" s="11"/>
      <c r="N153" s="12" t="str">
        <f t="shared" si="19"/>
        <v/>
      </c>
      <c r="O153" s="12" t="str">
        <f t="shared" si="20"/>
        <v/>
      </c>
      <c r="P153" s="8" t="str">
        <f t="shared" si="21"/>
        <v/>
      </c>
      <c r="Q153" s="9"/>
      <c r="R153" s="31"/>
      <c r="S153" s="8" t="str">
        <f t="shared" si="22"/>
        <v/>
      </c>
      <c r="T153" s="8" t="str">
        <f t="shared" si="23"/>
        <v/>
      </c>
      <c r="U153" s="8">
        <f>IF(T153="",0,IF(SUMPRODUCT(--(T$4:T153=T153))&gt;1,1,0))</f>
        <v>0</v>
      </c>
      <c r="V153" s="8">
        <f>IF(OR(T153="",U153=1,B153="",K153&lt;&gt;"نعم"),0,IF(COUNTIFS(B$4:B153,B153,K$4:K153,"نعم",U$4:U153,0)=1,1,0))</f>
        <v>0</v>
      </c>
    </row>
    <row r="154" spans="1:22" x14ac:dyDescent="0.25">
      <c r="A154" s="8">
        <v>151</v>
      </c>
      <c r="B154" s="9"/>
      <c r="C154" s="33" t="str">
        <f t="shared" si="16"/>
        <v/>
      </c>
      <c r="D154" s="31"/>
      <c r="E154" s="31"/>
      <c r="F154" s="11"/>
      <c r="G154" s="11"/>
      <c r="H154" s="11"/>
      <c r="I154" s="9"/>
      <c r="J154" s="12" t="str">
        <f t="shared" si="17"/>
        <v/>
      </c>
      <c r="K154" s="9"/>
      <c r="L154" s="12" t="str">
        <f t="shared" si="18"/>
        <v/>
      </c>
      <c r="M154" s="11"/>
      <c r="N154" s="12" t="str">
        <f t="shared" si="19"/>
        <v/>
      </c>
      <c r="O154" s="12" t="str">
        <f t="shared" si="20"/>
        <v/>
      </c>
      <c r="P154" s="8" t="str">
        <f t="shared" si="21"/>
        <v/>
      </c>
      <c r="Q154" s="9"/>
      <c r="R154" s="31"/>
      <c r="S154" s="8" t="str">
        <f t="shared" si="22"/>
        <v/>
      </c>
      <c r="T154" s="8" t="str">
        <f t="shared" si="23"/>
        <v/>
      </c>
      <c r="U154" s="8">
        <f>IF(T154="",0,IF(SUMPRODUCT(--(T$4:T154=T154))&gt;1,1,0))</f>
        <v>0</v>
      </c>
      <c r="V154" s="8">
        <f>IF(OR(T154="",U154=1,B154="",K154&lt;&gt;"نعم"),0,IF(COUNTIFS(B$4:B154,B154,K$4:K154,"نعم",U$4:U154,0)=1,1,0))</f>
        <v>0</v>
      </c>
    </row>
    <row r="155" spans="1:22" x14ac:dyDescent="0.25">
      <c r="A155" s="8">
        <v>152</v>
      </c>
      <c r="B155" s="9"/>
      <c r="C155" s="33" t="str">
        <f t="shared" si="16"/>
        <v/>
      </c>
      <c r="D155" s="31"/>
      <c r="E155" s="31"/>
      <c r="F155" s="11"/>
      <c r="G155" s="11"/>
      <c r="H155" s="11"/>
      <c r="I155" s="9"/>
      <c r="J155" s="12" t="str">
        <f t="shared" si="17"/>
        <v/>
      </c>
      <c r="K155" s="9"/>
      <c r="L155" s="12" t="str">
        <f t="shared" si="18"/>
        <v/>
      </c>
      <c r="M155" s="11"/>
      <c r="N155" s="12" t="str">
        <f t="shared" si="19"/>
        <v/>
      </c>
      <c r="O155" s="12" t="str">
        <f t="shared" si="20"/>
        <v/>
      </c>
      <c r="P155" s="8" t="str">
        <f t="shared" si="21"/>
        <v/>
      </c>
      <c r="Q155" s="9"/>
      <c r="R155" s="31"/>
      <c r="S155" s="8" t="str">
        <f t="shared" si="22"/>
        <v/>
      </c>
      <c r="T155" s="8" t="str">
        <f t="shared" si="23"/>
        <v/>
      </c>
      <c r="U155" s="8">
        <f>IF(T155="",0,IF(SUMPRODUCT(--(T$4:T155=T155))&gt;1,1,0))</f>
        <v>0</v>
      </c>
      <c r="V155" s="8">
        <f>IF(OR(T155="",U155=1,B155="",K155&lt;&gt;"نعم"),0,IF(COUNTIFS(B$4:B155,B155,K$4:K155,"نعم",U$4:U155,0)=1,1,0))</f>
        <v>0</v>
      </c>
    </row>
    <row r="156" spans="1:22" x14ac:dyDescent="0.25">
      <c r="A156" s="8">
        <v>153</v>
      </c>
      <c r="B156" s="9"/>
      <c r="C156" s="33" t="str">
        <f t="shared" si="16"/>
        <v/>
      </c>
      <c r="D156" s="31"/>
      <c r="E156" s="31"/>
      <c r="F156" s="11"/>
      <c r="G156" s="11"/>
      <c r="H156" s="11"/>
      <c r="I156" s="9"/>
      <c r="J156" s="12" t="str">
        <f t="shared" si="17"/>
        <v/>
      </c>
      <c r="K156" s="9"/>
      <c r="L156" s="12" t="str">
        <f t="shared" si="18"/>
        <v/>
      </c>
      <c r="M156" s="11"/>
      <c r="N156" s="12" t="str">
        <f t="shared" si="19"/>
        <v/>
      </c>
      <c r="O156" s="12" t="str">
        <f t="shared" si="20"/>
        <v/>
      </c>
      <c r="P156" s="8" t="str">
        <f t="shared" si="21"/>
        <v/>
      </c>
      <c r="Q156" s="9"/>
      <c r="R156" s="31"/>
      <c r="S156" s="8" t="str">
        <f t="shared" si="22"/>
        <v/>
      </c>
      <c r="T156" s="8" t="str">
        <f t="shared" si="23"/>
        <v/>
      </c>
      <c r="U156" s="8">
        <f>IF(T156="",0,IF(SUMPRODUCT(--(T$4:T156=T156))&gt;1,1,0))</f>
        <v>0</v>
      </c>
      <c r="V156" s="8">
        <f>IF(OR(T156="",U156=1,B156="",K156&lt;&gt;"نعم"),0,IF(COUNTIFS(B$4:B156,B156,K$4:K156,"نعم",U$4:U156,0)=1,1,0))</f>
        <v>0</v>
      </c>
    </row>
    <row r="157" spans="1:22" x14ac:dyDescent="0.25">
      <c r="A157" s="8">
        <v>154</v>
      </c>
      <c r="B157" s="9"/>
      <c r="C157" s="33" t="str">
        <f t="shared" si="16"/>
        <v/>
      </c>
      <c r="D157" s="31"/>
      <c r="E157" s="31"/>
      <c r="F157" s="11"/>
      <c r="G157" s="11"/>
      <c r="H157" s="11"/>
      <c r="I157" s="9"/>
      <c r="J157" s="12" t="str">
        <f t="shared" si="17"/>
        <v/>
      </c>
      <c r="K157" s="9"/>
      <c r="L157" s="12" t="str">
        <f t="shared" si="18"/>
        <v/>
      </c>
      <c r="M157" s="11"/>
      <c r="N157" s="12" t="str">
        <f t="shared" si="19"/>
        <v/>
      </c>
      <c r="O157" s="12" t="str">
        <f t="shared" si="20"/>
        <v/>
      </c>
      <c r="P157" s="8" t="str">
        <f t="shared" si="21"/>
        <v/>
      </c>
      <c r="Q157" s="9"/>
      <c r="R157" s="31"/>
      <c r="S157" s="8" t="str">
        <f t="shared" si="22"/>
        <v/>
      </c>
      <c r="T157" s="8" t="str">
        <f t="shared" si="23"/>
        <v/>
      </c>
      <c r="U157" s="8">
        <f>IF(T157="",0,IF(SUMPRODUCT(--(T$4:T157=T157))&gt;1,1,0))</f>
        <v>0</v>
      </c>
      <c r="V157" s="8">
        <f>IF(OR(T157="",U157=1,B157="",K157&lt;&gt;"نعم"),0,IF(COUNTIFS(B$4:B157,B157,K$4:K157,"نعم",U$4:U157,0)=1,1,0))</f>
        <v>0</v>
      </c>
    </row>
    <row r="158" spans="1:22" x14ac:dyDescent="0.25">
      <c r="A158" s="8">
        <v>155</v>
      </c>
      <c r="B158" s="9"/>
      <c r="C158" s="33" t="str">
        <f t="shared" si="16"/>
        <v/>
      </c>
      <c r="D158" s="31"/>
      <c r="E158" s="31"/>
      <c r="F158" s="11"/>
      <c r="G158" s="11"/>
      <c r="H158" s="11"/>
      <c r="I158" s="9"/>
      <c r="J158" s="12" t="str">
        <f t="shared" si="17"/>
        <v/>
      </c>
      <c r="K158" s="9"/>
      <c r="L158" s="12" t="str">
        <f t="shared" si="18"/>
        <v/>
      </c>
      <c r="M158" s="11"/>
      <c r="N158" s="12" t="str">
        <f t="shared" si="19"/>
        <v/>
      </c>
      <c r="O158" s="12" t="str">
        <f t="shared" si="20"/>
        <v/>
      </c>
      <c r="P158" s="8" t="str">
        <f t="shared" si="21"/>
        <v/>
      </c>
      <c r="Q158" s="9"/>
      <c r="R158" s="31"/>
      <c r="S158" s="8" t="str">
        <f t="shared" si="22"/>
        <v/>
      </c>
      <c r="T158" s="8" t="str">
        <f t="shared" si="23"/>
        <v/>
      </c>
      <c r="U158" s="8">
        <f>IF(T158="",0,IF(SUMPRODUCT(--(T$4:T158=T158))&gt;1,1,0))</f>
        <v>0</v>
      </c>
      <c r="V158" s="8">
        <f>IF(OR(T158="",U158=1,B158="",K158&lt;&gt;"نعم"),0,IF(COUNTIFS(B$4:B158,B158,K$4:K158,"نعم",U$4:U158,0)=1,1,0))</f>
        <v>0</v>
      </c>
    </row>
    <row r="159" spans="1:22" x14ac:dyDescent="0.25">
      <c r="A159" s="8">
        <v>156</v>
      </c>
      <c r="B159" s="9"/>
      <c r="C159" s="33" t="str">
        <f t="shared" si="16"/>
        <v/>
      </c>
      <c r="D159" s="31"/>
      <c r="E159" s="31"/>
      <c r="F159" s="11"/>
      <c r="G159" s="11"/>
      <c r="H159" s="11"/>
      <c r="I159" s="9"/>
      <c r="J159" s="12" t="str">
        <f t="shared" si="17"/>
        <v/>
      </c>
      <c r="K159" s="9"/>
      <c r="L159" s="12" t="str">
        <f t="shared" si="18"/>
        <v/>
      </c>
      <c r="M159" s="11"/>
      <c r="N159" s="12" t="str">
        <f t="shared" si="19"/>
        <v/>
      </c>
      <c r="O159" s="12" t="str">
        <f t="shared" si="20"/>
        <v/>
      </c>
      <c r="P159" s="8" t="str">
        <f t="shared" si="21"/>
        <v/>
      </c>
      <c r="Q159" s="9"/>
      <c r="R159" s="31"/>
      <c r="S159" s="8" t="str">
        <f t="shared" si="22"/>
        <v/>
      </c>
      <c r="T159" s="8" t="str">
        <f t="shared" si="23"/>
        <v/>
      </c>
      <c r="U159" s="8">
        <f>IF(T159="",0,IF(SUMPRODUCT(--(T$4:T159=T159))&gt;1,1,0))</f>
        <v>0</v>
      </c>
      <c r="V159" s="8">
        <f>IF(OR(T159="",U159=1,B159="",K159&lt;&gt;"نعم"),0,IF(COUNTIFS(B$4:B159,B159,K$4:K159,"نعم",U$4:U159,0)=1,1,0))</f>
        <v>0</v>
      </c>
    </row>
    <row r="160" spans="1:22" x14ac:dyDescent="0.25">
      <c r="A160" s="8">
        <v>157</v>
      </c>
      <c r="B160" s="9"/>
      <c r="C160" s="33" t="str">
        <f t="shared" si="16"/>
        <v/>
      </c>
      <c r="D160" s="31"/>
      <c r="E160" s="31"/>
      <c r="F160" s="11"/>
      <c r="G160" s="11"/>
      <c r="H160" s="11"/>
      <c r="I160" s="9"/>
      <c r="J160" s="12" t="str">
        <f t="shared" si="17"/>
        <v/>
      </c>
      <c r="K160" s="9"/>
      <c r="L160" s="12" t="str">
        <f t="shared" si="18"/>
        <v/>
      </c>
      <c r="M160" s="11"/>
      <c r="N160" s="12" t="str">
        <f t="shared" si="19"/>
        <v/>
      </c>
      <c r="O160" s="12" t="str">
        <f t="shared" si="20"/>
        <v/>
      </c>
      <c r="P160" s="8" t="str">
        <f t="shared" si="21"/>
        <v/>
      </c>
      <c r="Q160" s="9"/>
      <c r="R160" s="31"/>
      <c r="S160" s="8" t="str">
        <f t="shared" si="22"/>
        <v/>
      </c>
      <c r="T160" s="8" t="str">
        <f t="shared" si="23"/>
        <v/>
      </c>
      <c r="U160" s="8">
        <f>IF(T160="",0,IF(SUMPRODUCT(--(T$4:T160=T160))&gt;1,1,0))</f>
        <v>0</v>
      </c>
      <c r="V160" s="8">
        <f>IF(OR(T160="",U160=1,B160="",K160&lt;&gt;"نعم"),0,IF(COUNTIFS(B$4:B160,B160,K$4:K160,"نعم",U$4:U160,0)=1,1,0))</f>
        <v>0</v>
      </c>
    </row>
    <row r="161" spans="1:22" x14ac:dyDescent="0.25">
      <c r="A161" s="8">
        <v>158</v>
      </c>
      <c r="B161" s="9"/>
      <c r="C161" s="33" t="str">
        <f t="shared" si="16"/>
        <v/>
      </c>
      <c r="D161" s="31"/>
      <c r="E161" s="31"/>
      <c r="F161" s="11"/>
      <c r="G161" s="11"/>
      <c r="H161" s="11"/>
      <c r="I161" s="9"/>
      <c r="J161" s="12" t="str">
        <f t="shared" si="17"/>
        <v/>
      </c>
      <c r="K161" s="9"/>
      <c r="L161" s="12" t="str">
        <f t="shared" si="18"/>
        <v/>
      </c>
      <c r="M161" s="11"/>
      <c r="N161" s="12" t="str">
        <f t="shared" si="19"/>
        <v/>
      </c>
      <c r="O161" s="12" t="str">
        <f t="shared" si="20"/>
        <v/>
      </c>
      <c r="P161" s="8" t="str">
        <f t="shared" si="21"/>
        <v/>
      </c>
      <c r="Q161" s="9"/>
      <c r="R161" s="31"/>
      <c r="S161" s="8" t="str">
        <f t="shared" si="22"/>
        <v/>
      </c>
      <c r="T161" s="8" t="str">
        <f t="shared" si="23"/>
        <v/>
      </c>
      <c r="U161" s="8">
        <f>IF(T161="",0,IF(SUMPRODUCT(--(T$4:T161=T161))&gt;1,1,0))</f>
        <v>0</v>
      </c>
      <c r="V161" s="8">
        <f>IF(OR(T161="",U161=1,B161="",K161&lt;&gt;"نعم"),0,IF(COUNTIFS(B$4:B161,B161,K$4:K161,"نعم",U$4:U161,0)=1,1,0))</f>
        <v>0</v>
      </c>
    </row>
    <row r="162" spans="1:22" x14ac:dyDescent="0.25">
      <c r="A162" s="8">
        <v>159</v>
      </c>
      <c r="B162" s="9"/>
      <c r="C162" s="33" t="str">
        <f t="shared" si="16"/>
        <v/>
      </c>
      <c r="D162" s="31"/>
      <c r="E162" s="31"/>
      <c r="F162" s="11"/>
      <c r="G162" s="11"/>
      <c r="H162" s="11"/>
      <c r="I162" s="9"/>
      <c r="J162" s="12" t="str">
        <f t="shared" si="17"/>
        <v/>
      </c>
      <c r="K162" s="9"/>
      <c r="L162" s="12" t="str">
        <f t="shared" si="18"/>
        <v/>
      </c>
      <c r="M162" s="11"/>
      <c r="N162" s="12" t="str">
        <f t="shared" si="19"/>
        <v/>
      </c>
      <c r="O162" s="12" t="str">
        <f t="shared" si="20"/>
        <v/>
      </c>
      <c r="P162" s="8" t="str">
        <f t="shared" si="21"/>
        <v/>
      </c>
      <c r="Q162" s="9"/>
      <c r="R162" s="31"/>
      <c r="S162" s="8" t="str">
        <f t="shared" si="22"/>
        <v/>
      </c>
      <c r="T162" s="8" t="str">
        <f t="shared" si="23"/>
        <v/>
      </c>
      <c r="U162" s="8">
        <f>IF(T162="",0,IF(SUMPRODUCT(--(T$4:T162=T162))&gt;1,1,0))</f>
        <v>0</v>
      </c>
      <c r="V162" s="8">
        <f>IF(OR(T162="",U162=1,B162="",K162&lt;&gt;"نعم"),0,IF(COUNTIFS(B$4:B162,B162,K$4:K162,"نعم",U$4:U162,0)=1,1,0))</f>
        <v>0</v>
      </c>
    </row>
    <row r="163" spans="1:22" x14ac:dyDescent="0.25">
      <c r="A163" s="8">
        <v>160</v>
      </c>
      <c r="B163" s="9"/>
      <c r="C163" s="33" t="str">
        <f t="shared" si="16"/>
        <v/>
      </c>
      <c r="D163" s="31"/>
      <c r="E163" s="31"/>
      <c r="F163" s="11"/>
      <c r="G163" s="11"/>
      <c r="H163" s="11"/>
      <c r="I163" s="9"/>
      <c r="J163" s="12" t="str">
        <f t="shared" si="17"/>
        <v/>
      </c>
      <c r="K163" s="9"/>
      <c r="L163" s="12" t="str">
        <f t="shared" si="18"/>
        <v/>
      </c>
      <c r="M163" s="11"/>
      <c r="N163" s="12" t="str">
        <f t="shared" si="19"/>
        <v/>
      </c>
      <c r="O163" s="12" t="str">
        <f t="shared" si="20"/>
        <v/>
      </c>
      <c r="P163" s="8" t="str">
        <f t="shared" si="21"/>
        <v/>
      </c>
      <c r="Q163" s="9"/>
      <c r="R163" s="31"/>
      <c r="S163" s="8" t="str">
        <f t="shared" si="22"/>
        <v/>
      </c>
      <c r="T163" s="8" t="str">
        <f t="shared" si="23"/>
        <v/>
      </c>
      <c r="U163" s="8">
        <f>IF(T163="",0,IF(SUMPRODUCT(--(T$4:T163=T163))&gt;1,1,0))</f>
        <v>0</v>
      </c>
      <c r="V163" s="8">
        <f>IF(OR(T163="",U163=1,B163="",K163&lt;&gt;"نعم"),0,IF(COUNTIFS(B$4:B163,B163,K$4:K163,"نعم",U$4:U163,0)=1,1,0))</f>
        <v>0</v>
      </c>
    </row>
    <row r="164" spans="1:22" x14ac:dyDescent="0.25">
      <c r="A164" s="8">
        <v>161</v>
      </c>
      <c r="B164" s="9"/>
      <c r="C164" s="33" t="str">
        <f t="shared" si="16"/>
        <v/>
      </c>
      <c r="D164" s="31"/>
      <c r="E164" s="31"/>
      <c r="F164" s="11"/>
      <c r="G164" s="11"/>
      <c r="H164" s="11"/>
      <c r="I164" s="9"/>
      <c r="J164" s="12" t="str">
        <f t="shared" si="17"/>
        <v/>
      </c>
      <c r="K164" s="9"/>
      <c r="L164" s="12" t="str">
        <f t="shared" si="18"/>
        <v/>
      </c>
      <c r="M164" s="11"/>
      <c r="N164" s="12" t="str">
        <f t="shared" si="19"/>
        <v/>
      </c>
      <c r="O164" s="12" t="str">
        <f t="shared" si="20"/>
        <v/>
      </c>
      <c r="P164" s="8" t="str">
        <f t="shared" si="21"/>
        <v/>
      </c>
      <c r="Q164" s="9"/>
      <c r="R164" s="31"/>
      <c r="S164" s="8" t="str">
        <f t="shared" si="22"/>
        <v/>
      </c>
      <c r="T164" s="8" t="str">
        <f t="shared" si="23"/>
        <v/>
      </c>
      <c r="U164" s="8">
        <f>IF(T164="",0,IF(SUMPRODUCT(--(T$4:T164=T164))&gt;1,1,0))</f>
        <v>0</v>
      </c>
      <c r="V164" s="8">
        <f>IF(OR(T164="",U164=1,B164="",K164&lt;&gt;"نعم"),0,IF(COUNTIFS(B$4:B164,B164,K$4:K164,"نعم",U$4:U164,0)=1,1,0))</f>
        <v>0</v>
      </c>
    </row>
    <row r="165" spans="1:22" x14ac:dyDescent="0.25">
      <c r="A165" s="8">
        <v>162</v>
      </c>
      <c r="B165" s="9"/>
      <c r="C165" s="33" t="str">
        <f t="shared" si="16"/>
        <v/>
      </c>
      <c r="D165" s="31"/>
      <c r="E165" s="31"/>
      <c r="F165" s="11"/>
      <c r="G165" s="11"/>
      <c r="H165" s="11"/>
      <c r="I165" s="9"/>
      <c r="J165" s="12" t="str">
        <f t="shared" si="17"/>
        <v/>
      </c>
      <c r="K165" s="9"/>
      <c r="L165" s="12" t="str">
        <f t="shared" si="18"/>
        <v/>
      </c>
      <c r="M165" s="11"/>
      <c r="N165" s="12" t="str">
        <f t="shared" si="19"/>
        <v/>
      </c>
      <c r="O165" s="12" t="str">
        <f t="shared" si="20"/>
        <v/>
      </c>
      <c r="P165" s="8" t="str">
        <f t="shared" si="21"/>
        <v/>
      </c>
      <c r="Q165" s="9"/>
      <c r="R165" s="31"/>
      <c r="S165" s="8" t="str">
        <f t="shared" si="22"/>
        <v/>
      </c>
      <c r="T165" s="8" t="str">
        <f t="shared" si="23"/>
        <v/>
      </c>
      <c r="U165" s="8">
        <f>IF(T165="",0,IF(SUMPRODUCT(--(T$4:T165=T165))&gt;1,1,0))</f>
        <v>0</v>
      </c>
      <c r="V165" s="8">
        <f>IF(OR(T165="",U165=1,B165="",K165&lt;&gt;"نعم"),0,IF(COUNTIFS(B$4:B165,B165,K$4:K165,"نعم",U$4:U165,0)=1,1,0))</f>
        <v>0</v>
      </c>
    </row>
    <row r="166" spans="1:22" x14ac:dyDescent="0.25">
      <c r="A166" s="8">
        <v>163</v>
      </c>
      <c r="B166" s="9"/>
      <c r="C166" s="33" t="str">
        <f t="shared" si="16"/>
        <v/>
      </c>
      <c r="D166" s="31"/>
      <c r="E166" s="31"/>
      <c r="F166" s="11"/>
      <c r="G166" s="11"/>
      <c r="H166" s="11"/>
      <c r="I166" s="9"/>
      <c r="J166" s="12" t="str">
        <f t="shared" si="17"/>
        <v/>
      </c>
      <c r="K166" s="9"/>
      <c r="L166" s="12" t="str">
        <f t="shared" si="18"/>
        <v/>
      </c>
      <c r="M166" s="11"/>
      <c r="N166" s="12" t="str">
        <f t="shared" si="19"/>
        <v/>
      </c>
      <c r="O166" s="12" t="str">
        <f t="shared" si="20"/>
        <v/>
      </c>
      <c r="P166" s="8" t="str">
        <f t="shared" si="21"/>
        <v/>
      </c>
      <c r="Q166" s="9"/>
      <c r="R166" s="31"/>
      <c r="S166" s="8" t="str">
        <f t="shared" si="22"/>
        <v/>
      </c>
      <c r="T166" s="8" t="str">
        <f t="shared" si="23"/>
        <v/>
      </c>
      <c r="U166" s="8">
        <f>IF(T166="",0,IF(SUMPRODUCT(--(T$4:T166=T166))&gt;1,1,0))</f>
        <v>0</v>
      </c>
      <c r="V166" s="8">
        <f>IF(OR(T166="",U166=1,B166="",K166&lt;&gt;"نعم"),0,IF(COUNTIFS(B$4:B166,B166,K$4:K166,"نعم",U$4:U166,0)=1,1,0))</f>
        <v>0</v>
      </c>
    </row>
    <row r="167" spans="1:22" x14ac:dyDescent="0.25">
      <c r="A167" s="8">
        <v>164</v>
      </c>
      <c r="B167" s="9"/>
      <c r="C167" s="33" t="str">
        <f t="shared" si="16"/>
        <v/>
      </c>
      <c r="D167" s="31"/>
      <c r="E167" s="31"/>
      <c r="F167" s="11"/>
      <c r="G167" s="11"/>
      <c r="H167" s="11"/>
      <c r="I167" s="9"/>
      <c r="J167" s="12" t="str">
        <f t="shared" si="17"/>
        <v/>
      </c>
      <c r="K167" s="9"/>
      <c r="L167" s="12" t="str">
        <f t="shared" si="18"/>
        <v/>
      </c>
      <c r="M167" s="11"/>
      <c r="N167" s="12" t="str">
        <f t="shared" si="19"/>
        <v/>
      </c>
      <c r="O167" s="12" t="str">
        <f t="shared" si="20"/>
        <v/>
      </c>
      <c r="P167" s="8" t="str">
        <f t="shared" si="21"/>
        <v/>
      </c>
      <c r="Q167" s="9"/>
      <c r="R167" s="31"/>
      <c r="S167" s="8" t="str">
        <f t="shared" si="22"/>
        <v/>
      </c>
      <c r="T167" s="8" t="str">
        <f t="shared" si="23"/>
        <v/>
      </c>
      <c r="U167" s="8">
        <f>IF(T167="",0,IF(SUMPRODUCT(--(T$4:T167=T167))&gt;1,1,0))</f>
        <v>0</v>
      </c>
      <c r="V167" s="8">
        <f>IF(OR(T167="",U167=1,B167="",K167&lt;&gt;"نعم"),0,IF(COUNTIFS(B$4:B167,B167,K$4:K167,"نعم",U$4:U167,0)=1,1,0))</f>
        <v>0</v>
      </c>
    </row>
    <row r="168" spans="1:22" x14ac:dyDescent="0.25">
      <c r="A168" s="8">
        <v>165</v>
      </c>
      <c r="B168" s="9"/>
      <c r="C168" s="33" t="str">
        <f t="shared" si="16"/>
        <v/>
      </c>
      <c r="D168" s="31"/>
      <c r="E168" s="31"/>
      <c r="F168" s="11"/>
      <c r="G168" s="11"/>
      <c r="H168" s="11"/>
      <c r="I168" s="9"/>
      <c r="J168" s="12" t="str">
        <f t="shared" si="17"/>
        <v/>
      </c>
      <c r="K168" s="9"/>
      <c r="L168" s="12" t="str">
        <f t="shared" si="18"/>
        <v/>
      </c>
      <c r="M168" s="11"/>
      <c r="N168" s="12" t="str">
        <f t="shared" si="19"/>
        <v/>
      </c>
      <c r="O168" s="12" t="str">
        <f t="shared" si="20"/>
        <v/>
      </c>
      <c r="P168" s="8" t="str">
        <f t="shared" si="21"/>
        <v/>
      </c>
      <c r="Q168" s="9"/>
      <c r="R168" s="31"/>
      <c r="S168" s="8" t="str">
        <f t="shared" si="22"/>
        <v/>
      </c>
      <c r="T168" s="8" t="str">
        <f t="shared" si="23"/>
        <v/>
      </c>
      <c r="U168" s="8">
        <f>IF(T168="",0,IF(SUMPRODUCT(--(T$4:T168=T168))&gt;1,1,0))</f>
        <v>0</v>
      </c>
      <c r="V168" s="8">
        <f>IF(OR(T168="",U168=1,B168="",K168&lt;&gt;"نعم"),0,IF(COUNTIFS(B$4:B168,B168,K$4:K168,"نعم",U$4:U168,0)=1,1,0))</f>
        <v>0</v>
      </c>
    </row>
    <row r="169" spans="1:22" x14ac:dyDescent="0.25">
      <c r="A169" s="8">
        <v>166</v>
      </c>
      <c r="B169" s="9"/>
      <c r="C169" s="33" t="str">
        <f t="shared" si="16"/>
        <v/>
      </c>
      <c r="D169" s="31"/>
      <c r="E169" s="31"/>
      <c r="F169" s="11"/>
      <c r="G169" s="11"/>
      <c r="H169" s="11"/>
      <c r="I169" s="9"/>
      <c r="J169" s="12" t="str">
        <f t="shared" si="17"/>
        <v/>
      </c>
      <c r="K169" s="9"/>
      <c r="L169" s="12" t="str">
        <f t="shared" si="18"/>
        <v/>
      </c>
      <c r="M169" s="11"/>
      <c r="N169" s="12" t="str">
        <f t="shared" si="19"/>
        <v/>
      </c>
      <c r="O169" s="12" t="str">
        <f t="shared" si="20"/>
        <v/>
      </c>
      <c r="P169" s="8" t="str">
        <f t="shared" si="21"/>
        <v/>
      </c>
      <c r="Q169" s="9"/>
      <c r="R169" s="31"/>
      <c r="S169" s="8" t="str">
        <f t="shared" si="22"/>
        <v/>
      </c>
      <c r="T169" s="8" t="str">
        <f t="shared" si="23"/>
        <v/>
      </c>
      <c r="U169" s="8">
        <f>IF(T169="",0,IF(SUMPRODUCT(--(T$4:T169=T169))&gt;1,1,0))</f>
        <v>0</v>
      </c>
      <c r="V169" s="8">
        <f>IF(OR(T169="",U169=1,B169="",K169&lt;&gt;"نعم"),0,IF(COUNTIFS(B$4:B169,B169,K$4:K169,"نعم",U$4:U169,0)=1,1,0))</f>
        <v>0</v>
      </c>
    </row>
    <row r="170" spans="1:22" x14ac:dyDescent="0.25">
      <c r="A170" s="8">
        <v>167</v>
      </c>
      <c r="B170" s="9"/>
      <c r="C170" s="33" t="str">
        <f t="shared" si="16"/>
        <v/>
      </c>
      <c r="D170" s="31"/>
      <c r="E170" s="31"/>
      <c r="F170" s="11"/>
      <c r="G170" s="11"/>
      <c r="H170" s="11"/>
      <c r="I170" s="9"/>
      <c r="J170" s="12" t="str">
        <f t="shared" si="17"/>
        <v/>
      </c>
      <c r="K170" s="9"/>
      <c r="L170" s="12" t="str">
        <f t="shared" si="18"/>
        <v/>
      </c>
      <c r="M170" s="11"/>
      <c r="N170" s="12" t="str">
        <f t="shared" si="19"/>
        <v/>
      </c>
      <c r="O170" s="12" t="str">
        <f t="shared" si="20"/>
        <v/>
      </c>
      <c r="P170" s="8" t="str">
        <f t="shared" si="21"/>
        <v/>
      </c>
      <c r="Q170" s="9"/>
      <c r="R170" s="31"/>
      <c r="S170" s="8" t="str">
        <f t="shared" si="22"/>
        <v/>
      </c>
      <c r="T170" s="8" t="str">
        <f t="shared" si="23"/>
        <v/>
      </c>
      <c r="U170" s="8">
        <f>IF(T170="",0,IF(SUMPRODUCT(--(T$4:T170=T170))&gt;1,1,0))</f>
        <v>0</v>
      </c>
      <c r="V170" s="8">
        <f>IF(OR(T170="",U170=1,B170="",K170&lt;&gt;"نعم"),0,IF(COUNTIFS(B$4:B170,B170,K$4:K170,"نعم",U$4:U170,0)=1,1,0))</f>
        <v>0</v>
      </c>
    </row>
    <row r="171" spans="1:22" x14ac:dyDescent="0.25">
      <c r="A171" s="8">
        <v>168</v>
      </c>
      <c r="B171" s="9"/>
      <c r="C171" s="33" t="str">
        <f t="shared" si="16"/>
        <v/>
      </c>
      <c r="D171" s="31"/>
      <c r="E171" s="31"/>
      <c r="F171" s="11"/>
      <c r="G171" s="11"/>
      <c r="H171" s="11"/>
      <c r="I171" s="9"/>
      <c r="J171" s="12" t="str">
        <f t="shared" si="17"/>
        <v/>
      </c>
      <c r="K171" s="9"/>
      <c r="L171" s="12" t="str">
        <f t="shared" si="18"/>
        <v/>
      </c>
      <c r="M171" s="11"/>
      <c r="N171" s="12" t="str">
        <f t="shared" si="19"/>
        <v/>
      </c>
      <c r="O171" s="12" t="str">
        <f t="shared" si="20"/>
        <v/>
      </c>
      <c r="P171" s="8" t="str">
        <f t="shared" si="21"/>
        <v/>
      </c>
      <c r="Q171" s="9"/>
      <c r="R171" s="31"/>
      <c r="S171" s="8" t="str">
        <f t="shared" si="22"/>
        <v/>
      </c>
      <c r="T171" s="8" t="str">
        <f t="shared" si="23"/>
        <v/>
      </c>
      <c r="U171" s="8">
        <f>IF(T171="",0,IF(SUMPRODUCT(--(T$4:T171=T171))&gt;1,1,0))</f>
        <v>0</v>
      </c>
      <c r="V171" s="8">
        <f>IF(OR(T171="",U171=1,B171="",K171&lt;&gt;"نعم"),0,IF(COUNTIFS(B$4:B171,B171,K$4:K171,"نعم",U$4:U171,0)=1,1,0))</f>
        <v>0</v>
      </c>
    </row>
    <row r="172" spans="1:22" x14ac:dyDescent="0.25">
      <c r="A172" s="8">
        <v>169</v>
      </c>
      <c r="B172" s="9"/>
      <c r="C172" s="33" t="str">
        <f t="shared" si="16"/>
        <v/>
      </c>
      <c r="D172" s="31"/>
      <c r="E172" s="31"/>
      <c r="F172" s="11"/>
      <c r="G172" s="11"/>
      <c r="H172" s="11"/>
      <c r="I172" s="9"/>
      <c r="J172" s="12" t="str">
        <f t="shared" si="17"/>
        <v/>
      </c>
      <c r="K172" s="9"/>
      <c r="L172" s="12" t="str">
        <f t="shared" si="18"/>
        <v/>
      </c>
      <c r="M172" s="11"/>
      <c r="N172" s="12" t="str">
        <f t="shared" si="19"/>
        <v/>
      </c>
      <c r="O172" s="12" t="str">
        <f t="shared" si="20"/>
        <v/>
      </c>
      <c r="P172" s="8" t="str">
        <f t="shared" si="21"/>
        <v/>
      </c>
      <c r="Q172" s="9"/>
      <c r="R172" s="31"/>
      <c r="S172" s="8" t="str">
        <f t="shared" si="22"/>
        <v/>
      </c>
      <c r="T172" s="8" t="str">
        <f t="shared" si="23"/>
        <v/>
      </c>
      <c r="U172" s="8">
        <f>IF(T172="",0,IF(SUMPRODUCT(--(T$4:T172=T172))&gt;1,1,0))</f>
        <v>0</v>
      </c>
      <c r="V172" s="8">
        <f>IF(OR(T172="",U172=1,B172="",K172&lt;&gt;"نعم"),0,IF(COUNTIFS(B$4:B172,B172,K$4:K172,"نعم",U$4:U172,0)=1,1,0))</f>
        <v>0</v>
      </c>
    </row>
    <row r="173" spans="1:22" x14ac:dyDescent="0.25">
      <c r="A173" s="8">
        <v>170</v>
      </c>
      <c r="B173" s="9"/>
      <c r="C173" s="33" t="str">
        <f t="shared" si="16"/>
        <v/>
      </c>
      <c r="D173" s="31"/>
      <c r="E173" s="31"/>
      <c r="F173" s="11"/>
      <c r="G173" s="11"/>
      <c r="H173" s="11"/>
      <c r="I173" s="9"/>
      <c r="J173" s="12" t="str">
        <f t="shared" si="17"/>
        <v/>
      </c>
      <c r="K173" s="9"/>
      <c r="L173" s="12" t="str">
        <f t="shared" si="18"/>
        <v/>
      </c>
      <c r="M173" s="11"/>
      <c r="N173" s="12" t="str">
        <f t="shared" si="19"/>
        <v/>
      </c>
      <c r="O173" s="12" t="str">
        <f t="shared" si="20"/>
        <v/>
      </c>
      <c r="P173" s="8" t="str">
        <f t="shared" si="21"/>
        <v/>
      </c>
      <c r="Q173" s="9"/>
      <c r="R173" s="31"/>
      <c r="S173" s="8" t="str">
        <f t="shared" si="22"/>
        <v/>
      </c>
      <c r="T173" s="8" t="str">
        <f t="shared" si="23"/>
        <v/>
      </c>
      <c r="U173" s="8">
        <f>IF(T173="",0,IF(SUMPRODUCT(--(T$4:T173=T173))&gt;1,1,0))</f>
        <v>0</v>
      </c>
      <c r="V173" s="8">
        <f>IF(OR(T173="",U173=1,B173="",K173&lt;&gt;"نعم"),0,IF(COUNTIFS(B$4:B173,B173,K$4:K173,"نعم",U$4:U173,0)=1,1,0))</f>
        <v>0</v>
      </c>
    </row>
    <row r="174" spans="1:22" x14ac:dyDescent="0.25">
      <c r="A174" s="8">
        <v>171</v>
      </c>
      <c r="B174" s="9"/>
      <c r="C174" s="33" t="str">
        <f t="shared" si="16"/>
        <v/>
      </c>
      <c r="D174" s="31"/>
      <c r="E174" s="31"/>
      <c r="F174" s="11"/>
      <c r="G174" s="11"/>
      <c r="H174" s="11"/>
      <c r="I174" s="9"/>
      <c r="J174" s="12" t="str">
        <f t="shared" si="17"/>
        <v/>
      </c>
      <c r="K174" s="9"/>
      <c r="L174" s="12" t="str">
        <f t="shared" si="18"/>
        <v/>
      </c>
      <c r="M174" s="11"/>
      <c r="N174" s="12" t="str">
        <f t="shared" si="19"/>
        <v/>
      </c>
      <c r="O174" s="12" t="str">
        <f t="shared" si="20"/>
        <v/>
      </c>
      <c r="P174" s="8" t="str">
        <f t="shared" si="21"/>
        <v/>
      </c>
      <c r="Q174" s="9"/>
      <c r="R174" s="31"/>
      <c r="S174" s="8" t="str">
        <f t="shared" si="22"/>
        <v/>
      </c>
      <c r="T174" s="8" t="str">
        <f t="shared" si="23"/>
        <v/>
      </c>
      <c r="U174" s="8">
        <f>IF(T174="",0,IF(SUMPRODUCT(--(T$4:T174=T174))&gt;1,1,0))</f>
        <v>0</v>
      </c>
      <c r="V174" s="8">
        <f>IF(OR(T174="",U174=1,B174="",K174&lt;&gt;"نعم"),0,IF(COUNTIFS(B$4:B174,B174,K$4:K174,"نعم",U$4:U174,0)=1,1,0))</f>
        <v>0</v>
      </c>
    </row>
    <row r="175" spans="1:22" x14ac:dyDescent="0.25">
      <c r="A175" s="8">
        <v>172</v>
      </c>
      <c r="B175" s="9"/>
      <c r="C175" s="33" t="str">
        <f t="shared" si="16"/>
        <v/>
      </c>
      <c r="D175" s="31"/>
      <c r="E175" s="31"/>
      <c r="F175" s="11"/>
      <c r="G175" s="11"/>
      <c r="H175" s="11"/>
      <c r="I175" s="9"/>
      <c r="J175" s="12" t="str">
        <f t="shared" si="17"/>
        <v/>
      </c>
      <c r="K175" s="9"/>
      <c r="L175" s="12" t="str">
        <f t="shared" si="18"/>
        <v/>
      </c>
      <c r="M175" s="11"/>
      <c r="N175" s="12" t="str">
        <f t="shared" si="19"/>
        <v/>
      </c>
      <c r="O175" s="12" t="str">
        <f t="shared" si="20"/>
        <v/>
      </c>
      <c r="P175" s="8" t="str">
        <f t="shared" si="21"/>
        <v/>
      </c>
      <c r="Q175" s="9"/>
      <c r="R175" s="31"/>
      <c r="S175" s="8" t="str">
        <f t="shared" si="22"/>
        <v/>
      </c>
      <c r="T175" s="8" t="str">
        <f t="shared" si="23"/>
        <v/>
      </c>
      <c r="U175" s="8">
        <f>IF(T175="",0,IF(SUMPRODUCT(--(T$4:T175=T175))&gt;1,1,0))</f>
        <v>0</v>
      </c>
      <c r="V175" s="8">
        <f>IF(OR(T175="",U175=1,B175="",K175&lt;&gt;"نعم"),0,IF(COUNTIFS(B$4:B175,B175,K$4:K175,"نعم",U$4:U175,0)=1,1,0))</f>
        <v>0</v>
      </c>
    </row>
    <row r="176" spans="1:22" x14ac:dyDescent="0.25">
      <c r="A176" s="8">
        <v>173</v>
      </c>
      <c r="B176" s="9"/>
      <c r="C176" s="33" t="str">
        <f t="shared" si="16"/>
        <v/>
      </c>
      <c r="D176" s="31"/>
      <c r="E176" s="31"/>
      <c r="F176" s="11"/>
      <c r="G176" s="11"/>
      <c r="H176" s="11"/>
      <c r="I176" s="9"/>
      <c r="J176" s="12" t="str">
        <f t="shared" si="17"/>
        <v/>
      </c>
      <c r="K176" s="9"/>
      <c r="L176" s="12" t="str">
        <f t="shared" si="18"/>
        <v/>
      </c>
      <c r="M176" s="11"/>
      <c r="N176" s="12" t="str">
        <f t="shared" si="19"/>
        <v/>
      </c>
      <c r="O176" s="12" t="str">
        <f t="shared" si="20"/>
        <v/>
      </c>
      <c r="P176" s="8" t="str">
        <f t="shared" si="21"/>
        <v/>
      </c>
      <c r="Q176" s="9"/>
      <c r="R176" s="31"/>
      <c r="S176" s="8" t="str">
        <f t="shared" si="22"/>
        <v/>
      </c>
      <c r="T176" s="8" t="str">
        <f t="shared" si="23"/>
        <v/>
      </c>
      <c r="U176" s="8">
        <f>IF(T176="",0,IF(SUMPRODUCT(--(T$4:T176=T176))&gt;1,1,0))</f>
        <v>0</v>
      </c>
      <c r="V176" s="8">
        <f>IF(OR(T176="",U176=1,B176="",K176&lt;&gt;"نعم"),0,IF(COUNTIFS(B$4:B176,B176,K$4:K176,"نعم",U$4:U176,0)=1,1,0))</f>
        <v>0</v>
      </c>
    </row>
    <row r="177" spans="1:22" x14ac:dyDescent="0.25">
      <c r="A177" s="8">
        <v>174</v>
      </c>
      <c r="B177" s="9"/>
      <c r="C177" s="33" t="str">
        <f t="shared" si="16"/>
        <v/>
      </c>
      <c r="D177" s="31"/>
      <c r="E177" s="31"/>
      <c r="F177" s="11"/>
      <c r="G177" s="11"/>
      <c r="H177" s="11"/>
      <c r="I177" s="9"/>
      <c r="J177" s="12" t="str">
        <f t="shared" si="17"/>
        <v/>
      </c>
      <c r="K177" s="9"/>
      <c r="L177" s="12" t="str">
        <f t="shared" si="18"/>
        <v/>
      </c>
      <c r="M177" s="11"/>
      <c r="N177" s="12" t="str">
        <f t="shared" si="19"/>
        <v/>
      </c>
      <c r="O177" s="12" t="str">
        <f t="shared" si="20"/>
        <v/>
      </c>
      <c r="P177" s="8" t="str">
        <f t="shared" si="21"/>
        <v/>
      </c>
      <c r="Q177" s="9"/>
      <c r="R177" s="31"/>
      <c r="S177" s="8" t="str">
        <f t="shared" si="22"/>
        <v/>
      </c>
      <c r="T177" s="8" t="str">
        <f t="shared" si="23"/>
        <v/>
      </c>
      <c r="U177" s="8">
        <f>IF(T177="",0,IF(SUMPRODUCT(--(T$4:T177=T177))&gt;1,1,0))</f>
        <v>0</v>
      </c>
      <c r="V177" s="8">
        <f>IF(OR(T177="",U177=1,B177="",K177&lt;&gt;"نعم"),0,IF(COUNTIFS(B$4:B177,B177,K$4:K177,"نعم",U$4:U177,0)=1,1,0))</f>
        <v>0</v>
      </c>
    </row>
    <row r="178" spans="1:22" x14ac:dyDescent="0.25">
      <c r="A178" s="8">
        <v>175</v>
      </c>
      <c r="B178" s="9"/>
      <c r="C178" s="33" t="str">
        <f t="shared" si="16"/>
        <v/>
      </c>
      <c r="D178" s="31"/>
      <c r="E178" s="31"/>
      <c r="F178" s="11"/>
      <c r="G178" s="11"/>
      <c r="H178" s="11"/>
      <c r="I178" s="9"/>
      <c r="J178" s="12" t="str">
        <f t="shared" si="17"/>
        <v/>
      </c>
      <c r="K178" s="9"/>
      <c r="L178" s="12" t="str">
        <f t="shared" si="18"/>
        <v/>
      </c>
      <c r="M178" s="11"/>
      <c r="N178" s="12" t="str">
        <f t="shared" si="19"/>
        <v/>
      </c>
      <c r="O178" s="12" t="str">
        <f t="shared" si="20"/>
        <v/>
      </c>
      <c r="P178" s="8" t="str">
        <f t="shared" si="21"/>
        <v/>
      </c>
      <c r="Q178" s="9"/>
      <c r="R178" s="31"/>
      <c r="S178" s="8" t="str">
        <f t="shared" si="22"/>
        <v/>
      </c>
      <c r="T178" s="8" t="str">
        <f t="shared" si="23"/>
        <v/>
      </c>
      <c r="U178" s="8">
        <f>IF(T178="",0,IF(SUMPRODUCT(--(T$4:T178=T178))&gt;1,1,0))</f>
        <v>0</v>
      </c>
      <c r="V178" s="8">
        <f>IF(OR(T178="",U178=1,B178="",K178&lt;&gt;"نعم"),0,IF(COUNTIFS(B$4:B178,B178,K$4:K178,"نعم",U$4:U178,0)=1,1,0))</f>
        <v>0</v>
      </c>
    </row>
    <row r="179" spans="1:22" x14ac:dyDescent="0.25">
      <c r="A179" s="8">
        <v>176</v>
      </c>
      <c r="B179" s="9"/>
      <c r="C179" s="33" t="str">
        <f t="shared" si="16"/>
        <v/>
      </c>
      <c r="D179" s="31"/>
      <c r="E179" s="31"/>
      <c r="F179" s="11"/>
      <c r="G179" s="11"/>
      <c r="H179" s="11"/>
      <c r="I179" s="9"/>
      <c r="J179" s="12" t="str">
        <f t="shared" si="17"/>
        <v/>
      </c>
      <c r="K179" s="9"/>
      <c r="L179" s="12" t="str">
        <f t="shared" si="18"/>
        <v/>
      </c>
      <c r="M179" s="11"/>
      <c r="N179" s="12" t="str">
        <f t="shared" si="19"/>
        <v/>
      </c>
      <c r="O179" s="12" t="str">
        <f t="shared" si="20"/>
        <v/>
      </c>
      <c r="P179" s="8" t="str">
        <f t="shared" si="21"/>
        <v/>
      </c>
      <c r="Q179" s="9"/>
      <c r="R179" s="31"/>
      <c r="S179" s="8" t="str">
        <f t="shared" si="22"/>
        <v/>
      </c>
      <c r="T179" s="8" t="str">
        <f t="shared" si="23"/>
        <v/>
      </c>
      <c r="U179" s="8">
        <f>IF(T179="",0,IF(SUMPRODUCT(--(T$4:T179=T179))&gt;1,1,0))</f>
        <v>0</v>
      </c>
      <c r="V179" s="8">
        <f>IF(OR(T179="",U179=1,B179="",K179&lt;&gt;"نعم"),0,IF(COUNTIFS(B$4:B179,B179,K$4:K179,"نعم",U$4:U179,0)=1,1,0))</f>
        <v>0</v>
      </c>
    </row>
    <row r="180" spans="1:22" x14ac:dyDescent="0.25">
      <c r="A180" s="8">
        <v>177</v>
      </c>
      <c r="B180" s="9"/>
      <c r="C180" s="33" t="str">
        <f t="shared" si="16"/>
        <v/>
      </c>
      <c r="D180" s="31"/>
      <c r="E180" s="31"/>
      <c r="F180" s="11"/>
      <c r="G180" s="11"/>
      <c r="H180" s="11"/>
      <c r="I180" s="9"/>
      <c r="J180" s="12" t="str">
        <f t="shared" si="17"/>
        <v/>
      </c>
      <c r="K180" s="9"/>
      <c r="L180" s="12" t="str">
        <f t="shared" si="18"/>
        <v/>
      </c>
      <c r="M180" s="11"/>
      <c r="N180" s="12" t="str">
        <f t="shared" si="19"/>
        <v/>
      </c>
      <c r="O180" s="12" t="str">
        <f t="shared" si="20"/>
        <v/>
      </c>
      <c r="P180" s="8" t="str">
        <f t="shared" si="21"/>
        <v/>
      </c>
      <c r="Q180" s="9"/>
      <c r="R180" s="31"/>
      <c r="S180" s="8" t="str">
        <f t="shared" si="22"/>
        <v/>
      </c>
      <c r="T180" s="8" t="str">
        <f t="shared" si="23"/>
        <v/>
      </c>
      <c r="U180" s="8">
        <f>IF(T180="",0,IF(SUMPRODUCT(--(T$4:T180=T180))&gt;1,1,0))</f>
        <v>0</v>
      </c>
      <c r="V180" s="8">
        <f>IF(OR(T180="",U180=1,B180="",K180&lt;&gt;"نعم"),0,IF(COUNTIFS(B$4:B180,B180,K$4:K180,"نعم",U$4:U180,0)=1,1,0))</f>
        <v>0</v>
      </c>
    </row>
    <row r="181" spans="1:22" x14ac:dyDescent="0.25">
      <c r="A181" s="8">
        <v>178</v>
      </c>
      <c r="B181" s="9"/>
      <c r="C181" s="33" t="str">
        <f t="shared" si="16"/>
        <v/>
      </c>
      <c r="D181" s="31"/>
      <c r="E181" s="31"/>
      <c r="F181" s="11"/>
      <c r="G181" s="11"/>
      <c r="H181" s="11"/>
      <c r="I181" s="9"/>
      <c r="J181" s="12" t="str">
        <f t="shared" si="17"/>
        <v/>
      </c>
      <c r="K181" s="9"/>
      <c r="L181" s="12" t="str">
        <f t="shared" si="18"/>
        <v/>
      </c>
      <c r="M181" s="11"/>
      <c r="N181" s="12" t="str">
        <f t="shared" si="19"/>
        <v/>
      </c>
      <c r="O181" s="12" t="str">
        <f t="shared" si="20"/>
        <v/>
      </c>
      <c r="P181" s="8" t="str">
        <f t="shared" si="21"/>
        <v/>
      </c>
      <c r="Q181" s="9"/>
      <c r="R181" s="31"/>
      <c r="S181" s="8" t="str">
        <f t="shared" si="22"/>
        <v/>
      </c>
      <c r="T181" s="8" t="str">
        <f t="shared" si="23"/>
        <v/>
      </c>
      <c r="U181" s="8">
        <f>IF(T181="",0,IF(SUMPRODUCT(--(T$4:T181=T181))&gt;1,1,0))</f>
        <v>0</v>
      </c>
      <c r="V181" s="8">
        <f>IF(OR(T181="",U181=1,B181="",K181&lt;&gt;"نعم"),0,IF(COUNTIFS(B$4:B181,B181,K$4:K181,"نعم",U$4:U181,0)=1,1,0))</f>
        <v>0</v>
      </c>
    </row>
    <row r="182" spans="1:22" x14ac:dyDescent="0.25">
      <c r="A182" s="8">
        <v>179</v>
      </c>
      <c r="B182" s="9"/>
      <c r="C182" s="33" t="str">
        <f t="shared" si="16"/>
        <v/>
      </c>
      <c r="D182" s="31"/>
      <c r="E182" s="31"/>
      <c r="F182" s="11"/>
      <c r="G182" s="11"/>
      <c r="H182" s="11"/>
      <c r="I182" s="9"/>
      <c r="J182" s="12" t="str">
        <f t="shared" si="17"/>
        <v/>
      </c>
      <c r="K182" s="9"/>
      <c r="L182" s="12" t="str">
        <f t="shared" si="18"/>
        <v/>
      </c>
      <c r="M182" s="11"/>
      <c r="N182" s="12" t="str">
        <f t="shared" si="19"/>
        <v/>
      </c>
      <c r="O182" s="12" t="str">
        <f t="shared" si="20"/>
        <v/>
      </c>
      <c r="P182" s="8" t="str">
        <f t="shared" si="21"/>
        <v/>
      </c>
      <c r="Q182" s="9"/>
      <c r="R182" s="31"/>
      <c r="S182" s="8" t="str">
        <f t="shared" si="22"/>
        <v/>
      </c>
      <c r="T182" s="8" t="str">
        <f t="shared" si="23"/>
        <v/>
      </c>
      <c r="U182" s="8">
        <f>IF(T182="",0,IF(SUMPRODUCT(--(T$4:T182=T182))&gt;1,1,0))</f>
        <v>0</v>
      </c>
      <c r="V182" s="8">
        <f>IF(OR(T182="",U182=1,B182="",K182&lt;&gt;"نعم"),0,IF(COUNTIFS(B$4:B182,B182,K$4:K182,"نعم",U$4:U182,0)=1,1,0))</f>
        <v>0</v>
      </c>
    </row>
    <row r="183" spans="1:22" x14ac:dyDescent="0.25">
      <c r="A183" s="8">
        <v>180</v>
      </c>
      <c r="B183" s="9"/>
      <c r="C183" s="33" t="str">
        <f t="shared" si="16"/>
        <v/>
      </c>
      <c r="D183" s="31"/>
      <c r="E183" s="31"/>
      <c r="F183" s="11"/>
      <c r="G183" s="11"/>
      <c r="H183" s="11"/>
      <c r="I183" s="9"/>
      <c r="J183" s="12" t="str">
        <f t="shared" si="17"/>
        <v/>
      </c>
      <c r="K183" s="9"/>
      <c r="L183" s="12" t="str">
        <f t="shared" si="18"/>
        <v/>
      </c>
      <c r="M183" s="11"/>
      <c r="N183" s="12" t="str">
        <f t="shared" si="19"/>
        <v/>
      </c>
      <c r="O183" s="12" t="str">
        <f t="shared" si="20"/>
        <v/>
      </c>
      <c r="P183" s="8" t="str">
        <f t="shared" si="21"/>
        <v/>
      </c>
      <c r="Q183" s="9"/>
      <c r="R183" s="31"/>
      <c r="S183" s="8" t="str">
        <f t="shared" si="22"/>
        <v/>
      </c>
      <c r="T183" s="8" t="str">
        <f t="shared" si="23"/>
        <v/>
      </c>
      <c r="U183" s="8">
        <f>IF(T183="",0,IF(SUMPRODUCT(--(T$4:T183=T183))&gt;1,1,0))</f>
        <v>0</v>
      </c>
      <c r="V183" s="8">
        <f>IF(OR(T183="",U183=1,B183="",K183&lt;&gt;"نعم"),0,IF(COUNTIFS(B$4:B183,B183,K$4:K183,"نعم",U$4:U183,0)=1,1,0))</f>
        <v>0</v>
      </c>
    </row>
    <row r="184" spans="1:22" x14ac:dyDescent="0.25">
      <c r="A184" s="8">
        <v>181</v>
      </c>
      <c r="B184" s="9"/>
      <c r="C184" s="33" t="str">
        <f t="shared" si="16"/>
        <v/>
      </c>
      <c r="D184" s="31"/>
      <c r="E184" s="31"/>
      <c r="F184" s="11"/>
      <c r="G184" s="11"/>
      <c r="H184" s="11"/>
      <c r="I184" s="9"/>
      <c r="J184" s="12" t="str">
        <f t="shared" si="17"/>
        <v/>
      </c>
      <c r="K184" s="9"/>
      <c r="L184" s="12" t="str">
        <f t="shared" si="18"/>
        <v/>
      </c>
      <c r="M184" s="11"/>
      <c r="N184" s="12" t="str">
        <f t="shared" si="19"/>
        <v/>
      </c>
      <c r="O184" s="12" t="str">
        <f t="shared" si="20"/>
        <v/>
      </c>
      <c r="P184" s="8" t="str">
        <f t="shared" si="21"/>
        <v/>
      </c>
      <c r="Q184" s="9"/>
      <c r="R184" s="31"/>
      <c r="S184" s="8" t="str">
        <f t="shared" si="22"/>
        <v/>
      </c>
      <c r="T184" s="8" t="str">
        <f t="shared" si="23"/>
        <v/>
      </c>
      <c r="U184" s="8">
        <f>IF(T184="",0,IF(SUMPRODUCT(--(T$4:T184=T184))&gt;1,1,0))</f>
        <v>0</v>
      </c>
      <c r="V184" s="8">
        <f>IF(OR(T184="",U184=1,B184="",K184&lt;&gt;"نعم"),0,IF(COUNTIFS(B$4:B184,B184,K$4:K184,"نعم",U$4:U184,0)=1,1,0))</f>
        <v>0</v>
      </c>
    </row>
    <row r="185" spans="1:22" x14ac:dyDescent="0.25">
      <c r="A185" s="8">
        <v>182</v>
      </c>
      <c r="B185" s="9"/>
      <c r="C185" s="33" t="str">
        <f t="shared" si="16"/>
        <v/>
      </c>
      <c r="D185" s="31"/>
      <c r="E185" s="31"/>
      <c r="F185" s="11"/>
      <c r="G185" s="11"/>
      <c r="H185" s="11"/>
      <c r="I185" s="9"/>
      <c r="J185" s="12" t="str">
        <f t="shared" si="17"/>
        <v/>
      </c>
      <c r="K185" s="9"/>
      <c r="L185" s="12" t="str">
        <f t="shared" si="18"/>
        <v/>
      </c>
      <c r="M185" s="11"/>
      <c r="N185" s="12" t="str">
        <f t="shared" si="19"/>
        <v/>
      </c>
      <c r="O185" s="12" t="str">
        <f t="shared" si="20"/>
        <v/>
      </c>
      <c r="P185" s="8" t="str">
        <f t="shared" si="21"/>
        <v/>
      </c>
      <c r="Q185" s="9"/>
      <c r="R185" s="31"/>
      <c r="S185" s="8" t="str">
        <f t="shared" si="22"/>
        <v/>
      </c>
      <c r="T185" s="8" t="str">
        <f t="shared" si="23"/>
        <v/>
      </c>
      <c r="U185" s="8">
        <f>IF(T185="",0,IF(SUMPRODUCT(--(T$4:T185=T185))&gt;1,1,0))</f>
        <v>0</v>
      </c>
      <c r="V185" s="8">
        <f>IF(OR(T185="",U185=1,B185="",K185&lt;&gt;"نعم"),0,IF(COUNTIFS(B$4:B185,B185,K$4:K185,"نعم",U$4:U185,0)=1,1,0))</f>
        <v>0</v>
      </c>
    </row>
    <row r="186" spans="1:22" x14ac:dyDescent="0.25">
      <c r="A186" s="8">
        <v>183</v>
      </c>
      <c r="B186" s="9"/>
      <c r="C186" s="33" t="str">
        <f t="shared" si="16"/>
        <v/>
      </c>
      <c r="D186" s="31"/>
      <c r="E186" s="31"/>
      <c r="F186" s="11"/>
      <c r="G186" s="11"/>
      <c r="H186" s="11"/>
      <c r="I186" s="9"/>
      <c r="J186" s="12" t="str">
        <f t="shared" si="17"/>
        <v/>
      </c>
      <c r="K186" s="9"/>
      <c r="L186" s="12" t="str">
        <f t="shared" si="18"/>
        <v/>
      </c>
      <c r="M186" s="11"/>
      <c r="N186" s="12" t="str">
        <f t="shared" si="19"/>
        <v/>
      </c>
      <c r="O186" s="12" t="str">
        <f t="shared" si="20"/>
        <v/>
      </c>
      <c r="P186" s="8" t="str">
        <f t="shared" si="21"/>
        <v/>
      </c>
      <c r="Q186" s="9"/>
      <c r="R186" s="31"/>
      <c r="S186" s="8" t="str">
        <f t="shared" si="22"/>
        <v/>
      </c>
      <c r="T186" s="8" t="str">
        <f t="shared" si="23"/>
        <v/>
      </c>
      <c r="U186" s="8">
        <f>IF(T186="",0,IF(SUMPRODUCT(--(T$4:T186=T186))&gt;1,1,0))</f>
        <v>0</v>
      </c>
      <c r="V186" s="8">
        <f>IF(OR(T186="",U186=1,B186="",K186&lt;&gt;"نعم"),0,IF(COUNTIFS(B$4:B186,B186,K$4:K186,"نعم",U$4:U186,0)=1,1,0))</f>
        <v>0</v>
      </c>
    </row>
    <row r="187" spans="1:22" x14ac:dyDescent="0.25">
      <c r="A187" s="8">
        <v>184</v>
      </c>
      <c r="B187" s="9"/>
      <c r="C187" s="33" t="str">
        <f t="shared" si="16"/>
        <v/>
      </c>
      <c r="D187" s="31"/>
      <c r="E187" s="31"/>
      <c r="F187" s="11"/>
      <c r="G187" s="11"/>
      <c r="H187" s="11"/>
      <c r="I187" s="9"/>
      <c r="J187" s="12" t="str">
        <f t="shared" si="17"/>
        <v/>
      </c>
      <c r="K187" s="9"/>
      <c r="L187" s="12" t="str">
        <f t="shared" si="18"/>
        <v/>
      </c>
      <c r="M187" s="11"/>
      <c r="N187" s="12" t="str">
        <f t="shared" si="19"/>
        <v/>
      </c>
      <c r="O187" s="12" t="str">
        <f t="shared" si="20"/>
        <v/>
      </c>
      <c r="P187" s="8" t="str">
        <f t="shared" si="21"/>
        <v/>
      </c>
      <c r="Q187" s="9"/>
      <c r="R187" s="31"/>
      <c r="S187" s="8" t="str">
        <f t="shared" si="22"/>
        <v/>
      </c>
      <c r="T187" s="8" t="str">
        <f t="shared" si="23"/>
        <v/>
      </c>
      <c r="U187" s="8">
        <f>IF(T187="",0,IF(SUMPRODUCT(--(T$4:T187=T187))&gt;1,1,0))</f>
        <v>0</v>
      </c>
      <c r="V187" s="8">
        <f>IF(OR(T187="",U187=1,B187="",K187&lt;&gt;"نعم"),0,IF(COUNTIFS(B$4:B187,B187,K$4:K187,"نعم",U$4:U187,0)=1,1,0))</f>
        <v>0</v>
      </c>
    </row>
    <row r="188" spans="1:22" x14ac:dyDescent="0.25">
      <c r="A188" s="8">
        <v>185</v>
      </c>
      <c r="B188" s="9"/>
      <c r="C188" s="33" t="str">
        <f t="shared" si="16"/>
        <v/>
      </c>
      <c r="D188" s="31"/>
      <c r="E188" s="31"/>
      <c r="F188" s="11"/>
      <c r="G188" s="11"/>
      <c r="H188" s="11"/>
      <c r="I188" s="9"/>
      <c r="J188" s="12" t="str">
        <f t="shared" si="17"/>
        <v/>
      </c>
      <c r="K188" s="9"/>
      <c r="L188" s="12" t="str">
        <f t="shared" si="18"/>
        <v/>
      </c>
      <c r="M188" s="11"/>
      <c r="N188" s="12" t="str">
        <f t="shared" si="19"/>
        <v/>
      </c>
      <c r="O188" s="12" t="str">
        <f t="shared" si="20"/>
        <v/>
      </c>
      <c r="P188" s="8" t="str">
        <f t="shared" si="21"/>
        <v/>
      </c>
      <c r="Q188" s="9"/>
      <c r="R188" s="31"/>
      <c r="S188" s="8" t="str">
        <f t="shared" si="22"/>
        <v/>
      </c>
      <c r="T188" s="8" t="str">
        <f t="shared" si="23"/>
        <v/>
      </c>
      <c r="U188" s="8">
        <f>IF(T188="",0,IF(SUMPRODUCT(--(T$4:T188=T188))&gt;1,1,0))</f>
        <v>0</v>
      </c>
      <c r="V188" s="8">
        <f>IF(OR(T188="",U188=1,B188="",K188&lt;&gt;"نعم"),0,IF(COUNTIFS(B$4:B188,B188,K$4:K188,"نعم",U$4:U188,0)=1,1,0))</f>
        <v>0</v>
      </c>
    </row>
    <row r="189" spans="1:22" x14ac:dyDescent="0.25">
      <c r="A189" s="8">
        <v>186</v>
      </c>
      <c r="B189" s="9"/>
      <c r="C189" s="33" t="str">
        <f t="shared" si="16"/>
        <v/>
      </c>
      <c r="D189" s="31"/>
      <c r="E189" s="31"/>
      <c r="F189" s="11"/>
      <c r="G189" s="11"/>
      <c r="H189" s="11"/>
      <c r="I189" s="9"/>
      <c r="J189" s="12" t="str">
        <f t="shared" si="17"/>
        <v/>
      </c>
      <c r="K189" s="9"/>
      <c r="L189" s="12" t="str">
        <f t="shared" si="18"/>
        <v/>
      </c>
      <c r="M189" s="11"/>
      <c r="N189" s="12" t="str">
        <f t="shared" si="19"/>
        <v/>
      </c>
      <c r="O189" s="12" t="str">
        <f t="shared" si="20"/>
        <v/>
      </c>
      <c r="P189" s="8" t="str">
        <f t="shared" si="21"/>
        <v/>
      </c>
      <c r="Q189" s="9"/>
      <c r="R189" s="31"/>
      <c r="S189" s="8" t="str">
        <f t="shared" si="22"/>
        <v/>
      </c>
      <c r="T189" s="8" t="str">
        <f t="shared" si="23"/>
        <v/>
      </c>
      <c r="U189" s="8">
        <f>IF(T189="",0,IF(SUMPRODUCT(--(T$4:T189=T189))&gt;1,1,0))</f>
        <v>0</v>
      </c>
      <c r="V189" s="8">
        <f>IF(OR(T189="",U189=1,B189="",K189&lt;&gt;"نعم"),0,IF(COUNTIFS(B$4:B189,B189,K$4:K189,"نعم",U$4:U189,0)=1,1,0))</f>
        <v>0</v>
      </c>
    </row>
    <row r="190" spans="1:22" x14ac:dyDescent="0.25">
      <c r="A190" s="8">
        <v>187</v>
      </c>
      <c r="B190" s="9"/>
      <c r="C190" s="33" t="str">
        <f t="shared" si="16"/>
        <v/>
      </c>
      <c r="D190" s="31"/>
      <c r="E190" s="31"/>
      <c r="F190" s="11"/>
      <c r="G190" s="11"/>
      <c r="H190" s="11"/>
      <c r="I190" s="9"/>
      <c r="J190" s="12" t="str">
        <f t="shared" si="17"/>
        <v/>
      </c>
      <c r="K190" s="9"/>
      <c r="L190" s="12" t="str">
        <f t="shared" si="18"/>
        <v/>
      </c>
      <c r="M190" s="11"/>
      <c r="N190" s="12" t="str">
        <f t="shared" si="19"/>
        <v/>
      </c>
      <c r="O190" s="12" t="str">
        <f t="shared" si="20"/>
        <v/>
      </c>
      <c r="P190" s="8" t="str">
        <f t="shared" si="21"/>
        <v/>
      </c>
      <c r="Q190" s="9"/>
      <c r="R190" s="31"/>
      <c r="S190" s="8" t="str">
        <f t="shared" si="22"/>
        <v/>
      </c>
      <c r="T190" s="8" t="str">
        <f t="shared" si="23"/>
        <v/>
      </c>
      <c r="U190" s="8">
        <f>IF(T190="",0,IF(SUMPRODUCT(--(T$4:T190=T190))&gt;1,1,0))</f>
        <v>0</v>
      </c>
      <c r="V190" s="8">
        <f>IF(OR(T190="",U190=1,B190="",K190&lt;&gt;"نعم"),0,IF(COUNTIFS(B$4:B190,B190,K$4:K190,"نعم",U$4:U190,0)=1,1,0))</f>
        <v>0</v>
      </c>
    </row>
    <row r="191" spans="1:22" x14ac:dyDescent="0.25">
      <c r="A191" s="8">
        <v>188</v>
      </c>
      <c r="B191" s="9"/>
      <c r="C191" s="33" t="str">
        <f t="shared" si="16"/>
        <v/>
      </c>
      <c r="D191" s="31"/>
      <c r="E191" s="31"/>
      <c r="F191" s="11"/>
      <c r="G191" s="11"/>
      <c r="H191" s="11"/>
      <c r="I191" s="9"/>
      <c r="J191" s="12" t="str">
        <f t="shared" si="17"/>
        <v/>
      </c>
      <c r="K191" s="9"/>
      <c r="L191" s="12" t="str">
        <f t="shared" si="18"/>
        <v/>
      </c>
      <c r="M191" s="11"/>
      <c r="N191" s="12" t="str">
        <f t="shared" si="19"/>
        <v/>
      </c>
      <c r="O191" s="12" t="str">
        <f t="shared" si="20"/>
        <v/>
      </c>
      <c r="P191" s="8" t="str">
        <f t="shared" si="21"/>
        <v/>
      </c>
      <c r="Q191" s="9"/>
      <c r="R191" s="31"/>
      <c r="S191" s="8" t="str">
        <f t="shared" si="22"/>
        <v/>
      </c>
      <c r="T191" s="8" t="str">
        <f t="shared" si="23"/>
        <v/>
      </c>
      <c r="U191" s="8">
        <f>IF(T191="",0,IF(SUMPRODUCT(--(T$4:T191=T191))&gt;1,1,0))</f>
        <v>0</v>
      </c>
      <c r="V191" s="8">
        <f>IF(OR(T191="",U191=1,B191="",K191&lt;&gt;"نعم"),0,IF(COUNTIFS(B$4:B191,B191,K$4:K191,"نعم",U$4:U191,0)=1,1,0))</f>
        <v>0</v>
      </c>
    </row>
    <row r="192" spans="1:22" x14ac:dyDescent="0.25">
      <c r="A192" s="8">
        <v>189</v>
      </c>
      <c r="B192" s="9"/>
      <c r="C192" s="33" t="str">
        <f t="shared" si="16"/>
        <v/>
      </c>
      <c r="D192" s="31"/>
      <c r="E192" s="31"/>
      <c r="F192" s="11"/>
      <c r="G192" s="11"/>
      <c r="H192" s="11"/>
      <c r="I192" s="9"/>
      <c r="J192" s="12" t="str">
        <f t="shared" si="17"/>
        <v/>
      </c>
      <c r="K192" s="9"/>
      <c r="L192" s="12" t="str">
        <f t="shared" si="18"/>
        <v/>
      </c>
      <c r="M192" s="11"/>
      <c r="N192" s="12" t="str">
        <f t="shared" si="19"/>
        <v/>
      </c>
      <c r="O192" s="12" t="str">
        <f t="shared" si="20"/>
        <v/>
      </c>
      <c r="P192" s="8" t="str">
        <f t="shared" si="21"/>
        <v/>
      </c>
      <c r="Q192" s="9"/>
      <c r="R192" s="31"/>
      <c r="S192" s="8" t="str">
        <f t="shared" si="22"/>
        <v/>
      </c>
      <c r="T192" s="8" t="str">
        <f t="shared" si="23"/>
        <v/>
      </c>
      <c r="U192" s="8">
        <f>IF(T192="",0,IF(SUMPRODUCT(--(T$4:T192=T192))&gt;1,1,0))</f>
        <v>0</v>
      </c>
      <c r="V192" s="8">
        <f>IF(OR(T192="",U192=1,B192="",K192&lt;&gt;"نعم"),0,IF(COUNTIFS(B$4:B192,B192,K$4:K192,"نعم",U$4:U192,0)=1,1,0))</f>
        <v>0</v>
      </c>
    </row>
    <row r="193" spans="1:22" x14ac:dyDescent="0.25">
      <c r="A193" s="8">
        <v>190</v>
      </c>
      <c r="B193" s="9"/>
      <c r="C193" s="33" t="str">
        <f t="shared" si="16"/>
        <v/>
      </c>
      <c r="D193" s="31"/>
      <c r="E193" s="31"/>
      <c r="F193" s="11"/>
      <c r="G193" s="11"/>
      <c r="H193" s="11"/>
      <c r="I193" s="9"/>
      <c r="J193" s="12" t="str">
        <f t="shared" si="17"/>
        <v/>
      </c>
      <c r="K193" s="9"/>
      <c r="L193" s="12" t="str">
        <f t="shared" si="18"/>
        <v/>
      </c>
      <c r="M193" s="11"/>
      <c r="N193" s="12" t="str">
        <f t="shared" si="19"/>
        <v/>
      </c>
      <c r="O193" s="12" t="str">
        <f t="shared" si="20"/>
        <v/>
      </c>
      <c r="P193" s="8" t="str">
        <f t="shared" si="21"/>
        <v/>
      </c>
      <c r="Q193" s="9"/>
      <c r="R193" s="31"/>
      <c r="S193" s="8" t="str">
        <f t="shared" si="22"/>
        <v/>
      </c>
      <c r="T193" s="8" t="str">
        <f t="shared" si="23"/>
        <v/>
      </c>
      <c r="U193" s="8">
        <f>IF(T193="",0,IF(SUMPRODUCT(--(T$4:T193=T193))&gt;1,1,0))</f>
        <v>0</v>
      </c>
      <c r="V193" s="8">
        <f>IF(OR(T193="",U193=1,B193="",K193&lt;&gt;"نعم"),0,IF(COUNTIFS(B$4:B193,B193,K$4:K193,"نعم",U$4:U193,0)=1,1,0))</f>
        <v>0</v>
      </c>
    </row>
    <row r="194" spans="1:22" x14ac:dyDescent="0.25">
      <c r="A194" s="8">
        <v>191</v>
      </c>
      <c r="B194" s="9"/>
      <c r="C194" s="33" t="str">
        <f t="shared" si="16"/>
        <v/>
      </c>
      <c r="D194" s="31"/>
      <c r="E194" s="31"/>
      <c r="F194" s="11"/>
      <c r="G194" s="11"/>
      <c r="H194" s="11"/>
      <c r="I194" s="9"/>
      <c r="J194" s="12" t="str">
        <f t="shared" si="17"/>
        <v/>
      </c>
      <c r="K194" s="9"/>
      <c r="L194" s="12" t="str">
        <f t="shared" si="18"/>
        <v/>
      </c>
      <c r="M194" s="11"/>
      <c r="N194" s="12" t="str">
        <f t="shared" si="19"/>
        <v/>
      </c>
      <c r="O194" s="12" t="str">
        <f t="shared" si="20"/>
        <v/>
      </c>
      <c r="P194" s="8" t="str">
        <f t="shared" si="21"/>
        <v/>
      </c>
      <c r="Q194" s="9"/>
      <c r="R194" s="31"/>
      <c r="S194" s="8" t="str">
        <f t="shared" si="22"/>
        <v/>
      </c>
      <c r="T194" s="8" t="str">
        <f t="shared" si="23"/>
        <v/>
      </c>
      <c r="U194" s="8">
        <f>IF(T194="",0,IF(SUMPRODUCT(--(T$4:T194=T194))&gt;1,1,0))</f>
        <v>0</v>
      </c>
      <c r="V194" s="8">
        <f>IF(OR(T194="",U194=1,B194="",K194&lt;&gt;"نعم"),0,IF(COUNTIFS(B$4:B194,B194,K$4:K194,"نعم",U$4:U194,0)=1,1,0))</f>
        <v>0</v>
      </c>
    </row>
    <row r="195" spans="1:22" x14ac:dyDescent="0.25">
      <c r="A195" s="8">
        <v>192</v>
      </c>
      <c r="B195" s="9"/>
      <c r="C195" s="33" t="str">
        <f t="shared" si="16"/>
        <v/>
      </c>
      <c r="D195" s="31"/>
      <c r="E195" s="31"/>
      <c r="F195" s="11"/>
      <c r="G195" s="11"/>
      <c r="H195" s="11"/>
      <c r="I195" s="9"/>
      <c r="J195" s="12" t="str">
        <f t="shared" si="17"/>
        <v/>
      </c>
      <c r="K195" s="9"/>
      <c r="L195" s="12" t="str">
        <f t="shared" si="18"/>
        <v/>
      </c>
      <c r="M195" s="11"/>
      <c r="N195" s="12" t="str">
        <f t="shared" si="19"/>
        <v/>
      </c>
      <c r="O195" s="12" t="str">
        <f t="shared" si="20"/>
        <v/>
      </c>
      <c r="P195" s="8" t="str">
        <f t="shared" si="21"/>
        <v/>
      </c>
      <c r="Q195" s="9"/>
      <c r="R195" s="31"/>
      <c r="S195" s="8" t="str">
        <f t="shared" si="22"/>
        <v/>
      </c>
      <c r="T195" s="8" t="str">
        <f t="shared" si="23"/>
        <v/>
      </c>
      <c r="U195" s="8">
        <f>IF(T195="",0,IF(SUMPRODUCT(--(T$4:T195=T195))&gt;1,1,0))</f>
        <v>0</v>
      </c>
      <c r="V195" s="8">
        <f>IF(OR(T195="",U195=1,B195="",K195&lt;&gt;"نعم"),0,IF(COUNTIFS(B$4:B195,B195,K$4:K195,"نعم",U$4:U195,0)=1,1,0))</f>
        <v>0</v>
      </c>
    </row>
    <row r="196" spans="1:22" x14ac:dyDescent="0.25">
      <c r="A196" s="8">
        <v>193</v>
      </c>
      <c r="B196" s="9"/>
      <c r="C196" s="33" t="str">
        <f t="shared" ref="C196:C259" si="24">IF(B196="","",IFERROR(INDEX(SpaceNames,MATCH(B196,SpaceCodes,0))&amp;"",""))</f>
        <v/>
      </c>
      <c r="D196" s="31"/>
      <c r="E196" s="31"/>
      <c r="F196" s="11"/>
      <c r="G196" s="11"/>
      <c r="H196" s="11"/>
      <c r="I196" s="9"/>
      <c r="J196" s="12" t="str">
        <f t="shared" ref="J196:J259" si="25">IF(T196="","",IF(U196=1,0,IF(H196&lt;&gt;"",H196*IF(I196="",1,I196),IF(AND(F196&lt;&gt;"",G196&lt;&gt;""),2*(F196+G196)*IF(I196="",1,I196),""))))</f>
        <v/>
      </c>
      <c r="K196" s="9"/>
      <c r="L196" s="12" t="str">
        <f t="shared" ref="L196:L259" si="26">IF(T196="","",IF(V196=1,SUMIFS(OP_Wtot,OP_Space,B196,OP_DedSk,"نعم"),0))</f>
        <v/>
      </c>
      <c r="M196" s="11"/>
      <c r="N196" s="12" t="str">
        <f t="shared" ref="N196:N259" si="27">IF(OR(T196="",J196=""),"",N(L196)+N(M196))</f>
        <v/>
      </c>
      <c r="O196" s="12" t="str">
        <f t="shared" ref="O196:O259" si="28">IF(OR(T196="",J196=""),"",J196-N196)</f>
        <v/>
      </c>
      <c r="P196" s="8" t="str">
        <f t="shared" ref="P196:P259" si="29">IF(D196="","",IFERROR(IF(INDEX(LinUnit,MATCH(D196,LinMat,0))="","م.ط",INDEX(LinUnit,MATCH(D196,LinMat,0))),"م.ط"))</f>
        <v/>
      </c>
      <c r="Q196" s="9"/>
      <c r="R196" s="31"/>
      <c r="S196" s="8" t="str">
        <f t="shared" ref="S196:S259" si="30">IF(T196="","",IF(U196=1,"تكرار — غير محتسب",IF(B196="","ناقص بيانات: كود الفراغ",IF(COUNTIF(SpaceCodes,B196)=0,"ناقص بيانات: الفراغ غير مسجل",IF(D196="","ناقص بيانات: نوع البند",IF(J196="","ناقص قياس",IF(N196&gt;J196+0.000001,"خطأ خصم: الخصم أكبر من الإجمالي",IF(AND(K196="نعم",V196=0),"تنبيه خصم: خصم تلقائي مكرر للفراغ — غير مطبق",IF(Q196="نعم","يحتاج مراجعة","مكتمل")))))))))</f>
        <v/>
      </c>
      <c r="T196" s="8" t="str">
        <f t="shared" ref="T196:T259" si="31">IF(COUNTA(B196,D196:I196,M196)=0,"",B196&amp;"|"&amp;D196&amp;"|"&amp;E196&amp;"|"&amp;F196&amp;"|"&amp;G196&amp;"|"&amp;H196)</f>
        <v/>
      </c>
      <c r="U196" s="8">
        <f>IF(T196="",0,IF(SUMPRODUCT(--(T$4:T196=T196))&gt;1,1,0))</f>
        <v>0</v>
      </c>
      <c r="V196" s="8">
        <f>IF(OR(T196="",U196=1,B196="",K196&lt;&gt;"نعم"),0,IF(COUNTIFS(B$4:B196,B196,K$4:K196,"نعم",U$4:U196,0)=1,1,0))</f>
        <v>0</v>
      </c>
    </row>
    <row r="197" spans="1:22" x14ac:dyDescent="0.25">
      <c r="A197" s="8">
        <v>194</v>
      </c>
      <c r="B197" s="9"/>
      <c r="C197" s="33" t="str">
        <f t="shared" si="24"/>
        <v/>
      </c>
      <c r="D197" s="31"/>
      <c r="E197" s="31"/>
      <c r="F197" s="11"/>
      <c r="G197" s="11"/>
      <c r="H197" s="11"/>
      <c r="I197" s="9"/>
      <c r="J197" s="12" t="str">
        <f t="shared" si="25"/>
        <v/>
      </c>
      <c r="K197" s="9"/>
      <c r="L197" s="12" t="str">
        <f t="shared" si="26"/>
        <v/>
      </c>
      <c r="M197" s="11"/>
      <c r="N197" s="12" t="str">
        <f t="shared" si="27"/>
        <v/>
      </c>
      <c r="O197" s="12" t="str">
        <f t="shared" si="28"/>
        <v/>
      </c>
      <c r="P197" s="8" t="str">
        <f t="shared" si="29"/>
        <v/>
      </c>
      <c r="Q197" s="9"/>
      <c r="R197" s="31"/>
      <c r="S197" s="8" t="str">
        <f t="shared" si="30"/>
        <v/>
      </c>
      <c r="T197" s="8" t="str">
        <f t="shared" si="31"/>
        <v/>
      </c>
      <c r="U197" s="8">
        <f>IF(T197="",0,IF(SUMPRODUCT(--(T$4:T197=T197))&gt;1,1,0))</f>
        <v>0</v>
      </c>
      <c r="V197" s="8">
        <f>IF(OR(T197="",U197=1,B197="",K197&lt;&gt;"نعم"),0,IF(COUNTIFS(B$4:B197,B197,K$4:K197,"نعم",U$4:U197,0)=1,1,0))</f>
        <v>0</v>
      </c>
    </row>
    <row r="198" spans="1:22" x14ac:dyDescent="0.25">
      <c r="A198" s="8">
        <v>195</v>
      </c>
      <c r="B198" s="9"/>
      <c r="C198" s="33" t="str">
        <f t="shared" si="24"/>
        <v/>
      </c>
      <c r="D198" s="31"/>
      <c r="E198" s="31"/>
      <c r="F198" s="11"/>
      <c r="G198" s="11"/>
      <c r="H198" s="11"/>
      <c r="I198" s="9"/>
      <c r="J198" s="12" t="str">
        <f t="shared" si="25"/>
        <v/>
      </c>
      <c r="K198" s="9"/>
      <c r="L198" s="12" t="str">
        <f t="shared" si="26"/>
        <v/>
      </c>
      <c r="M198" s="11"/>
      <c r="N198" s="12" t="str">
        <f t="shared" si="27"/>
        <v/>
      </c>
      <c r="O198" s="12" t="str">
        <f t="shared" si="28"/>
        <v/>
      </c>
      <c r="P198" s="8" t="str">
        <f t="shared" si="29"/>
        <v/>
      </c>
      <c r="Q198" s="9"/>
      <c r="R198" s="31"/>
      <c r="S198" s="8" t="str">
        <f t="shared" si="30"/>
        <v/>
      </c>
      <c r="T198" s="8" t="str">
        <f t="shared" si="31"/>
        <v/>
      </c>
      <c r="U198" s="8">
        <f>IF(T198="",0,IF(SUMPRODUCT(--(T$4:T198=T198))&gt;1,1,0))</f>
        <v>0</v>
      </c>
      <c r="V198" s="8">
        <f>IF(OR(T198="",U198=1,B198="",K198&lt;&gt;"نعم"),0,IF(COUNTIFS(B$4:B198,B198,K$4:K198,"نعم",U$4:U198,0)=1,1,0))</f>
        <v>0</v>
      </c>
    </row>
    <row r="199" spans="1:22" x14ac:dyDescent="0.25">
      <c r="A199" s="8">
        <v>196</v>
      </c>
      <c r="B199" s="9"/>
      <c r="C199" s="33" t="str">
        <f t="shared" si="24"/>
        <v/>
      </c>
      <c r="D199" s="31"/>
      <c r="E199" s="31"/>
      <c r="F199" s="11"/>
      <c r="G199" s="11"/>
      <c r="H199" s="11"/>
      <c r="I199" s="9"/>
      <c r="J199" s="12" t="str">
        <f t="shared" si="25"/>
        <v/>
      </c>
      <c r="K199" s="9"/>
      <c r="L199" s="12" t="str">
        <f t="shared" si="26"/>
        <v/>
      </c>
      <c r="M199" s="11"/>
      <c r="N199" s="12" t="str">
        <f t="shared" si="27"/>
        <v/>
      </c>
      <c r="O199" s="12" t="str">
        <f t="shared" si="28"/>
        <v/>
      </c>
      <c r="P199" s="8" t="str">
        <f t="shared" si="29"/>
        <v/>
      </c>
      <c r="Q199" s="9"/>
      <c r="R199" s="31"/>
      <c r="S199" s="8" t="str">
        <f t="shared" si="30"/>
        <v/>
      </c>
      <c r="T199" s="8" t="str">
        <f t="shared" si="31"/>
        <v/>
      </c>
      <c r="U199" s="8">
        <f>IF(T199="",0,IF(SUMPRODUCT(--(T$4:T199=T199))&gt;1,1,0))</f>
        <v>0</v>
      </c>
      <c r="V199" s="8">
        <f>IF(OR(T199="",U199=1,B199="",K199&lt;&gt;"نعم"),0,IF(COUNTIFS(B$4:B199,B199,K$4:K199,"نعم",U$4:U199,0)=1,1,0))</f>
        <v>0</v>
      </c>
    </row>
    <row r="200" spans="1:22" x14ac:dyDescent="0.25">
      <c r="A200" s="8">
        <v>197</v>
      </c>
      <c r="B200" s="9"/>
      <c r="C200" s="33" t="str">
        <f t="shared" si="24"/>
        <v/>
      </c>
      <c r="D200" s="31"/>
      <c r="E200" s="31"/>
      <c r="F200" s="11"/>
      <c r="G200" s="11"/>
      <c r="H200" s="11"/>
      <c r="I200" s="9"/>
      <c r="J200" s="12" t="str">
        <f t="shared" si="25"/>
        <v/>
      </c>
      <c r="K200" s="9"/>
      <c r="L200" s="12" t="str">
        <f t="shared" si="26"/>
        <v/>
      </c>
      <c r="M200" s="11"/>
      <c r="N200" s="12" t="str">
        <f t="shared" si="27"/>
        <v/>
      </c>
      <c r="O200" s="12" t="str">
        <f t="shared" si="28"/>
        <v/>
      </c>
      <c r="P200" s="8" t="str">
        <f t="shared" si="29"/>
        <v/>
      </c>
      <c r="Q200" s="9"/>
      <c r="R200" s="31"/>
      <c r="S200" s="8" t="str">
        <f t="shared" si="30"/>
        <v/>
      </c>
      <c r="T200" s="8" t="str">
        <f t="shared" si="31"/>
        <v/>
      </c>
      <c r="U200" s="8">
        <f>IF(T200="",0,IF(SUMPRODUCT(--(T$4:T200=T200))&gt;1,1,0))</f>
        <v>0</v>
      </c>
      <c r="V200" s="8">
        <f>IF(OR(T200="",U200=1,B200="",K200&lt;&gt;"نعم"),0,IF(COUNTIFS(B$4:B200,B200,K$4:K200,"نعم",U$4:U200,0)=1,1,0))</f>
        <v>0</v>
      </c>
    </row>
    <row r="201" spans="1:22" x14ac:dyDescent="0.25">
      <c r="A201" s="8">
        <v>198</v>
      </c>
      <c r="B201" s="9"/>
      <c r="C201" s="33" t="str">
        <f t="shared" si="24"/>
        <v/>
      </c>
      <c r="D201" s="31"/>
      <c r="E201" s="31"/>
      <c r="F201" s="11"/>
      <c r="G201" s="11"/>
      <c r="H201" s="11"/>
      <c r="I201" s="9"/>
      <c r="J201" s="12" t="str">
        <f t="shared" si="25"/>
        <v/>
      </c>
      <c r="K201" s="9"/>
      <c r="L201" s="12" t="str">
        <f t="shared" si="26"/>
        <v/>
      </c>
      <c r="M201" s="11"/>
      <c r="N201" s="12" t="str">
        <f t="shared" si="27"/>
        <v/>
      </c>
      <c r="O201" s="12" t="str">
        <f t="shared" si="28"/>
        <v/>
      </c>
      <c r="P201" s="8" t="str">
        <f t="shared" si="29"/>
        <v/>
      </c>
      <c r="Q201" s="9"/>
      <c r="R201" s="31"/>
      <c r="S201" s="8" t="str">
        <f t="shared" si="30"/>
        <v/>
      </c>
      <c r="T201" s="8" t="str">
        <f t="shared" si="31"/>
        <v/>
      </c>
      <c r="U201" s="8">
        <f>IF(T201="",0,IF(SUMPRODUCT(--(T$4:T201=T201))&gt;1,1,0))</f>
        <v>0</v>
      </c>
      <c r="V201" s="8">
        <f>IF(OR(T201="",U201=1,B201="",K201&lt;&gt;"نعم"),0,IF(COUNTIFS(B$4:B201,B201,K$4:K201,"نعم",U$4:U201,0)=1,1,0))</f>
        <v>0</v>
      </c>
    </row>
    <row r="202" spans="1:22" x14ac:dyDescent="0.25">
      <c r="A202" s="8">
        <v>199</v>
      </c>
      <c r="B202" s="9"/>
      <c r="C202" s="33" t="str">
        <f t="shared" si="24"/>
        <v/>
      </c>
      <c r="D202" s="31"/>
      <c r="E202" s="31"/>
      <c r="F202" s="11"/>
      <c r="G202" s="11"/>
      <c r="H202" s="11"/>
      <c r="I202" s="9"/>
      <c r="J202" s="12" t="str">
        <f t="shared" si="25"/>
        <v/>
      </c>
      <c r="K202" s="9"/>
      <c r="L202" s="12" t="str">
        <f t="shared" si="26"/>
        <v/>
      </c>
      <c r="M202" s="11"/>
      <c r="N202" s="12" t="str">
        <f t="shared" si="27"/>
        <v/>
      </c>
      <c r="O202" s="12" t="str">
        <f t="shared" si="28"/>
        <v/>
      </c>
      <c r="P202" s="8" t="str">
        <f t="shared" si="29"/>
        <v/>
      </c>
      <c r="Q202" s="9"/>
      <c r="R202" s="31"/>
      <c r="S202" s="8" t="str">
        <f t="shared" si="30"/>
        <v/>
      </c>
      <c r="T202" s="8" t="str">
        <f t="shared" si="31"/>
        <v/>
      </c>
      <c r="U202" s="8">
        <f>IF(T202="",0,IF(SUMPRODUCT(--(T$4:T202=T202))&gt;1,1,0))</f>
        <v>0</v>
      </c>
      <c r="V202" s="8">
        <f>IF(OR(T202="",U202=1,B202="",K202&lt;&gt;"نعم"),0,IF(COUNTIFS(B$4:B202,B202,K$4:K202,"نعم",U$4:U202,0)=1,1,0))</f>
        <v>0</v>
      </c>
    </row>
    <row r="203" spans="1:22" x14ac:dyDescent="0.25">
      <c r="A203" s="8">
        <v>200</v>
      </c>
      <c r="B203" s="9"/>
      <c r="C203" s="33" t="str">
        <f t="shared" si="24"/>
        <v/>
      </c>
      <c r="D203" s="31"/>
      <c r="E203" s="31"/>
      <c r="F203" s="11"/>
      <c r="G203" s="11"/>
      <c r="H203" s="11"/>
      <c r="I203" s="9"/>
      <c r="J203" s="12" t="str">
        <f t="shared" si="25"/>
        <v/>
      </c>
      <c r="K203" s="9"/>
      <c r="L203" s="12" t="str">
        <f t="shared" si="26"/>
        <v/>
      </c>
      <c r="M203" s="11"/>
      <c r="N203" s="12" t="str">
        <f t="shared" si="27"/>
        <v/>
      </c>
      <c r="O203" s="12" t="str">
        <f t="shared" si="28"/>
        <v/>
      </c>
      <c r="P203" s="8" t="str">
        <f t="shared" si="29"/>
        <v/>
      </c>
      <c r="Q203" s="9"/>
      <c r="R203" s="31"/>
      <c r="S203" s="8" t="str">
        <f t="shared" si="30"/>
        <v/>
      </c>
      <c r="T203" s="8" t="str">
        <f t="shared" si="31"/>
        <v/>
      </c>
      <c r="U203" s="8">
        <f>IF(T203="",0,IF(SUMPRODUCT(--(T$4:T203=T203))&gt;1,1,0))</f>
        <v>0</v>
      </c>
      <c r="V203" s="8">
        <f>IF(OR(T203="",U203=1,B203="",K203&lt;&gt;"نعم"),0,IF(COUNTIFS(B$4:B203,B203,K$4:K203,"نعم",U$4:U203,0)=1,1,0))</f>
        <v>0</v>
      </c>
    </row>
    <row r="204" spans="1:22" x14ac:dyDescent="0.25">
      <c r="A204" s="8">
        <v>201</v>
      </c>
      <c r="B204" s="9"/>
      <c r="C204" s="33" t="str">
        <f t="shared" si="24"/>
        <v/>
      </c>
      <c r="D204" s="31"/>
      <c r="E204" s="31"/>
      <c r="F204" s="11"/>
      <c r="G204" s="11"/>
      <c r="H204" s="11"/>
      <c r="I204" s="9"/>
      <c r="J204" s="12" t="str">
        <f t="shared" si="25"/>
        <v/>
      </c>
      <c r="K204" s="9"/>
      <c r="L204" s="12" t="str">
        <f t="shared" si="26"/>
        <v/>
      </c>
      <c r="M204" s="11"/>
      <c r="N204" s="12" t="str">
        <f t="shared" si="27"/>
        <v/>
      </c>
      <c r="O204" s="12" t="str">
        <f t="shared" si="28"/>
        <v/>
      </c>
      <c r="P204" s="8" t="str">
        <f t="shared" si="29"/>
        <v/>
      </c>
      <c r="Q204" s="9"/>
      <c r="R204" s="31"/>
      <c r="S204" s="8" t="str">
        <f t="shared" si="30"/>
        <v/>
      </c>
      <c r="T204" s="8" t="str">
        <f t="shared" si="31"/>
        <v/>
      </c>
      <c r="U204" s="8">
        <f>IF(T204="",0,IF(SUMPRODUCT(--(T$4:T204=T204))&gt;1,1,0))</f>
        <v>0</v>
      </c>
      <c r="V204" s="8">
        <f>IF(OR(T204="",U204=1,B204="",K204&lt;&gt;"نعم"),0,IF(COUNTIFS(B$4:B204,B204,K$4:K204,"نعم",U$4:U204,0)=1,1,0))</f>
        <v>0</v>
      </c>
    </row>
    <row r="205" spans="1:22" x14ac:dyDescent="0.25">
      <c r="A205" s="8">
        <v>202</v>
      </c>
      <c r="B205" s="9"/>
      <c r="C205" s="33" t="str">
        <f t="shared" si="24"/>
        <v/>
      </c>
      <c r="D205" s="31"/>
      <c r="E205" s="31"/>
      <c r="F205" s="11"/>
      <c r="G205" s="11"/>
      <c r="H205" s="11"/>
      <c r="I205" s="9"/>
      <c r="J205" s="12" t="str">
        <f t="shared" si="25"/>
        <v/>
      </c>
      <c r="K205" s="9"/>
      <c r="L205" s="12" t="str">
        <f t="shared" si="26"/>
        <v/>
      </c>
      <c r="M205" s="11"/>
      <c r="N205" s="12" t="str">
        <f t="shared" si="27"/>
        <v/>
      </c>
      <c r="O205" s="12" t="str">
        <f t="shared" si="28"/>
        <v/>
      </c>
      <c r="P205" s="8" t="str">
        <f t="shared" si="29"/>
        <v/>
      </c>
      <c r="Q205" s="9"/>
      <c r="R205" s="31"/>
      <c r="S205" s="8" t="str">
        <f t="shared" si="30"/>
        <v/>
      </c>
      <c r="T205" s="8" t="str">
        <f t="shared" si="31"/>
        <v/>
      </c>
      <c r="U205" s="8">
        <f>IF(T205="",0,IF(SUMPRODUCT(--(T$4:T205=T205))&gt;1,1,0))</f>
        <v>0</v>
      </c>
      <c r="V205" s="8">
        <f>IF(OR(T205="",U205=1,B205="",K205&lt;&gt;"نعم"),0,IF(COUNTIFS(B$4:B205,B205,K$4:K205,"نعم",U$4:U205,0)=1,1,0))</f>
        <v>0</v>
      </c>
    </row>
    <row r="206" spans="1:22" x14ac:dyDescent="0.25">
      <c r="A206" s="8">
        <v>203</v>
      </c>
      <c r="B206" s="9"/>
      <c r="C206" s="33" t="str">
        <f t="shared" si="24"/>
        <v/>
      </c>
      <c r="D206" s="31"/>
      <c r="E206" s="31"/>
      <c r="F206" s="11"/>
      <c r="G206" s="11"/>
      <c r="H206" s="11"/>
      <c r="I206" s="9"/>
      <c r="J206" s="12" t="str">
        <f t="shared" si="25"/>
        <v/>
      </c>
      <c r="K206" s="9"/>
      <c r="L206" s="12" t="str">
        <f t="shared" si="26"/>
        <v/>
      </c>
      <c r="M206" s="11"/>
      <c r="N206" s="12" t="str">
        <f t="shared" si="27"/>
        <v/>
      </c>
      <c r="O206" s="12" t="str">
        <f t="shared" si="28"/>
        <v/>
      </c>
      <c r="P206" s="8" t="str">
        <f t="shared" si="29"/>
        <v/>
      </c>
      <c r="Q206" s="9"/>
      <c r="R206" s="31"/>
      <c r="S206" s="8" t="str">
        <f t="shared" si="30"/>
        <v/>
      </c>
      <c r="T206" s="8" t="str">
        <f t="shared" si="31"/>
        <v/>
      </c>
      <c r="U206" s="8">
        <f>IF(T206="",0,IF(SUMPRODUCT(--(T$4:T206=T206))&gt;1,1,0))</f>
        <v>0</v>
      </c>
      <c r="V206" s="8">
        <f>IF(OR(T206="",U206=1,B206="",K206&lt;&gt;"نعم"),0,IF(COUNTIFS(B$4:B206,B206,K$4:K206,"نعم",U$4:U206,0)=1,1,0))</f>
        <v>0</v>
      </c>
    </row>
    <row r="207" spans="1:22" x14ac:dyDescent="0.25">
      <c r="A207" s="8">
        <v>204</v>
      </c>
      <c r="B207" s="9"/>
      <c r="C207" s="33" t="str">
        <f t="shared" si="24"/>
        <v/>
      </c>
      <c r="D207" s="31"/>
      <c r="E207" s="31"/>
      <c r="F207" s="11"/>
      <c r="G207" s="11"/>
      <c r="H207" s="11"/>
      <c r="I207" s="9"/>
      <c r="J207" s="12" t="str">
        <f t="shared" si="25"/>
        <v/>
      </c>
      <c r="K207" s="9"/>
      <c r="L207" s="12" t="str">
        <f t="shared" si="26"/>
        <v/>
      </c>
      <c r="M207" s="11"/>
      <c r="N207" s="12" t="str">
        <f t="shared" si="27"/>
        <v/>
      </c>
      <c r="O207" s="12" t="str">
        <f t="shared" si="28"/>
        <v/>
      </c>
      <c r="P207" s="8" t="str">
        <f t="shared" si="29"/>
        <v/>
      </c>
      <c r="Q207" s="9"/>
      <c r="R207" s="31"/>
      <c r="S207" s="8" t="str">
        <f t="shared" si="30"/>
        <v/>
      </c>
      <c r="T207" s="8" t="str">
        <f t="shared" si="31"/>
        <v/>
      </c>
      <c r="U207" s="8">
        <f>IF(T207="",0,IF(SUMPRODUCT(--(T$4:T207=T207))&gt;1,1,0))</f>
        <v>0</v>
      </c>
      <c r="V207" s="8">
        <f>IF(OR(T207="",U207=1,B207="",K207&lt;&gt;"نعم"),0,IF(COUNTIFS(B$4:B207,B207,K$4:K207,"نعم",U$4:U207,0)=1,1,0))</f>
        <v>0</v>
      </c>
    </row>
    <row r="208" spans="1:22" x14ac:dyDescent="0.25">
      <c r="A208" s="8">
        <v>205</v>
      </c>
      <c r="B208" s="9"/>
      <c r="C208" s="33" t="str">
        <f t="shared" si="24"/>
        <v/>
      </c>
      <c r="D208" s="31"/>
      <c r="E208" s="31"/>
      <c r="F208" s="11"/>
      <c r="G208" s="11"/>
      <c r="H208" s="11"/>
      <c r="I208" s="9"/>
      <c r="J208" s="12" t="str">
        <f t="shared" si="25"/>
        <v/>
      </c>
      <c r="K208" s="9"/>
      <c r="L208" s="12" t="str">
        <f t="shared" si="26"/>
        <v/>
      </c>
      <c r="M208" s="11"/>
      <c r="N208" s="12" t="str">
        <f t="shared" si="27"/>
        <v/>
      </c>
      <c r="O208" s="12" t="str">
        <f t="shared" si="28"/>
        <v/>
      </c>
      <c r="P208" s="8" t="str">
        <f t="shared" si="29"/>
        <v/>
      </c>
      <c r="Q208" s="9"/>
      <c r="R208" s="31"/>
      <c r="S208" s="8" t="str">
        <f t="shared" si="30"/>
        <v/>
      </c>
      <c r="T208" s="8" t="str">
        <f t="shared" si="31"/>
        <v/>
      </c>
      <c r="U208" s="8">
        <f>IF(T208="",0,IF(SUMPRODUCT(--(T$4:T208=T208))&gt;1,1,0))</f>
        <v>0</v>
      </c>
      <c r="V208" s="8">
        <f>IF(OR(T208="",U208=1,B208="",K208&lt;&gt;"نعم"),0,IF(COUNTIFS(B$4:B208,B208,K$4:K208,"نعم",U$4:U208,0)=1,1,0))</f>
        <v>0</v>
      </c>
    </row>
    <row r="209" spans="1:22" x14ac:dyDescent="0.25">
      <c r="A209" s="8">
        <v>206</v>
      </c>
      <c r="B209" s="9"/>
      <c r="C209" s="33" t="str">
        <f t="shared" si="24"/>
        <v/>
      </c>
      <c r="D209" s="31"/>
      <c r="E209" s="31"/>
      <c r="F209" s="11"/>
      <c r="G209" s="11"/>
      <c r="H209" s="11"/>
      <c r="I209" s="9"/>
      <c r="J209" s="12" t="str">
        <f t="shared" si="25"/>
        <v/>
      </c>
      <c r="K209" s="9"/>
      <c r="L209" s="12" t="str">
        <f t="shared" si="26"/>
        <v/>
      </c>
      <c r="M209" s="11"/>
      <c r="N209" s="12" t="str">
        <f t="shared" si="27"/>
        <v/>
      </c>
      <c r="O209" s="12" t="str">
        <f t="shared" si="28"/>
        <v/>
      </c>
      <c r="P209" s="8" t="str">
        <f t="shared" si="29"/>
        <v/>
      </c>
      <c r="Q209" s="9"/>
      <c r="R209" s="31"/>
      <c r="S209" s="8" t="str">
        <f t="shared" si="30"/>
        <v/>
      </c>
      <c r="T209" s="8" t="str">
        <f t="shared" si="31"/>
        <v/>
      </c>
      <c r="U209" s="8">
        <f>IF(T209="",0,IF(SUMPRODUCT(--(T$4:T209=T209))&gt;1,1,0))</f>
        <v>0</v>
      </c>
      <c r="V209" s="8">
        <f>IF(OR(T209="",U209=1,B209="",K209&lt;&gt;"نعم"),0,IF(COUNTIFS(B$4:B209,B209,K$4:K209,"نعم",U$4:U209,0)=1,1,0))</f>
        <v>0</v>
      </c>
    </row>
    <row r="210" spans="1:22" x14ac:dyDescent="0.25">
      <c r="A210" s="8">
        <v>207</v>
      </c>
      <c r="B210" s="9"/>
      <c r="C210" s="33" t="str">
        <f t="shared" si="24"/>
        <v/>
      </c>
      <c r="D210" s="31"/>
      <c r="E210" s="31"/>
      <c r="F210" s="11"/>
      <c r="G210" s="11"/>
      <c r="H210" s="11"/>
      <c r="I210" s="9"/>
      <c r="J210" s="12" t="str">
        <f t="shared" si="25"/>
        <v/>
      </c>
      <c r="K210" s="9"/>
      <c r="L210" s="12" t="str">
        <f t="shared" si="26"/>
        <v/>
      </c>
      <c r="M210" s="11"/>
      <c r="N210" s="12" t="str">
        <f t="shared" si="27"/>
        <v/>
      </c>
      <c r="O210" s="12" t="str">
        <f t="shared" si="28"/>
        <v/>
      </c>
      <c r="P210" s="8" t="str">
        <f t="shared" si="29"/>
        <v/>
      </c>
      <c r="Q210" s="9"/>
      <c r="R210" s="31"/>
      <c r="S210" s="8" t="str">
        <f t="shared" si="30"/>
        <v/>
      </c>
      <c r="T210" s="8" t="str">
        <f t="shared" si="31"/>
        <v/>
      </c>
      <c r="U210" s="8">
        <f>IF(T210="",0,IF(SUMPRODUCT(--(T$4:T210=T210))&gt;1,1,0))</f>
        <v>0</v>
      </c>
      <c r="V210" s="8">
        <f>IF(OR(T210="",U210=1,B210="",K210&lt;&gt;"نعم"),0,IF(COUNTIFS(B$4:B210,B210,K$4:K210,"نعم",U$4:U210,0)=1,1,0))</f>
        <v>0</v>
      </c>
    </row>
    <row r="211" spans="1:22" x14ac:dyDescent="0.25">
      <c r="A211" s="8">
        <v>208</v>
      </c>
      <c r="B211" s="9"/>
      <c r="C211" s="33" t="str">
        <f t="shared" si="24"/>
        <v/>
      </c>
      <c r="D211" s="31"/>
      <c r="E211" s="31"/>
      <c r="F211" s="11"/>
      <c r="G211" s="11"/>
      <c r="H211" s="11"/>
      <c r="I211" s="9"/>
      <c r="J211" s="12" t="str">
        <f t="shared" si="25"/>
        <v/>
      </c>
      <c r="K211" s="9"/>
      <c r="L211" s="12" t="str">
        <f t="shared" si="26"/>
        <v/>
      </c>
      <c r="M211" s="11"/>
      <c r="N211" s="12" t="str">
        <f t="shared" si="27"/>
        <v/>
      </c>
      <c r="O211" s="12" t="str">
        <f t="shared" si="28"/>
        <v/>
      </c>
      <c r="P211" s="8" t="str">
        <f t="shared" si="29"/>
        <v/>
      </c>
      <c r="Q211" s="9"/>
      <c r="R211" s="31"/>
      <c r="S211" s="8" t="str">
        <f t="shared" si="30"/>
        <v/>
      </c>
      <c r="T211" s="8" t="str">
        <f t="shared" si="31"/>
        <v/>
      </c>
      <c r="U211" s="8">
        <f>IF(T211="",0,IF(SUMPRODUCT(--(T$4:T211=T211))&gt;1,1,0))</f>
        <v>0</v>
      </c>
      <c r="V211" s="8">
        <f>IF(OR(T211="",U211=1,B211="",K211&lt;&gt;"نعم"),0,IF(COUNTIFS(B$4:B211,B211,K$4:K211,"نعم",U$4:U211,0)=1,1,0))</f>
        <v>0</v>
      </c>
    </row>
    <row r="212" spans="1:22" x14ac:dyDescent="0.25">
      <c r="A212" s="8">
        <v>209</v>
      </c>
      <c r="B212" s="9"/>
      <c r="C212" s="33" t="str">
        <f t="shared" si="24"/>
        <v/>
      </c>
      <c r="D212" s="31"/>
      <c r="E212" s="31"/>
      <c r="F212" s="11"/>
      <c r="G212" s="11"/>
      <c r="H212" s="11"/>
      <c r="I212" s="9"/>
      <c r="J212" s="12" t="str">
        <f t="shared" si="25"/>
        <v/>
      </c>
      <c r="K212" s="9"/>
      <c r="L212" s="12" t="str">
        <f t="shared" si="26"/>
        <v/>
      </c>
      <c r="M212" s="11"/>
      <c r="N212" s="12" t="str">
        <f t="shared" si="27"/>
        <v/>
      </c>
      <c r="O212" s="12" t="str">
        <f t="shared" si="28"/>
        <v/>
      </c>
      <c r="P212" s="8" t="str">
        <f t="shared" si="29"/>
        <v/>
      </c>
      <c r="Q212" s="9"/>
      <c r="R212" s="31"/>
      <c r="S212" s="8" t="str">
        <f t="shared" si="30"/>
        <v/>
      </c>
      <c r="T212" s="8" t="str">
        <f t="shared" si="31"/>
        <v/>
      </c>
      <c r="U212" s="8">
        <f>IF(T212="",0,IF(SUMPRODUCT(--(T$4:T212=T212))&gt;1,1,0))</f>
        <v>0</v>
      </c>
      <c r="V212" s="8">
        <f>IF(OR(T212="",U212=1,B212="",K212&lt;&gt;"نعم"),0,IF(COUNTIFS(B$4:B212,B212,K$4:K212,"نعم",U$4:U212,0)=1,1,0))</f>
        <v>0</v>
      </c>
    </row>
    <row r="213" spans="1:22" x14ac:dyDescent="0.25">
      <c r="A213" s="8">
        <v>210</v>
      </c>
      <c r="B213" s="9"/>
      <c r="C213" s="33" t="str">
        <f t="shared" si="24"/>
        <v/>
      </c>
      <c r="D213" s="31"/>
      <c r="E213" s="31"/>
      <c r="F213" s="11"/>
      <c r="G213" s="11"/>
      <c r="H213" s="11"/>
      <c r="I213" s="9"/>
      <c r="J213" s="12" t="str">
        <f t="shared" si="25"/>
        <v/>
      </c>
      <c r="K213" s="9"/>
      <c r="L213" s="12" t="str">
        <f t="shared" si="26"/>
        <v/>
      </c>
      <c r="M213" s="11"/>
      <c r="N213" s="12" t="str">
        <f t="shared" si="27"/>
        <v/>
      </c>
      <c r="O213" s="12" t="str">
        <f t="shared" si="28"/>
        <v/>
      </c>
      <c r="P213" s="8" t="str">
        <f t="shared" si="29"/>
        <v/>
      </c>
      <c r="Q213" s="9"/>
      <c r="R213" s="31"/>
      <c r="S213" s="8" t="str">
        <f t="shared" si="30"/>
        <v/>
      </c>
      <c r="T213" s="8" t="str">
        <f t="shared" si="31"/>
        <v/>
      </c>
      <c r="U213" s="8">
        <f>IF(T213="",0,IF(SUMPRODUCT(--(T$4:T213=T213))&gt;1,1,0))</f>
        <v>0</v>
      </c>
      <c r="V213" s="8">
        <f>IF(OR(T213="",U213=1,B213="",K213&lt;&gt;"نعم"),0,IF(COUNTIFS(B$4:B213,B213,K$4:K213,"نعم",U$4:U213,0)=1,1,0))</f>
        <v>0</v>
      </c>
    </row>
    <row r="214" spans="1:22" x14ac:dyDescent="0.25">
      <c r="A214" s="8">
        <v>211</v>
      </c>
      <c r="B214" s="9"/>
      <c r="C214" s="33" t="str">
        <f t="shared" si="24"/>
        <v/>
      </c>
      <c r="D214" s="31"/>
      <c r="E214" s="31"/>
      <c r="F214" s="11"/>
      <c r="G214" s="11"/>
      <c r="H214" s="11"/>
      <c r="I214" s="9"/>
      <c r="J214" s="12" t="str">
        <f t="shared" si="25"/>
        <v/>
      </c>
      <c r="K214" s="9"/>
      <c r="L214" s="12" t="str">
        <f t="shared" si="26"/>
        <v/>
      </c>
      <c r="M214" s="11"/>
      <c r="N214" s="12" t="str">
        <f t="shared" si="27"/>
        <v/>
      </c>
      <c r="O214" s="12" t="str">
        <f t="shared" si="28"/>
        <v/>
      </c>
      <c r="P214" s="8" t="str">
        <f t="shared" si="29"/>
        <v/>
      </c>
      <c r="Q214" s="9"/>
      <c r="R214" s="31"/>
      <c r="S214" s="8" t="str">
        <f t="shared" si="30"/>
        <v/>
      </c>
      <c r="T214" s="8" t="str">
        <f t="shared" si="31"/>
        <v/>
      </c>
      <c r="U214" s="8">
        <f>IF(T214="",0,IF(SUMPRODUCT(--(T$4:T214=T214))&gt;1,1,0))</f>
        <v>0</v>
      </c>
      <c r="V214" s="8">
        <f>IF(OR(T214="",U214=1,B214="",K214&lt;&gt;"نعم"),0,IF(COUNTIFS(B$4:B214,B214,K$4:K214,"نعم",U$4:U214,0)=1,1,0))</f>
        <v>0</v>
      </c>
    </row>
    <row r="215" spans="1:22" x14ac:dyDescent="0.25">
      <c r="A215" s="8">
        <v>212</v>
      </c>
      <c r="B215" s="9"/>
      <c r="C215" s="33" t="str">
        <f t="shared" si="24"/>
        <v/>
      </c>
      <c r="D215" s="31"/>
      <c r="E215" s="31"/>
      <c r="F215" s="11"/>
      <c r="G215" s="11"/>
      <c r="H215" s="11"/>
      <c r="I215" s="9"/>
      <c r="J215" s="12" t="str">
        <f t="shared" si="25"/>
        <v/>
      </c>
      <c r="K215" s="9"/>
      <c r="L215" s="12" t="str">
        <f t="shared" si="26"/>
        <v/>
      </c>
      <c r="M215" s="11"/>
      <c r="N215" s="12" t="str">
        <f t="shared" si="27"/>
        <v/>
      </c>
      <c r="O215" s="12" t="str">
        <f t="shared" si="28"/>
        <v/>
      </c>
      <c r="P215" s="8" t="str">
        <f t="shared" si="29"/>
        <v/>
      </c>
      <c r="Q215" s="9"/>
      <c r="R215" s="31"/>
      <c r="S215" s="8" t="str">
        <f t="shared" si="30"/>
        <v/>
      </c>
      <c r="T215" s="8" t="str">
        <f t="shared" si="31"/>
        <v/>
      </c>
      <c r="U215" s="8">
        <f>IF(T215="",0,IF(SUMPRODUCT(--(T$4:T215=T215))&gt;1,1,0))</f>
        <v>0</v>
      </c>
      <c r="V215" s="8">
        <f>IF(OR(T215="",U215=1,B215="",K215&lt;&gt;"نعم"),0,IF(COUNTIFS(B$4:B215,B215,K$4:K215,"نعم",U$4:U215,0)=1,1,0))</f>
        <v>0</v>
      </c>
    </row>
    <row r="216" spans="1:22" x14ac:dyDescent="0.25">
      <c r="A216" s="8">
        <v>213</v>
      </c>
      <c r="B216" s="9"/>
      <c r="C216" s="33" t="str">
        <f t="shared" si="24"/>
        <v/>
      </c>
      <c r="D216" s="31"/>
      <c r="E216" s="31"/>
      <c r="F216" s="11"/>
      <c r="G216" s="11"/>
      <c r="H216" s="11"/>
      <c r="I216" s="9"/>
      <c r="J216" s="12" t="str">
        <f t="shared" si="25"/>
        <v/>
      </c>
      <c r="K216" s="9"/>
      <c r="L216" s="12" t="str">
        <f t="shared" si="26"/>
        <v/>
      </c>
      <c r="M216" s="11"/>
      <c r="N216" s="12" t="str">
        <f t="shared" si="27"/>
        <v/>
      </c>
      <c r="O216" s="12" t="str">
        <f t="shared" si="28"/>
        <v/>
      </c>
      <c r="P216" s="8" t="str">
        <f t="shared" si="29"/>
        <v/>
      </c>
      <c r="Q216" s="9"/>
      <c r="R216" s="31"/>
      <c r="S216" s="8" t="str">
        <f t="shared" si="30"/>
        <v/>
      </c>
      <c r="T216" s="8" t="str">
        <f t="shared" si="31"/>
        <v/>
      </c>
      <c r="U216" s="8">
        <f>IF(T216="",0,IF(SUMPRODUCT(--(T$4:T216=T216))&gt;1,1,0))</f>
        <v>0</v>
      </c>
      <c r="V216" s="8">
        <f>IF(OR(T216="",U216=1,B216="",K216&lt;&gt;"نعم"),0,IF(COUNTIFS(B$4:B216,B216,K$4:K216,"نعم",U$4:U216,0)=1,1,0))</f>
        <v>0</v>
      </c>
    </row>
    <row r="217" spans="1:22" x14ac:dyDescent="0.25">
      <c r="A217" s="8">
        <v>214</v>
      </c>
      <c r="B217" s="9"/>
      <c r="C217" s="33" t="str">
        <f t="shared" si="24"/>
        <v/>
      </c>
      <c r="D217" s="31"/>
      <c r="E217" s="31"/>
      <c r="F217" s="11"/>
      <c r="G217" s="11"/>
      <c r="H217" s="11"/>
      <c r="I217" s="9"/>
      <c r="J217" s="12" t="str">
        <f t="shared" si="25"/>
        <v/>
      </c>
      <c r="K217" s="9"/>
      <c r="L217" s="12" t="str">
        <f t="shared" si="26"/>
        <v/>
      </c>
      <c r="M217" s="11"/>
      <c r="N217" s="12" t="str">
        <f t="shared" si="27"/>
        <v/>
      </c>
      <c r="O217" s="12" t="str">
        <f t="shared" si="28"/>
        <v/>
      </c>
      <c r="P217" s="8" t="str">
        <f t="shared" si="29"/>
        <v/>
      </c>
      <c r="Q217" s="9"/>
      <c r="R217" s="31"/>
      <c r="S217" s="8" t="str">
        <f t="shared" si="30"/>
        <v/>
      </c>
      <c r="T217" s="8" t="str">
        <f t="shared" si="31"/>
        <v/>
      </c>
      <c r="U217" s="8">
        <f>IF(T217="",0,IF(SUMPRODUCT(--(T$4:T217=T217))&gt;1,1,0))</f>
        <v>0</v>
      </c>
      <c r="V217" s="8">
        <f>IF(OR(T217="",U217=1,B217="",K217&lt;&gt;"نعم"),0,IF(COUNTIFS(B$4:B217,B217,K$4:K217,"نعم",U$4:U217,0)=1,1,0))</f>
        <v>0</v>
      </c>
    </row>
    <row r="218" spans="1:22" x14ac:dyDescent="0.25">
      <c r="A218" s="8">
        <v>215</v>
      </c>
      <c r="B218" s="9"/>
      <c r="C218" s="33" t="str">
        <f t="shared" si="24"/>
        <v/>
      </c>
      <c r="D218" s="31"/>
      <c r="E218" s="31"/>
      <c r="F218" s="11"/>
      <c r="G218" s="11"/>
      <c r="H218" s="11"/>
      <c r="I218" s="9"/>
      <c r="J218" s="12" t="str">
        <f t="shared" si="25"/>
        <v/>
      </c>
      <c r="K218" s="9"/>
      <c r="L218" s="12" t="str">
        <f t="shared" si="26"/>
        <v/>
      </c>
      <c r="M218" s="11"/>
      <c r="N218" s="12" t="str">
        <f t="shared" si="27"/>
        <v/>
      </c>
      <c r="O218" s="12" t="str">
        <f t="shared" si="28"/>
        <v/>
      </c>
      <c r="P218" s="8" t="str">
        <f t="shared" si="29"/>
        <v/>
      </c>
      <c r="Q218" s="9"/>
      <c r="R218" s="31"/>
      <c r="S218" s="8" t="str">
        <f t="shared" si="30"/>
        <v/>
      </c>
      <c r="T218" s="8" t="str">
        <f t="shared" si="31"/>
        <v/>
      </c>
      <c r="U218" s="8">
        <f>IF(T218="",0,IF(SUMPRODUCT(--(T$4:T218=T218))&gt;1,1,0))</f>
        <v>0</v>
      </c>
      <c r="V218" s="8">
        <f>IF(OR(T218="",U218=1,B218="",K218&lt;&gt;"نعم"),0,IF(COUNTIFS(B$4:B218,B218,K$4:K218,"نعم",U$4:U218,0)=1,1,0))</f>
        <v>0</v>
      </c>
    </row>
    <row r="219" spans="1:22" x14ac:dyDescent="0.25">
      <c r="A219" s="8">
        <v>216</v>
      </c>
      <c r="B219" s="9"/>
      <c r="C219" s="33" t="str">
        <f t="shared" si="24"/>
        <v/>
      </c>
      <c r="D219" s="31"/>
      <c r="E219" s="31"/>
      <c r="F219" s="11"/>
      <c r="G219" s="11"/>
      <c r="H219" s="11"/>
      <c r="I219" s="9"/>
      <c r="J219" s="12" t="str">
        <f t="shared" si="25"/>
        <v/>
      </c>
      <c r="K219" s="9"/>
      <c r="L219" s="12" t="str">
        <f t="shared" si="26"/>
        <v/>
      </c>
      <c r="M219" s="11"/>
      <c r="N219" s="12" t="str">
        <f t="shared" si="27"/>
        <v/>
      </c>
      <c r="O219" s="12" t="str">
        <f t="shared" si="28"/>
        <v/>
      </c>
      <c r="P219" s="8" t="str">
        <f t="shared" si="29"/>
        <v/>
      </c>
      <c r="Q219" s="9"/>
      <c r="R219" s="31"/>
      <c r="S219" s="8" t="str">
        <f t="shared" si="30"/>
        <v/>
      </c>
      <c r="T219" s="8" t="str">
        <f t="shared" si="31"/>
        <v/>
      </c>
      <c r="U219" s="8">
        <f>IF(T219="",0,IF(SUMPRODUCT(--(T$4:T219=T219))&gt;1,1,0))</f>
        <v>0</v>
      </c>
      <c r="V219" s="8">
        <f>IF(OR(T219="",U219=1,B219="",K219&lt;&gt;"نعم"),0,IF(COUNTIFS(B$4:B219,B219,K$4:K219,"نعم",U$4:U219,0)=1,1,0))</f>
        <v>0</v>
      </c>
    </row>
    <row r="220" spans="1:22" x14ac:dyDescent="0.25">
      <c r="A220" s="8">
        <v>217</v>
      </c>
      <c r="B220" s="9"/>
      <c r="C220" s="33" t="str">
        <f t="shared" si="24"/>
        <v/>
      </c>
      <c r="D220" s="31"/>
      <c r="E220" s="31"/>
      <c r="F220" s="11"/>
      <c r="G220" s="11"/>
      <c r="H220" s="11"/>
      <c r="I220" s="9"/>
      <c r="J220" s="12" t="str">
        <f t="shared" si="25"/>
        <v/>
      </c>
      <c r="K220" s="9"/>
      <c r="L220" s="12" t="str">
        <f t="shared" si="26"/>
        <v/>
      </c>
      <c r="M220" s="11"/>
      <c r="N220" s="12" t="str">
        <f t="shared" si="27"/>
        <v/>
      </c>
      <c r="O220" s="12" t="str">
        <f t="shared" si="28"/>
        <v/>
      </c>
      <c r="P220" s="8" t="str">
        <f t="shared" si="29"/>
        <v/>
      </c>
      <c r="Q220" s="9"/>
      <c r="R220" s="31"/>
      <c r="S220" s="8" t="str">
        <f t="shared" si="30"/>
        <v/>
      </c>
      <c r="T220" s="8" t="str">
        <f t="shared" si="31"/>
        <v/>
      </c>
      <c r="U220" s="8">
        <f>IF(T220="",0,IF(SUMPRODUCT(--(T$4:T220=T220))&gt;1,1,0))</f>
        <v>0</v>
      </c>
      <c r="V220" s="8">
        <f>IF(OR(T220="",U220=1,B220="",K220&lt;&gt;"نعم"),0,IF(COUNTIFS(B$4:B220,B220,K$4:K220,"نعم",U$4:U220,0)=1,1,0))</f>
        <v>0</v>
      </c>
    </row>
    <row r="221" spans="1:22" x14ac:dyDescent="0.25">
      <c r="A221" s="8">
        <v>218</v>
      </c>
      <c r="B221" s="9"/>
      <c r="C221" s="33" t="str">
        <f t="shared" si="24"/>
        <v/>
      </c>
      <c r="D221" s="31"/>
      <c r="E221" s="31"/>
      <c r="F221" s="11"/>
      <c r="G221" s="11"/>
      <c r="H221" s="11"/>
      <c r="I221" s="9"/>
      <c r="J221" s="12" t="str">
        <f t="shared" si="25"/>
        <v/>
      </c>
      <c r="K221" s="9"/>
      <c r="L221" s="12" t="str">
        <f t="shared" si="26"/>
        <v/>
      </c>
      <c r="M221" s="11"/>
      <c r="N221" s="12" t="str">
        <f t="shared" si="27"/>
        <v/>
      </c>
      <c r="O221" s="12" t="str">
        <f t="shared" si="28"/>
        <v/>
      </c>
      <c r="P221" s="8" t="str">
        <f t="shared" si="29"/>
        <v/>
      </c>
      <c r="Q221" s="9"/>
      <c r="R221" s="31"/>
      <c r="S221" s="8" t="str">
        <f t="shared" si="30"/>
        <v/>
      </c>
      <c r="T221" s="8" t="str">
        <f t="shared" si="31"/>
        <v/>
      </c>
      <c r="U221" s="8">
        <f>IF(T221="",0,IF(SUMPRODUCT(--(T$4:T221=T221))&gt;1,1,0))</f>
        <v>0</v>
      </c>
      <c r="V221" s="8">
        <f>IF(OR(T221="",U221=1,B221="",K221&lt;&gt;"نعم"),0,IF(COUNTIFS(B$4:B221,B221,K$4:K221,"نعم",U$4:U221,0)=1,1,0))</f>
        <v>0</v>
      </c>
    </row>
    <row r="222" spans="1:22" x14ac:dyDescent="0.25">
      <c r="A222" s="8">
        <v>219</v>
      </c>
      <c r="B222" s="9"/>
      <c r="C222" s="33" t="str">
        <f t="shared" si="24"/>
        <v/>
      </c>
      <c r="D222" s="31"/>
      <c r="E222" s="31"/>
      <c r="F222" s="11"/>
      <c r="G222" s="11"/>
      <c r="H222" s="11"/>
      <c r="I222" s="9"/>
      <c r="J222" s="12" t="str">
        <f t="shared" si="25"/>
        <v/>
      </c>
      <c r="K222" s="9"/>
      <c r="L222" s="12" t="str">
        <f t="shared" si="26"/>
        <v/>
      </c>
      <c r="M222" s="11"/>
      <c r="N222" s="12" t="str">
        <f t="shared" si="27"/>
        <v/>
      </c>
      <c r="O222" s="12" t="str">
        <f t="shared" si="28"/>
        <v/>
      </c>
      <c r="P222" s="8" t="str">
        <f t="shared" si="29"/>
        <v/>
      </c>
      <c r="Q222" s="9"/>
      <c r="R222" s="31"/>
      <c r="S222" s="8" t="str">
        <f t="shared" si="30"/>
        <v/>
      </c>
      <c r="T222" s="8" t="str">
        <f t="shared" si="31"/>
        <v/>
      </c>
      <c r="U222" s="8">
        <f>IF(T222="",0,IF(SUMPRODUCT(--(T$4:T222=T222))&gt;1,1,0))</f>
        <v>0</v>
      </c>
      <c r="V222" s="8">
        <f>IF(OR(T222="",U222=1,B222="",K222&lt;&gt;"نعم"),0,IF(COUNTIFS(B$4:B222,B222,K$4:K222,"نعم",U$4:U222,0)=1,1,0))</f>
        <v>0</v>
      </c>
    </row>
    <row r="223" spans="1:22" x14ac:dyDescent="0.25">
      <c r="A223" s="8">
        <v>220</v>
      </c>
      <c r="B223" s="9"/>
      <c r="C223" s="33" t="str">
        <f t="shared" si="24"/>
        <v/>
      </c>
      <c r="D223" s="31"/>
      <c r="E223" s="31"/>
      <c r="F223" s="11"/>
      <c r="G223" s="11"/>
      <c r="H223" s="11"/>
      <c r="I223" s="9"/>
      <c r="J223" s="12" t="str">
        <f t="shared" si="25"/>
        <v/>
      </c>
      <c r="K223" s="9"/>
      <c r="L223" s="12" t="str">
        <f t="shared" si="26"/>
        <v/>
      </c>
      <c r="M223" s="11"/>
      <c r="N223" s="12" t="str">
        <f t="shared" si="27"/>
        <v/>
      </c>
      <c r="O223" s="12" t="str">
        <f t="shared" si="28"/>
        <v/>
      </c>
      <c r="P223" s="8" t="str">
        <f t="shared" si="29"/>
        <v/>
      </c>
      <c r="Q223" s="9"/>
      <c r="R223" s="31"/>
      <c r="S223" s="8" t="str">
        <f t="shared" si="30"/>
        <v/>
      </c>
      <c r="T223" s="8" t="str">
        <f t="shared" si="31"/>
        <v/>
      </c>
      <c r="U223" s="8">
        <f>IF(T223="",0,IF(SUMPRODUCT(--(T$4:T223=T223))&gt;1,1,0))</f>
        <v>0</v>
      </c>
      <c r="V223" s="8">
        <f>IF(OR(T223="",U223=1,B223="",K223&lt;&gt;"نعم"),0,IF(COUNTIFS(B$4:B223,B223,K$4:K223,"نعم",U$4:U223,0)=1,1,0))</f>
        <v>0</v>
      </c>
    </row>
    <row r="224" spans="1:22" x14ac:dyDescent="0.25">
      <c r="A224" s="8">
        <v>221</v>
      </c>
      <c r="B224" s="9"/>
      <c r="C224" s="33" t="str">
        <f t="shared" si="24"/>
        <v/>
      </c>
      <c r="D224" s="31"/>
      <c r="E224" s="31"/>
      <c r="F224" s="11"/>
      <c r="G224" s="11"/>
      <c r="H224" s="11"/>
      <c r="I224" s="9"/>
      <c r="J224" s="12" t="str">
        <f t="shared" si="25"/>
        <v/>
      </c>
      <c r="K224" s="9"/>
      <c r="L224" s="12" t="str">
        <f t="shared" si="26"/>
        <v/>
      </c>
      <c r="M224" s="11"/>
      <c r="N224" s="12" t="str">
        <f t="shared" si="27"/>
        <v/>
      </c>
      <c r="O224" s="12" t="str">
        <f t="shared" si="28"/>
        <v/>
      </c>
      <c r="P224" s="8" t="str">
        <f t="shared" si="29"/>
        <v/>
      </c>
      <c r="Q224" s="9"/>
      <c r="R224" s="31"/>
      <c r="S224" s="8" t="str">
        <f t="shared" si="30"/>
        <v/>
      </c>
      <c r="T224" s="8" t="str">
        <f t="shared" si="31"/>
        <v/>
      </c>
      <c r="U224" s="8">
        <f>IF(T224="",0,IF(SUMPRODUCT(--(T$4:T224=T224))&gt;1,1,0))</f>
        <v>0</v>
      </c>
      <c r="V224" s="8">
        <f>IF(OR(T224="",U224=1,B224="",K224&lt;&gt;"نعم"),0,IF(COUNTIFS(B$4:B224,B224,K$4:K224,"نعم",U$4:U224,0)=1,1,0))</f>
        <v>0</v>
      </c>
    </row>
    <row r="225" spans="1:22" x14ac:dyDescent="0.25">
      <c r="A225" s="8">
        <v>222</v>
      </c>
      <c r="B225" s="9"/>
      <c r="C225" s="33" t="str">
        <f t="shared" si="24"/>
        <v/>
      </c>
      <c r="D225" s="31"/>
      <c r="E225" s="31"/>
      <c r="F225" s="11"/>
      <c r="G225" s="11"/>
      <c r="H225" s="11"/>
      <c r="I225" s="9"/>
      <c r="J225" s="12" t="str">
        <f t="shared" si="25"/>
        <v/>
      </c>
      <c r="K225" s="9"/>
      <c r="L225" s="12" t="str">
        <f t="shared" si="26"/>
        <v/>
      </c>
      <c r="M225" s="11"/>
      <c r="N225" s="12" t="str">
        <f t="shared" si="27"/>
        <v/>
      </c>
      <c r="O225" s="12" t="str">
        <f t="shared" si="28"/>
        <v/>
      </c>
      <c r="P225" s="8" t="str">
        <f t="shared" si="29"/>
        <v/>
      </c>
      <c r="Q225" s="9"/>
      <c r="R225" s="31"/>
      <c r="S225" s="8" t="str">
        <f t="shared" si="30"/>
        <v/>
      </c>
      <c r="T225" s="8" t="str">
        <f t="shared" si="31"/>
        <v/>
      </c>
      <c r="U225" s="8">
        <f>IF(T225="",0,IF(SUMPRODUCT(--(T$4:T225=T225))&gt;1,1,0))</f>
        <v>0</v>
      </c>
      <c r="V225" s="8">
        <f>IF(OR(T225="",U225=1,B225="",K225&lt;&gt;"نعم"),0,IF(COUNTIFS(B$4:B225,B225,K$4:K225,"نعم",U$4:U225,0)=1,1,0))</f>
        <v>0</v>
      </c>
    </row>
    <row r="226" spans="1:22" x14ac:dyDescent="0.25">
      <c r="A226" s="8">
        <v>223</v>
      </c>
      <c r="B226" s="9"/>
      <c r="C226" s="33" t="str">
        <f t="shared" si="24"/>
        <v/>
      </c>
      <c r="D226" s="31"/>
      <c r="E226" s="31"/>
      <c r="F226" s="11"/>
      <c r="G226" s="11"/>
      <c r="H226" s="11"/>
      <c r="I226" s="9"/>
      <c r="J226" s="12" t="str">
        <f t="shared" si="25"/>
        <v/>
      </c>
      <c r="K226" s="9"/>
      <c r="L226" s="12" t="str">
        <f t="shared" si="26"/>
        <v/>
      </c>
      <c r="M226" s="11"/>
      <c r="N226" s="12" t="str">
        <f t="shared" si="27"/>
        <v/>
      </c>
      <c r="O226" s="12" t="str">
        <f t="shared" si="28"/>
        <v/>
      </c>
      <c r="P226" s="8" t="str">
        <f t="shared" si="29"/>
        <v/>
      </c>
      <c r="Q226" s="9"/>
      <c r="R226" s="31"/>
      <c r="S226" s="8" t="str">
        <f t="shared" si="30"/>
        <v/>
      </c>
      <c r="T226" s="8" t="str">
        <f t="shared" si="31"/>
        <v/>
      </c>
      <c r="U226" s="8">
        <f>IF(T226="",0,IF(SUMPRODUCT(--(T$4:T226=T226))&gt;1,1,0))</f>
        <v>0</v>
      </c>
      <c r="V226" s="8">
        <f>IF(OR(T226="",U226=1,B226="",K226&lt;&gt;"نعم"),0,IF(COUNTIFS(B$4:B226,B226,K$4:K226,"نعم",U$4:U226,0)=1,1,0))</f>
        <v>0</v>
      </c>
    </row>
    <row r="227" spans="1:22" x14ac:dyDescent="0.25">
      <c r="A227" s="8">
        <v>224</v>
      </c>
      <c r="B227" s="9"/>
      <c r="C227" s="33" t="str">
        <f t="shared" si="24"/>
        <v/>
      </c>
      <c r="D227" s="31"/>
      <c r="E227" s="31"/>
      <c r="F227" s="11"/>
      <c r="G227" s="11"/>
      <c r="H227" s="11"/>
      <c r="I227" s="9"/>
      <c r="J227" s="12" t="str">
        <f t="shared" si="25"/>
        <v/>
      </c>
      <c r="K227" s="9"/>
      <c r="L227" s="12" t="str">
        <f t="shared" si="26"/>
        <v/>
      </c>
      <c r="M227" s="11"/>
      <c r="N227" s="12" t="str">
        <f t="shared" si="27"/>
        <v/>
      </c>
      <c r="O227" s="12" t="str">
        <f t="shared" si="28"/>
        <v/>
      </c>
      <c r="P227" s="8" t="str">
        <f t="shared" si="29"/>
        <v/>
      </c>
      <c r="Q227" s="9"/>
      <c r="R227" s="31"/>
      <c r="S227" s="8" t="str">
        <f t="shared" si="30"/>
        <v/>
      </c>
      <c r="T227" s="8" t="str">
        <f t="shared" si="31"/>
        <v/>
      </c>
      <c r="U227" s="8">
        <f>IF(T227="",0,IF(SUMPRODUCT(--(T$4:T227=T227))&gt;1,1,0))</f>
        <v>0</v>
      </c>
      <c r="V227" s="8">
        <f>IF(OR(T227="",U227=1,B227="",K227&lt;&gt;"نعم"),0,IF(COUNTIFS(B$4:B227,B227,K$4:K227,"نعم",U$4:U227,0)=1,1,0))</f>
        <v>0</v>
      </c>
    </row>
    <row r="228" spans="1:22" x14ac:dyDescent="0.25">
      <c r="A228" s="8">
        <v>225</v>
      </c>
      <c r="B228" s="9"/>
      <c r="C228" s="33" t="str">
        <f t="shared" si="24"/>
        <v/>
      </c>
      <c r="D228" s="31"/>
      <c r="E228" s="31"/>
      <c r="F228" s="11"/>
      <c r="G228" s="11"/>
      <c r="H228" s="11"/>
      <c r="I228" s="9"/>
      <c r="J228" s="12" t="str">
        <f t="shared" si="25"/>
        <v/>
      </c>
      <c r="K228" s="9"/>
      <c r="L228" s="12" t="str">
        <f t="shared" si="26"/>
        <v/>
      </c>
      <c r="M228" s="11"/>
      <c r="N228" s="12" t="str">
        <f t="shared" si="27"/>
        <v/>
      </c>
      <c r="O228" s="12" t="str">
        <f t="shared" si="28"/>
        <v/>
      </c>
      <c r="P228" s="8" t="str">
        <f t="shared" si="29"/>
        <v/>
      </c>
      <c r="Q228" s="9"/>
      <c r="R228" s="31"/>
      <c r="S228" s="8" t="str">
        <f t="shared" si="30"/>
        <v/>
      </c>
      <c r="T228" s="8" t="str">
        <f t="shared" si="31"/>
        <v/>
      </c>
      <c r="U228" s="8">
        <f>IF(T228="",0,IF(SUMPRODUCT(--(T$4:T228=T228))&gt;1,1,0))</f>
        <v>0</v>
      </c>
      <c r="V228" s="8">
        <f>IF(OR(T228="",U228=1,B228="",K228&lt;&gt;"نعم"),0,IF(COUNTIFS(B$4:B228,B228,K$4:K228,"نعم",U$4:U228,0)=1,1,0))</f>
        <v>0</v>
      </c>
    </row>
    <row r="229" spans="1:22" x14ac:dyDescent="0.25">
      <c r="A229" s="8">
        <v>226</v>
      </c>
      <c r="B229" s="9"/>
      <c r="C229" s="33" t="str">
        <f t="shared" si="24"/>
        <v/>
      </c>
      <c r="D229" s="31"/>
      <c r="E229" s="31"/>
      <c r="F229" s="11"/>
      <c r="G229" s="11"/>
      <c r="H229" s="11"/>
      <c r="I229" s="9"/>
      <c r="J229" s="12" t="str">
        <f t="shared" si="25"/>
        <v/>
      </c>
      <c r="K229" s="9"/>
      <c r="L229" s="12" t="str">
        <f t="shared" si="26"/>
        <v/>
      </c>
      <c r="M229" s="11"/>
      <c r="N229" s="12" t="str">
        <f t="shared" si="27"/>
        <v/>
      </c>
      <c r="O229" s="12" t="str">
        <f t="shared" si="28"/>
        <v/>
      </c>
      <c r="P229" s="8" t="str">
        <f t="shared" si="29"/>
        <v/>
      </c>
      <c r="Q229" s="9"/>
      <c r="R229" s="31"/>
      <c r="S229" s="8" t="str">
        <f t="shared" si="30"/>
        <v/>
      </c>
      <c r="T229" s="8" t="str">
        <f t="shared" si="31"/>
        <v/>
      </c>
      <c r="U229" s="8">
        <f>IF(T229="",0,IF(SUMPRODUCT(--(T$4:T229=T229))&gt;1,1,0))</f>
        <v>0</v>
      </c>
      <c r="V229" s="8">
        <f>IF(OR(T229="",U229=1,B229="",K229&lt;&gt;"نعم"),0,IF(COUNTIFS(B$4:B229,B229,K$4:K229,"نعم",U$4:U229,0)=1,1,0))</f>
        <v>0</v>
      </c>
    </row>
    <row r="230" spans="1:22" x14ac:dyDescent="0.25">
      <c r="A230" s="8">
        <v>227</v>
      </c>
      <c r="B230" s="9"/>
      <c r="C230" s="33" t="str">
        <f t="shared" si="24"/>
        <v/>
      </c>
      <c r="D230" s="31"/>
      <c r="E230" s="31"/>
      <c r="F230" s="11"/>
      <c r="G230" s="11"/>
      <c r="H230" s="11"/>
      <c r="I230" s="9"/>
      <c r="J230" s="12" t="str">
        <f t="shared" si="25"/>
        <v/>
      </c>
      <c r="K230" s="9"/>
      <c r="L230" s="12" t="str">
        <f t="shared" si="26"/>
        <v/>
      </c>
      <c r="M230" s="11"/>
      <c r="N230" s="12" t="str">
        <f t="shared" si="27"/>
        <v/>
      </c>
      <c r="O230" s="12" t="str">
        <f t="shared" si="28"/>
        <v/>
      </c>
      <c r="P230" s="8" t="str">
        <f t="shared" si="29"/>
        <v/>
      </c>
      <c r="Q230" s="9"/>
      <c r="R230" s="31"/>
      <c r="S230" s="8" t="str">
        <f t="shared" si="30"/>
        <v/>
      </c>
      <c r="T230" s="8" t="str">
        <f t="shared" si="31"/>
        <v/>
      </c>
      <c r="U230" s="8">
        <f>IF(T230="",0,IF(SUMPRODUCT(--(T$4:T230=T230))&gt;1,1,0))</f>
        <v>0</v>
      </c>
      <c r="V230" s="8">
        <f>IF(OR(T230="",U230=1,B230="",K230&lt;&gt;"نعم"),0,IF(COUNTIFS(B$4:B230,B230,K$4:K230,"نعم",U$4:U230,0)=1,1,0))</f>
        <v>0</v>
      </c>
    </row>
    <row r="231" spans="1:22" x14ac:dyDescent="0.25">
      <c r="A231" s="8">
        <v>228</v>
      </c>
      <c r="B231" s="9"/>
      <c r="C231" s="33" t="str">
        <f t="shared" si="24"/>
        <v/>
      </c>
      <c r="D231" s="31"/>
      <c r="E231" s="31"/>
      <c r="F231" s="11"/>
      <c r="G231" s="11"/>
      <c r="H231" s="11"/>
      <c r="I231" s="9"/>
      <c r="J231" s="12" t="str">
        <f t="shared" si="25"/>
        <v/>
      </c>
      <c r="K231" s="9"/>
      <c r="L231" s="12" t="str">
        <f t="shared" si="26"/>
        <v/>
      </c>
      <c r="M231" s="11"/>
      <c r="N231" s="12" t="str">
        <f t="shared" si="27"/>
        <v/>
      </c>
      <c r="O231" s="12" t="str">
        <f t="shared" si="28"/>
        <v/>
      </c>
      <c r="P231" s="8" t="str">
        <f t="shared" si="29"/>
        <v/>
      </c>
      <c r="Q231" s="9"/>
      <c r="R231" s="31"/>
      <c r="S231" s="8" t="str">
        <f t="shared" si="30"/>
        <v/>
      </c>
      <c r="T231" s="8" t="str">
        <f t="shared" si="31"/>
        <v/>
      </c>
      <c r="U231" s="8">
        <f>IF(T231="",0,IF(SUMPRODUCT(--(T$4:T231=T231))&gt;1,1,0))</f>
        <v>0</v>
      </c>
      <c r="V231" s="8">
        <f>IF(OR(T231="",U231=1,B231="",K231&lt;&gt;"نعم"),0,IF(COUNTIFS(B$4:B231,B231,K$4:K231,"نعم",U$4:U231,0)=1,1,0))</f>
        <v>0</v>
      </c>
    </row>
    <row r="232" spans="1:22" x14ac:dyDescent="0.25">
      <c r="A232" s="8">
        <v>229</v>
      </c>
      <c r="B232" s="9"/>
      <c r="C232" s="33" t="str">
        <f t="shared" si="24"/>
        <v/>
      </c>
      <c r="D232" s="31"/>
      <c r="E232" s="31"/>
      <c r="F232" s="11"/>
      <c r="G232" s="11"/>
      <c r="H232" s="11"/>
      <c r="I232" s="9"/>
      <c r="J232" s="12" t="str">
        <f t="shared" si="25"/>
        <v/>
      </c>
      <c r="K232" s="9"/>
      <c r="L232" s="12" t="str">
        <f t="shared" si="26"/>
        <v/>
      </c>
      <c r="M232" s="11"/>
      <c r="N232" s="12" t="str">
        <f t="shared" si="27"/>
        <v/>
      </c>
      <c r="O232" s="12" t="str">
        <f t="shared" si="28"/>
        <v/>
      </c>
      <c r="P232" s="8" t="str">
        <f t="shared" si="29"/>
        <v/>
      </c>
      <c r="Q232" s="9"/>
      <c r="R232" s="31"/>
      <c r="S232" s="8" t="str">
        <f t="shared" si="30"/>
        <v/>
      </c>
      <c r="T232" s="8" t="str">
        <f t="shared" si="31"/>
        <v/>
      </c>
      <c r="U232" s="8">
        <f>IF(T232="",0,IF(SUMPRODUCT(--(T$4:T232=T232))&gt;1,1,0))</f>
        <v>0</v>
      </c>
      <c r="V232" s="8">
        <f>IF(OR(T232="",U232=1,B232="",K232&lt;&gt;"نعم"),0,IF(COUNTIFS(B$4:B232,B232,K$4:K232,"نعم",U$4:U232,0)=1,1,0))</f>
        <v>0</v>
      </c>
    </row>
    <row r="233" spans="1:22" x14ac:dyDescent="0.25">
      <c r="A233" s="8">
        <v>230</v>
      </c>
      <c r="B233" s="9"/>
      <c r="C233" s="33" t="str">
        <f t="shared" si="24"/>
        <v/>
      </c>
      <c r="D233" s="31"/>
      <c r="E233" s="31"/>
      <c r="F233" s="11"/>
      <c r="G233" s="11"/>
      <c r="H233" s="11"/>
      <c r="I233" s="9"/>
      <c r="J233" s="12" t="str">
        <f t="shared" si="25"/>
        <v/>
      </c>
      <c r="K233" s="9"/>
      <c r="L233" s="12" t="str">
        <f t="shared" si="26"/>
        <v/>
      </c>
      <c r="M233" s="11"/>
      <c r="N233" s="12" t="str">
        <f t="shared" si="27"/>
        <v/>
      </c>
      <c r="O233" s="12" t="str">
        <f t="shared" si="28"/>
        <v/>
      </c>
      <c r="P233" s="8" t="str">
        <f t="shared" si="29"/>
        <v/>
      </c>
      <c r="Q233" s="9"/>
      <c r="R233" s="31"/>
      <c r="S233" s="8" t="str">
        <f t="shared" si="30"/>
        <v/>
      </c>
      <c r="T233" s="8" t="str">
        <f t="shared" si="31"/>
        <v/>
      </c>
      <c r="U233" s="8">
        <f>IF(T233="",0,IF(SUMPRODUCT(--(T$4:T233=T233))&gt;1,1,0))</f>
        <v>0</v>
      </c>
      <c r="V233" s="8">
        <f>IF(OR(T233="",U233=1,B233="",K233&lt;&gt;"نعم"),0,IF(COUNTIFS(B$4:B233,B233,K$4:K233,"نعم",U$4:U233,0)=1,1,0))</f>
        <v>0</v>
      </c>
    </row>
    <row r="234" spans="1:22" x14ac:dyDescent="0.25">
      <c r="A234" s="8">
        <v>231</v>
      </c>
      <c r="B234" s="9"/>
      <c r="C234" s="33" t="str">
        <f t="shared" si="24"/>
        <v/>
      </c>
      <c r="D234" s="31"/>
      <c r="E234" s="31"/>
      <c r="F234" s="11"/>
      <c r="G234" s="11"/>
      <c r="H234" s="11"/>
      <c r="I234" s="9"/>
      <c r="J234" s="12" t="str">
        <f t="shared" si="25"/>
        <v/>
      </c>
      <c r="K234" s="9"/>
      <c r="L234" s="12" t="str">
        <f t="shared" si="26"/>
        <v/>
      </c>
      <c r="M234" s="11"/>
      <c r="N234" s="12" t="str">
        <f t="shared" si="27"/>
        <v/>
      </c>
      <c r="O234" s="12" t="str">
        <f t="shared" si="28"/>
        <v/>
      </c>
      <c r="P234" s="8" t="str">
        <f t="shared" si="29"/>
        <v/>
      </c>
      <c r="Q234" s="9"/>
      <c r="R234" s="31"/>
      <c r="S234" s="8" t="str">
        <f t="shared" si="30"/>
        <v/>
      </c>
      <c r="T234" s="8" t="str">
        <f t="shared" si="31"/>
        <v/>
      </c>
      <c r="U234" s="8">
        <f>IF(T234="",0,IF(SUMPRODUCT(--(T$4:T234=T234))&gt;1,1,0))</f>
        <v>0</v>
      </c>
      <c r="V234" s="8">
        <f>IF(OR(T234="",U234=1,B234="",K234&lt;&gt;"نعم"),0,IF(COUNTIFS(B$4:B234,B234,K$4:K234,"نعم",U$4:U234,0)=1,1,0))</f>
        <v>0</v>
      </c>
    </row>
    <row r="235" spans="1:22" x14ac:dyDescent="0.25">
      <c r="A235" s="8">
        <v>232</v>
      </c>
      <c r="B235" s="9"/>
      <c r="C235" s="33" t="str">
        <f t="shared" si="24"/>
        <v/>
      </c>
      <c r="D235" s="31"/>
      <c r="E235" s="31"/>
      <c r="F235" s="11"/>
      <c r="G235" s="11"/>
      <c r="H235" s="11"/>
      <c r="I235" s="9"/>
      <c r="J235" s="12" t="str">
        <f t="shared" si="25"/>
        <v/>
      </c>
      <c r="K235" s="9"/>
      <c r="L235" s="12" t="str">
        <f t="shared" si="26"/>
        <v/>
      </c>
      <c r="M235" s="11"/>
      <c r="N235" s="12" t="str">
        <f t="shared" si="27"/>
        <v/>
      </c>
      <c r="O235" s="12" t="str">
        <f t="shared" si="28"/>
        <v/>
      </c>
      <c r="P235" s="8" t="str">
        <f t="shared" si="29"/>
        <v/>
      </c>
      <c r="Q235" s="9"/>
      <c r="R235" s="31"/>
      <c r="S235" s="8" t="str">
        <f t="shared" si="30"/>
        <v/>
      </c>
      <c r="T235" s="8" t="str">
        <f t="shared" si="31"/>
        <v/>
      </c>
      <c r="U235" s="8">
        <f>IF(T235="",0,IF(SUMPRODUCT(--(T$4:T235=T235))&gt;1,1,0))</f>
        <v>0</v>
      </c>
      <c r="V235" s="8">
        <f>IF(OR(T235="",U235=1,B235="",K235&lt;&gt;"نعم"),0,IF(COUNTIFS(B$4:B235,B235,K$4:K235,"نعم",U$4:U235,0)=1,1,0))</f>
        <v>0</v>
      </c>
    </row>
    <row r="236" spans="1:22" x14ac:dyDescent="0.25">
      <c r="A236" s="8">
        <v>233</v>
      </c>
      <c r="B236" s="9"/>
      <c r="C236" s="33" t="str">
        <f t="shared" si="24"/>
        <v/>
      </c>
      <c r="D236" s="31"/>
      <c r="E236" s="31"/>
      <c r="F236" s="11"/>
      <c r="G236" s="11"/>
      <c r="H236" s="11"/>
      <c r="I236" s="9"/>
      <c r="J236" s="12" t="str">
        <f t="shared" si="25"/>
        <v/>
      </c>
      <c r="K236" s="9"/>
      <c r="L236" s="12" t="str">
        <f t="shared" si="26"/>
        <v/>
      </c>
      <c r="M236" s="11"/>
      <c r="N236" s="12" t="str">
        <f t="shared" si="27"/>
        <v/>
      </c>
      <c r="O236" s="12" t="str">
        <f t="shared" si="28"/>
        <v/>
      </c>
      <c r="P236" s="8" t="str">
        <f t="shared" si="29"/>
        <v/>
      </c>
      <c r="Q236" s="9"/>
      <c r="R236" s="31"/>
      <c r="S236" s="8" t="str">
        <f t="shared" si="30"/>
        <v/>
      </c>
      <c r="T236" s="8" t="str">
        <f t="shared" si="31"/>
        <v/>
      </c>
      <c r="U236" s="8">
        <f>IF(T236="",0,IF(SUMPRODUCT(--(T$4:T236=T236))&gt;1,1,0))</f>
        <v>0</v>
      </c>
      <c r="V236" s="8">
        <f>IF(OR(T236="",U236=1,B236="",K236&lt;&gt;"نعم"),0,IF(COUNTIFS(B$4:B236,B236,K$4:K236,"نعم",U$4:U236,0)=1,1,0))</f>
        <v>0</v>
      </c>
    </row>
    <row r="237" spans="1:22" x14ac:dyDescent="0.25">
      <c r="A237" s="8">
        <v>234</v>
      </c>
      <c r="B237" s="9"/>
      <c r="C237" s="33" t="str">
        <f t="shared" si="24"/>
        <v/>
      </c>
      <c r="D237" s="31"/>
      <c r="E237" s="31"/>
      <c r="F237" s="11"/>
      <c r="G237" s="11"/>
      <c r="H237" s="11"/>
      <c r="I237" s="9"/>
      <c r="J237" s="12" t="str">
        <f t="shared" si="25"/>
        <v/>
      </c>
      <c r="K237" s="9"/>
      <c r="L237" s="12" t="str">
        <f t="shared" si="26"/>
        <v/>
      </c>
      <c r="M237" s="11"/>
      <c r="N237" s="12" t="str">
        <f t="shared" si="27"/>
        <v/>
      </c>
      <c r="O237" s="12" t="str">
        <f t="shared" si="28"/>
        <v/>
      </c>
      <c r="P237" s="8" t="str">
        <f t="shared" si="29"/>
        <v/>
      </c>
      <c r="Q237" s="9"/>
      <c r="R237" s="31"/>
      <c r="S237" s="8" t="str">
        <f t="shared" si="30"/>
        <v/>
      </c>
      <c r="T237" s="8" t="str">
        <f t="shared" si="31"/>
        <v/>
      </c>
      <c r="U237" s="8">
        <f>IF(T237="",0,IF(SUMPRODUCT(--(T$4:T237=T237))&gt;1,1,0))</f>
        <v>0</v>
      </c>
      <c r="V237" s="8">
        <f>IF(OR(T237="",U237=1,B237="",K237&lt;&gt;"نعم"),0,IF(COUNTIFS(B$4:B237,B237,K$4:K237,"نعم",U$4:U237,0)=1,1,0))</f>
        <v>0</v>
      </c>
    </row>
    <row r="238" spans="1:22" x14ac:dyDescent="0.25">
      <c r="A238" s="8">
        <v>235</v>
      </c>
      <c r="B238" s="9"/>
      <c r="C238" s="33" t="str">
        <f t="shared" si="24"/>
        <v/>
      </c>
      <c r="D238" s="31"/>
      <c r="E238" s="31"/>
      <c r="F238" s="11"/>
      <c r="G238" s="11"/>
      <c r="H238" s="11"/>
      <c r="I238" s="9"/>
      <c r="J238" s="12" t="str">
        <f t="shared" si="25"/>
        <v/>
      </c>
      <c r="K238" s="9"/>
      <c r="L238" s="12" t="str">
        <f t="shared" si="26"/>
        <v/>
      </c>
      <c r="M238" s="11"/>
      <c r="N238" s="12" t="str">
        <f t="shared" si="27"/>
        <v/>
      </c>
      <c r="O238" s="12" t="str">
        <f t="shared" si="28"/>
        <v/>
      </c>
      <c r="P238" s="8" t="str">
        <f t="shared" si="29"/>
        <v/>
      </c>
      <c r="Q238" s="9"/>
      <c r="R238" s="31"/>
      <c r="S238" s="8" t="str">
        <f t="shared" si="30"/>
        <v/>
      </c>
      <c r="T238" s="8" t="str">
        <f t="shared" si="31"/>
        <v/>
      </c>
      <c r="U238" s="8">
        <f>IF(T238="",0,IF(SUMPRODUCT(--(T$4:T238=T238))&gt;1,1,0))</f>
        <v>0</v>
      </c>
      <c r="V238" s="8">
        <f>IF(OR(T238="",U238=1,B238="",K238&lt;&gt;"نعم"),0,IF(COUNTIFS(B$4:B238,B238,K$4:K238,"نعم",U$4:U238,0)=1,1,0))</f>
        <v>0</v>
      </c>
    </row>
    <row r="239" spans="1:22" x14ac:dyDescent="0.25">
      <c r="A239" s="8">
        <v>236</v>
      </c>
      <c r="B239" s="9"/>
      <c r="C239" s="33" t="str">
        <f t="shared" si="24"/>
        <v/>
      </c>
      <c r="D239" s="31"/>
      <c r="E239" s="31"/>
      <c r="F239" s="11"/>
      <c r="G239" s="11"/>
      <c r="H239" s="11"/>
      <c r="I239" s="9"/>
      <c r="J239" s="12" t="str">
        <f t="shared" si="25"/>
        <v/>
      </c>
      <c r="K239" s="9"/>
      <c r="L239" s="12" t="str">
        <f t="shared" si="26"/>
        <v/>
      </c>
      <c r="M239" s="11"/>
      <c r="N239" s="12" t="str">
        <f t="shared" si="27"/>
        <v/>
      </c>
      <c r="O239" s="12" t="str">
        <f t="shared" si="28"/>
        <v/>
      </c>
      <c r="P239" s="8" t="str">
        <f t="shared" si="29"/>
        <v/>
      </c>
      <c r="Q239" s="9"/>
      <c r="R239" s="31"/>
      <c r="S239" s="8" t="str">
        <f t="shared" si="30"/>
        <v/>
      </c>
      <c r="T239" s="8" t="str">
        <f t="shared" si="31"/>
        <v/>
      </c>
      <c r="U239" s="8">
        <f>IF(T239="",0,IF(SUMPRODUCT(--(T$4:T239=T239))&gt;1,1,0))</f>
        <v>0</v>
      </c>
      <c r="V239" s="8">
        <f>IF(OR(T239="",U239=1,B239="",K239&lt;&gt;"نعم"),0,IF(COUNTIFS(B$4:B239,B239,K$4:K239,"نعم",U$4:U239,0)=1,1,0))</f>
        <v>0</v>
      </c>
    </row>
    <row r="240" spans="1:22" x14ac:dyDescent="0.25">
      <c r="A240" s="8">
        <v>237</v>
      </c>
      <c r="B240" s="9"/>
      <c r="C240" s="33" t="str">
        <f t="shared" si="24"/>
        <v/>
      </c>
      <c r="D240" s="31"/>
      <c r="E240" s="31"/>
      <c r="F240" s="11"/>
      <c r="G240" s="11"/>
      <c r="H240" s="11"/>
      <c r="I240" s="9"/>
      <c r="J240" s="12" t="str">
        <f t="shared" si="25"/>
        <v/>
      </c>
      <c r="K240" s="9"/>
      <c r="L240" s="12" t="str">
        <f t="shared" si="26"/>
        <v/>
      </c>
      <c r="M240" s="11"/>
      <c r="N240" s="12" t="str">
        <f t="shared" si="27"/>
        <v/>
      </c>
      <c r="O240" s="12" t="str">
        <f t="shared" si="28"/>
        <v/>
      </c>
      <c r="P240" s="8" t="str">
        <f t="shared" si="29"/>
        <v/>
      </c>
      <c r="Q240" s="9"/>
      <c r="R240" s="31"/>
      <c r="S240" s="8" t="str">
        <f t="shared" si="30"/>
        <v/>
      </c>
      <c r="T240" s="8" t="str">
        <f t="shared" si="31"/>
        <v/>
      </c>
      <c r="U240" s="8">
        <f>IF(T240="",0,IF(SUMPRODUCT(--(T$4:T240=T240))&gt;1,1,0))</f>
        <v>0</v>
      </c>
      <c r="V240" s="8">
        <f>IF(OR(T240="",U240=1,B240="",K240&lt;&gt;"نعم"),0,IF(COUNTIFS(B$4:B240,B240,K$4:K240,"نعم",U$4:U240,0)=1,1,0))</f>
        <v>0</v>
      </c>
    </row>
    <row r="241" spans="1:22" x14ac:dyDescent="0.25">
      <c r="A241" s="8">
        <v>238</v>
      </c>
      <c r="B241" s="9"/>
      <c r="C241" s="33" t="str">
        <f t="shared" si="24"/>
        <v/>
      </c>
      <c r="D241" s="31"/>
      <c r="E241" s="31"/>
      <c r="F241" s="11"/>
      <c r="G241" s="11"/>
      <c r="H241" s="11"/>
      <c r="I241" s="9"/>
      <c r="J241" s="12" t="str">
        <f t="shared" si="25"/>
        <v/>
      </c>
      <c r="K241" s="9"/>
      <c r="L241" s="12" t="str">
        <f t="shared" si="26"/>
        <v/>
      </c>
      <c r="M241" s="11"/>
      <c r="N241" s="12" t="str">
        <f t="shared" si="27"/>
        <v/>
      </c>
      <c r="O241" s="12" t="str">
        <f t="shared" si="28"/>
        <v/>
      </c>
      <c r="P241" s="8" t="str">
        <f t="shared" si="29"/>
        <v/>
      </c>
      <c r="Q241" s="9"/>
      <c r="R241" s="31"/>
      <c r="S241" s="8" t="str">
        <f t="shared" si="30"/>
        <v/>
      </c>
      <c r="T241" s="8" t="str">
        <f t="shared" si="31"/>
        <v/>
      </c>
      <c r="U241" s="8">
        <f>IF(T241="",0,IF(SUMPRODUCT(--(T$4:T241=T241))&gt;1,1,0))</f>
        <v>0</v>
      </c>
      <c r="V241" s="8">
        <f>IF(OR(T241="",U241=1,B241="",K241&lt;&gt;"نعم"),0,IF(COUNTIFS(B$4:B241,B241,K$4:K241,"نعم",U$4:U241,0)=1,1,0))</f>
        <v>0</v>
      </c>
    </row>
    <row r="242" spans="1:22" x14ac:dyDescent="0.25">
      <c r="A242" s="8">
        <v>239</v>
      </c>
      <c r="B242" s="9"/>
      <c r="C242" s="33" t="str">
        <f t="shared" si="24"/>
        <v/>
      </c>
      <c r="D242" s="31"/>
      <c r="E242" s="31"/>
      <c r="F242" s="11"/>
      <c r="G242" s="11"/>
      <c r="H242" s="11"/>
      <c r="I242" s="9"/>
      <c r="J242" s="12" t="str">
        <f t="shared" si="25"/>
        <v/>
      </c>
      <c r="K242" s="9"/>
      <c r="L242" s="12" t="str">
        <f t="shared" si="26"/>
        <v/>
      </c>
      <c r="M242" s="11"/>
      <c r="N242" s="12" t="str">
        <f t="shared" si="27"/>
        <v/>
      </c>
      <c r="O242" s="12" t="str">
        <f t="shared" si="28"/>
        <v/>
      </c>
      <c r="P242" s="8" t="str">
        <f t="shared" si="29"/>
        <v/>
      </c>
      <c r="Q242" s="9"/>
      <c r="R242" s="31"/>
      <c r="S242" s="8" t="str">
        <f t="shared" si="30"/>
        <v/>
      </c>
      <c r="T242" s="8" t="str">
        <f t="shared" si="31"/>
        <v/>
      </c>
      <c r="U242" s="8">
        <f>IF(T242="",0,IF(SUMPRODUCT(--(T$4:T242=T242))&gt;1,1,0))</f>
        <v>0</v>
      </c>
      <c r="V242" s="8">
        <f>IF(OR(T242="",U242=1,B242="",K242&lt;&gt;"نعم"),0,IF(COUNTIFS(B$4:B242,B242,K$4:K242,"نعم",U$4:U242,0)=1,1,0))</f>
        <v>0</v>
      </c>
    </row>
    <row r="243" spans="1:22" x14ac:dyDescent="0.25">
      <c r="A243" s="8">
        <v>240</v>
      </c>
      <c r="B243" s="9"/>
      <c r="C243" s="33" t="str">
        <f t="shared" si="24"/>
        <v/>
      </c>
      <c r="D243" s="31"/>
      <c r="E243" s="31"/>
      <c r="F243" s="11"/>
      <c r="G243" s="11"/>
      <c r="H243" s="11"/>
      <c r="I243" s="9"/>
      <c r="J243" s="12" t="str">
        <f t="shared" si="25"/>
        <v/>
      </c>
      <c r="K243" s="9"/>
      <c r="L243" s="12" t="str">
        <f t="shared" si="26"/>
        <v/>
      </c>
      <c r="M243" s="11"/>
      <c r="N243" s="12" t="str">
        <f t="shared" si="27"/>
        <v/>
      </c>
      <c r="O243" s="12" t="str">
        <f t="shared" si="28"/>
        <v/>
      </c>
      <c r="P243" s="8" t="str">
        <f t="shared" si="29"/>
        <v/>
      </c>
      <c r="Q243" s="9"/>
      <c r="R243" s="31"/>
      <c r="S243" s="8" t="str">
        <f t="shared" si="30"/>
        <v/>
      </c>
      <c r="T243" s="8" t="str">
        <f t="shared" si="31"/>
        <v/>
      </c>
      <c r="U243" s="8">
        <f>IF(T243="",0,IF(SUMPRODUCT(--(T$4:T243=T243))&gt;1,1,0))</f>
        <v>0</v>
      </c>
      <c r="V243" s="8">
        <f>IF(OR(T243="",U243=1,B243="",K243&lt;&gt;"نعم"),0,IF(COUNTIFS(B$4:B243,B243,K$4:K243,"نعم",U$4:U243,0)=1,1,0))</f>
        <v>0</v>
      </c>
    </row>
    <row r="244" spans="1:22" x14ac:dyDescent="0.25">
      <c r="A244" s="8">
        <v>241</v>
      </c>
      <c r="B244" s="9"/>
      <c r="C244" s="33" t="str">
        <f t="shared" si="24"/>
        <v/>
      </c>
      <c r="D244" s="31"/>
      <c r="E244" s="31"/>
      <c r="F244" s="11"/>
      <c r="G244" s="11"/>
      <c r="H244" s="11"/>
      <c r="I244" s="9"/>
      <c r="J244" s="12" t="str">
        <f t="shared" si="25"/>
        <v/>
      </c>
      <c r="K244" s="9"/>
      <c r="L244" s="12" t="str">
        <f t="shared" si="26"/>
        <v/>
      </c>
      <c r="M244" s="11"/>
      <c r="N244" s="12" t="str">
        <f t="shared" si="27"/>
        <v/>
      </c>
      <c r="O244" s="12" t="str">
        <f t="shared" si="28"/>
        <v/>
      </c>
      <c r="P244" s="8" t="str">
        <f t="shared" si="29"/>
        <v/>
      </c>
      <c r="Q244" s="9"/>
      <c r="R244" s="31"/>
      <c r="S244" s="8" t="str">
        <f t="shared" si="30"/>
        <v/>
      </c>
      <c r="T244" s="8" t="str">
        <f t="shared" si="31"/>
        <v/>
      </c>
      <c r="U244" s="8">
        <f>IF(T244="",0,IF(SUMPRODUCT(--(T$4:T244=T244))&gt;1,1,0))</f>
        <v>0</v>
      </c>
      <c r="V244" s="8">
        <f>IF(OR(T244="",U244=1,B244="",K244&lt;&gt;"نعم"),0,IF(COUNTIFS(B$4:B244,B244,K$4:K244,"نعم",U$4:U244,0)=1,1,0))</f>
        <v>0</v>
      </c>
    </row>
    <row r="245" spans="1:22" x14ac:dyDescent="0.25">
      <c r="A245" s="8">
        <v>242</v>
      </c>
      <c r="B245" s="9"/>
      <c r="C245" s="33" t="str">
        <f t="shared" si="24"/>
        <v/>
      </c>
      <c r="D245" s="31"/>
      <c r="E245" s="31"/>
      <c r="F245" s="11"/>
      <c r="G245" s="11"/>
      <c r="H245" s="11"/>
      <c r="I245" s="9"/>
      <c r="J245" s="12" t="str">
        <f t="shared" si="25"/>
        <v/>
      </c>
      <c r="K245" s="9"/>
      <c r="L245" s="12" t="str">
        <f t="shared" si="26"/>
        <v/>
      </c>
      <c r="M245" s="11"/>
      <c r="N245" s="12" t="str">
        <f t="shared" si="27"/>
        <v/>
      </c>
      <c r="O245" s="12" t="str">
        <f t="shared" si="28"/>
        <v/>
      </c>
      <c r="P245" s="8" t="str">
        <f t="shared" si="29"/>
        <v/>
      </c>
      <c r="Q245" s="9"/>
      <c r="R245" s="31"/>
      <c r="S245" s="8" t="str">
        <f t="shared" si="30"/>
        <v/>
      </c>
      <c r="T245" s="8" t="str">
        <f t="shared" si="31"/>
        <v/>
      </c>
      <c r="U245" s="8">
        <f>IF(T245="",0,IF(SUMPRODUCT(--(T$4:T245=T245))&gt;1,1,0))</f>
        <v>0</v>
      </c>
      <c r="V245" s="8">
        <f>IF(OR(T245="",U245=1,B245="",K245&lt;&gt;"نعم"),0,IF(COUNTIFS(B$4:B245,B245,K$4:K245,"نعم",U$4:U245,0)=1,1,0))</f>
        <v>0</v>
      </c>
    </row>
    <row r="246" spans="1:22" x14ac:dyDescent="0.25">
      <c r="A246" s="8">
        <v>243</v>
      </c>
      <c r="B246" s="9"/>
      <c r="C246" s="33" t="str">
        <f t="shared" si="24"/>
        <v/>
      </c>
      <c r="D246" s="31"/>
      <c r="E246" s="31"/>
      <c r="F246" s="11"/>
      <c r="G246" s="11"/>
      <c r="H246" s="11"/>
      <c r="I246" s="9"/>
      <c r="J246" s="12" t="str">
        <f t="shared" si="25"/>
        <v/>
      </c>
      <c r="K246" s="9"/>
      <c r="L246" s="12" t="str">
        <f t="shared" si="26"/>
        <v/>
      </c>
      <c r="M246" s="11"/>
      <c r="N246" s="12" t="str">
        <f t="shared" si="27"/>
        <v/>
      </c>
      <c r="O246" s="12" t="str">
        <f t="shared" si="28"/>
        <v/>
      </c>
      <c r="P246" s="8" t="str">
        <f t="shared" si="29"/>
        <v/>
      </c>
      <c r="Q246" s="9"/>
      <c r="R246" s="31"/>
      <c r="S246" s="8" t="str">
        <f t="shared" si="30"/>
        <v/>
      </c>
      <c r="T246" s="8" t="str">
        <f t="shared" si="31"/>
        <v/>
      </c>
      <c r="U246" s="8">
        <f>IF(T246="",0,IF(SUMPRODUCT(--(T$4:T246=T246))&gt;1,1,0))</f>
        <v>0</v>
      </c>
      <c r="V246" s="8">
        <f>IF(OR(T246="",U246=1,B246="",K246&lt;&gt;"نعم"),0,IF(COUNTIFS(B$4:B246,B246,K$4:K246,"نعم",U$4:U246,0)=1,1,0))</f>
        <v>0</v>
      </c>
    </row>
    <row r="247" spans="1:22" x14ac:dyDescent="0.25">
      <c r="A247" s="8">
        <v>244</v>
      </c>
      <c r="B247" s="9"/>
      <c r="C247" s="33" t="str">
        <f t="shared" si="24"/>
        <v/>
      </c>
      <c r="D247" s="31"/>
      <c r="E247" s="31"/>
      <c r="F247" s="11"/>
      <c r="G247" s="11"/>
      <c r="H247" s="11"/>
      <c r="I247" s="9"/>
      <c r="J247" s="12" t="str">
        <f t="shared" si="25"/>
        <v/>
      </c>
      <c r="K247" s="9"/>
      <c r="L247" s="12" t="str">
        <f t="shared" si="26"/>
        <v/>
      </c>
      <c r="M247" s="11"/>
      <c r="N247" s="12" t="str">
        <f t="shared" si="27"/>
        <v/>
      </c>
      <c r="O247" s="12" t="str">
        <f t="shared" si="28"/>
        <v/>
      </c>
      <c r="P247" s="8" t="str">
        <f t="shared" si="29"/>
        <v/>
      </c>
      <c r="Q247" s="9"/>
      <c r="R247" s="31"/>
      <c r="S247" s="8" t="str">
        <f t="shared" si="30"/>
        <v/>
      </c>
      <c r="T247" s="8" t="str">
        <f t="shared" si="31"/>
        <v/>
      </c>
      <c r="U247" s="8">
        <f>IF(T247="",0,IF(SUMPRODUCT(--(T$4:T247=T247))&gt;1,1,0))</f>
        <v>0</v>
      </c>
      <c r="V247" s="8">
        <f>IF(OR(T247="",U247=1,B247="",K247&lt;&gt;"نعم"),0,IF(COUNTIFS(B$4:B247,B247,K$4:K247,"نعم",U$4:U247,0)=1,1,0))</f>
        <v>0</v>
      </c>
    </row>
    <row r="248" spans="1:22" x14ac:dyDescent="0.25">
      <c r="A248" s="8">
        <v>245</v>
      </c>
      <c r="B248" s="9"/>
      <c r="C248" s="33" t="str">
        <f t="shared" si="24"/>
        <v/>
      </c>
      <c r="D248" s="31"/>
      <c r="E248" s="31"/>
      <c r="F248" s="11"/>
      <c r="G248" s="11"/>
      <c r="H248" s="11"/>
      <c r="I248" s="9"/>
      <c r="J248" s="12" t="str">
        <f t="shared" si="25"/>
        <v/>
      </c>
      <c r="K248" s="9"/>
      <c r="L248" s="12" t="str">
        <f t="shared" si="26"/>
        <v/>
      </c>
      <c r="M248" s="11"/>
      <c r="N248" s="12" t="str">
        <f t="shared" si="27"/>
        <v/>
      </c>
      <c r="O248" s="12" t="str">
        <f t="shared" si="28"/>
        <v/>
      </c>
      <c r="P248" s="8" t="str">
        <f t="shared" si="29"/>
        <v/>
      </c>
      <c r="Q248" s="9"/>
      <c r="R248" s="31"/>
      <c r="S248" s="8" t="str">
        <f t="shared" si="30"/>
        <v/>
      </c>
      <c r="T248" s="8" t="str">
        <f t="shared" si="31"/>
        <v/>
      </c>
      <c r="U248" s="8">
        <f>IF(T248="",0,IF(SUMPRODUCT(--(T$4:T248=T248))&gt;1,1,0))</f>
        <v>0</v>
      </c>
      <c r="V248" s="8">
        <f>IF(OR(T248="",U248=1,B248="",K248&lt;&gt;"نعم"),0,IF(COUNTIFS(B$4:B248,B248,K$4:K248,"نعم",U$4:U248,0)=1,1,0))</f>
        <v>0</v>
      </c>
    </row>
    <row r="249" spans="1:22" x14ac:dyDescent="0.25">
      <c r="A249" s="8">
        <v>246</v>
      </c>
      <c r="B249" s="9"/>
      <c r="C249" s="33" t="str">
        <f t="shared" si="24"/>
        <v/>
      </c>
      <c r="D249" s="31"/>
      <c r="E249" s="31"/>
      <c r="F249" s="11"/>
      <c r="G249" s="11"/>
      <c r="H249" s="11"/>
      <c r="I249" s="9"/>
      <c r="J249" s="12" t="str">
        <f t="shared" si="25"/>
        <v/>
      </c>
      <c r="K249" s="9"/>
      <c r="L249" s="12" t="str">
        <f t="shared" si="26"/>
        <v/>
      </c>
      <c r="M249" s="11"/>
      <c r="N249" s="12" t="str">
        <f t="shared" si="27"/>
        <v/>
      </c>
      <c r="O249" s="12" t="str">
        <f t="shared" si="28"/>
        <v/>
      </c>
      <c r="P249" s="8" t="str">
        <f t="shared" si="29"/>
        <v/>
      </c>
      <c r="Q249" s="9"/>
      <c r="R249" s="31"/>
      <c r="S249" s="8" t="str">
        <f t="shared" si="30"/>
        <v/>
      </c>
      <c r="T249" s="8" t="str">
        <f t="shared" si="31"/>
        <v/>
      </c>
      <c r="U249" s="8">
        <f>IF(T249="",0,IF(SUMPRODUCT(--(T$4:T249=T249))&gt;1,1,0))</f>
        <v>0</v>
      </c>
      <c r="V249" s="8">
        <f>IF(OR(T249="",U249=1,B249="",K249&lt;&gt;"نعم"),0,IF(COUNTIFS(B$4:B249,B249,K$4:K249,"نعم",U$4:U249,0)=1,1,0))</f>
        <v>0</v>
      </c>
    </row>
    <row r="250" spans="1:22" x14ac:dyDescent="0.25">
      <c r="A250" s="8">
        <v>247</v>
      </c>
      <c r="B250" s="9"/>
      <c r="C250" s="33" t="str">
        <f t="shared" si="24"/>
        <v/>
      </c>
      <c r="D250" s="31"/>
      <c r="E250" s="31"/>
      <c r="F250" s="11"/>
      <c r="G250" s="11"/>
      <c r="H250" s="11"/>
      <c r="I250" s="9"/>
      <c r="J250" s="12" t="str">
        <f t="shared" si="25"/>
        <v/>
      </c>
      <c r="K250" s="9"/>
      <c r="L250" s="12" t="str">
        <f t="shared" si="26"/>
        <v/>
      </c>
      <c r="M250" s="11"/>
      <c r="N250" s="12" t="str">
        <f t="shared" si="27"/>
        <v/>
      </c>
      <c r="O250" s="12" t="str">
        <f t="shared" si="28"/>
        <v/>
      </c>
      <c r="P250" s="8" t="str">
        <f t="shared" si="29"/>
        <v/>
      </c>
      <c r="Q250" s="9"/>
      <c r="R250" s="31"/>
      <c r="S250" s="8" t="str">
        <f t="shared" si="30"/>
        <v/>
      </c>
      <c r="T250" s="8" t="str">
        <f t="shared" si="31"/>
        <v/>
      </c>
      <c r="U250" s="8">
        <f>IF(T250="",0,IF(SUMPRODUCT(--(T$4:T250=T250))&gt;1,1,0))</f>
        <v>0</v>
      </c>
      <c r="V250" s="8">
        <f>IF(OR(T250="",U250=1,B250="",K250&lt;&gt;"نعم"),0,IF(COUNTIFS(B$4:B250,B250,K$4:K250,"نعم",U$4:U250,0)=1,1,0))</f>
        <v>0</v>
      </c>
    </row>
    <row r="251" spans="1:22" x14ac:dyDescent="0.25">
      <c r="A251" s="8">
        <v>248</v>
      </c>
      <c r="B251" s="9"/>
      <c r="C251" s="33" t="str">
        <f t="shared" si="24"/>
        <v/>
      </c>
      <c r="D251" s="31"/>
      <c r="E251" s="31"/>
      <c r="F251" s="11"/>
      <c r="G251" s="11"/>
      <c r="H251" s="11"/>
      <c r="I251" s="9"/>
      <c r="J251" s="12" t="str">
        <f t="shared" si="25"/>
        <v/>
      </c>
      <c r="K251" s="9"/>
      <c r="L251" s="12" t="str">
        <f t="shared" si="26"/>
        <v/>
      </c>
      <c r="M251" s="11"/>
      <c r="N251" s="12" t="str">
        <f t="shared" si="27"/>
        <v/>
      </c>
      <c r="O251" s="12" t="str">
        <f t="shared" si="28"/>
        <v/>
      </c>
      <c r="P251" s="8" t="str">
        <f t="shared" si="29"/>
        <v/>
      </c>
      <c r="Q251" s="9"/>
      <c r="R251" s="31"/>
      <c r="S251" s="8" t="str">
        <f t="shared" si="30"/>
        <v/>
      </c>
      <c r="T251" s="8" t="str">
        <f t="shared" si="31"/>
        <v/>
      </c>
      <c r="U251" s="8">
        <f>IF(T251="",0,IF(SUMPRODUCT(--(T$4:T251=T251))&gt;1,1,0))</f>
        <v>0</v>
      </c>
      <c r="V251" s="8">
        <f>IF(OR(T251="",U251=1,B251="",K251&lt;&gt;"نعم"),0,IF(COUNTIFS(B$4:B251,B251,K$4:K251,"نعم",U$4:U251,0)=1,1,0))</f>
        <v>0</v>
      </c>
    </row>
    <row r="252" spans="1:22" x14ac:dyDescent="0.25">
      <c r="A252" s="8">
        <v>249</v>
      </c>
      <c r="B252" s="9"/>
      <c r="C252" s="33" t="str">
        <f t="shared" si="24"/>
        <v/>
      </c>
      <c r="D252" s="31"/>
      <c r="E252" s="31"/>
      <c r="F252" s="11"/>
      <c r="G252" s="11"/>
      <c r="H252" s="11"/>
      <c r="I252" s="9"/>
      <c r="J252" s="12" t="str">
        <f t="shared" si="25"/>
        <v/>
      </c>
      <c r="K252" s="9"/>
      <c r="L252" s="12" t="str">
        <f t="shared" si="26"/>
        <v/>
      </c>
      <c r="M252" s="11"/>
      <c r="N252" s="12" t="str">
        <f t="shared" si="27"/>
        <v/>
      </c>
      <c r="O252" s="12" t="str">
        <f t="shared" si="28"/>
        <v/>
      </c>
      <c r="P252" s="8" t="str">
        <f t="shared" si="29"/>
        <v/>
      </c>
      <c r="Q252" s="9"/>
      <c r="R252" s="31"/>
      <c r="S252" s="8" t="str">
        <f t="shared" si="30"/>
        <v/>
      </c>
      <c r="T252" s="8" t="str">
        <f t="shared" si="31"/>
        <v/>
      </c>
      <c r="U252" s="8">
        <f>IF(T252="",0,IF(SUMPRODUCT(--(T$4:T252=T252))&gt;1,1,0))</f>
        <v>0</v>
      </c>
      <c r="V252" s="8">
        <f>IF(OR(T252="",U252=1,B252="",K252&lt;&gt;"نعم"),0,IF(COUNTIFS(B$4:B252,B252,K$4:K252,"نعم",U$4:U252,0)=1,1,0))</f>
        <v>0</v>
      </c>
    </row>
    <row r="253" spans="1:22" x14ac:dyDescent="0.25">
      <c r="A253" s="8">
        <v>250</v>
      </c>
      <c r="B253" s="9"/>
      <c r="C253" s="33" t="str">
        <f t="shared" si="24"/>
        <v/>
      </c>
      <c r="D253" s="31"/>
      <c r="E253" s="31"/>
      <c r="F253" s="11"/>
      <c r="G253" s="11"/>
      <c r="H253" s="11"/>
      <c r="I253" s="9"/>
      <c r="J253" s="12" t="str">
        <f t="shared" si="25"/>
        <v/>
      </c>
      <c r="K253" s="9"/>
      <c r="L253" s="12" t="str">
        <f t="shared" si="26"/>
        <v/>
      </c>
      <c r="M253" s="11"/>
      <c r="N253" s="12" t="str">
        <f t="shared" si="27"/>
        <v/>
      </c>
      <c r="O253" s="12" t="str">
        <f t="shared" si="28"/>
        <v/>
      </c>
      <c r="P253" s="8" t="str">
        <f t="shared" si="29"/>
        <v/>
      </c>
      <c r="Q253" s="9"/>
      <c r="R253" s="31"/>
      <c r="S253" s="8" t="str">
        <f t="shared" si="30"/>
        <v/>
      </c>
      <c r="T253" s="8" t="str">
        <f t="shared" si="31"/>
        <v/>
      </c>
      <c r="U253" s="8">
        <f>IF(T253="",0,IF(SUMPRODUCT(--(T$4:T253=T253))&gt;1,1,0))</f>
        <v>0</v>
      </c>
      <c r="V253" s="8">
        <f>IF(OR(T253="",U253=1,B253="",K253&lt;&gt;"نعم"),0,IF(COUNTIFS(B$4:B253,B253,K$4:K253,"نعم",U$4:U253,0)=1,1,0))</f>
        <v>0</v>
      </c>
    </row>
    <row r="254" spans="1:22" x14ac:dyDescent="0.25">
      <c r="A254" s="8">
        <v>251</v>
      </c>
      <c r="B254" s="9"/>
      <c r="C254" s="33" t="str">
        <f t="shared" si="24"/>
        <v/>
      </c>
      <c r="D254" s="31"/>
      <c r="E254" s="31"/>
      <c r="F254" s="11"/>
      <c r="G254" s="11"/>
      <c r="H254" s="11"/>
      <c r="I254" s="9"/>
      <c r="J254" s="12" t="str">
        <f t="shared" si="25"/>
        <v/>
      </c>
      <c r="K254" s="9"/>
      <c r="L254" s="12" t="str">
        <f t="shared" si="26"/>
        <v/>
      </c>
      <c r="M254" s="11"/>
      <c r="N254" s="12" t="str">
        <f t="shared" si="27"/>
        <v/>
      </c>
      <c r="O254" s="12" t="str">
        <f t="shared" si="28"/>
        <v/>
      </c>
      <c r="P254" s="8" t="str">
        <f t="shared" si="29"/>
        <v/>
      </c>
      <c r="Q254" s="9"/>
      <c r="R254" s="31"/>
      <c r="S254" s="8" t="str">
        <f t="shared" si="30"/>
        <v/>
      </c>
      <c r="T254" s="8" t="str">
        <f t="shared" si="31"/>
        <v/>
      </c>
      <c r="U254" s="8">
        <f>IF(T254="",0,IF(SUMPRODUCT(--(T$4:T254=T254))&gt;1,1,0))</f>
        <v>0</v>
      </c>
      <c r="V254" s="8">
        <f>IF(OR(T254="",U254=1,B254="",K254&lt;&gt;"نعم"),0,IF(COUNTIFS(B$4:B254,B254,K$4:K254,"نعم",U$4:U254,0)=1,1,0))</f>
        <v>0</v>
      </c>
    </row>
    <row r="255" spans="1:22" x14ac:dyDescent="0.25">
      <c r="A255" s="8">
        <v>252</v>
      </c>
      <c r="B255" s="9"/>
      <c r="C255" s="33" t="str">
        <f t="shared" si="24"/>
        <v/>
      </c>
      <c r="D255" s="31"/>
      <c r="E255" s="31"/>
      <c r="F255" s="11"/>
      <c r="G255" s="11"/>
      <c r="H255" s="11"/>
      <c r="I255" s="9"/>
      <c r="J255" s="12" t="str">
        <f t="shared" si="25"/>
        <v/>
      </c>
      <c r="K255" s="9"/>
      <c r="L255" s="12" t="str">
        <f t="shared" si="26"/>
        <v/>
      </c>
      <c r="M255" s="11"/>
      <c r="N255" s="12" t="str">
        <f t="shared" si="27"/>
        <v/>
      </c>
      <c r="O255" s="12" t="str">
        <f t="shared" si="28"/>
        <v/>
      </c>
      <c r="P255" s="8" t="str">
        <f t="shared" si="29"/>
        <v/>
      </c>
      <c r="Q255" s="9"/>
      <c r="R255" s="31"/>
      <c r="S255" s="8" t="str">
        <f t="shared" si="30"/>
        <v/>
      </c>
      <c r="T255" s="8" t="str">
        <f t="shared" si="31"/>
        <v/>
      </c>
      <c r="U255" s="8">
        <f>IF(T255="",0,IF(SUMPRODUCT(--(T$4:T255=T255))&gt;1,1,0))</f>
        <v>0</v>
      </c>
      <c r="V255" s="8">
        <f>IF(OR(T255="",U255=1,B255="",K255&lt;&gt;"نعم"),0,IF(COUNTIFS(B$4:B255,B255,K$4:K255,"نعم",U$4:U255,0)=1,1,0))</f>
        <v>0</v>
      </c>
    </row>
    <row r="256" spans="1:22" x14ac:dyDescent="0.25">
      <c r="A256" s="8">
        <v>253</v>
      </c>
      <c r="B256" s="9"/>
      <c r="C256" s="33" t="str">
        <f t="shared" si="24"/>
        <v/>
      </c>
      <c r="D256" s="31"/>
      <c r="E256" s="31"/>
      <c r="F256" s="11"/>
      <c r="G256" s="11"/>
      <c r="H256" s="11"/>
      <c r="I256" s="9"/>
      <c r="J256" s="12" t="str">
        <f t="shared" si="25"/>
        <v/>
      </c>
      <c r="K256" s="9"/>
      <c r="L256" s="12" t="str">
        <f t="shared" si="26"/>
        <v/>
      </c>
      <c r="M256" s="11"/>
      <c r="N256" s="12" t="str">
        <f t="shared" si="27"/>
        <v/>
      </c>
      <c r="O256" s="12" t="str">
        <f t="shared" si="28"/>
        <v/>
      </c>
      <c r="P256" s="8" t="str">
        <f t="shared" si="29"/>
        <v/>
      </c>
      <c r="Q256" s="9"/>
      <c r="R256" s="31"/>
      <c r="S256" s="8" t="str">
        <f t="shared" si="30"/>
        <v/>
      </c>
      <c r="T256" s="8" t="str">
        <f t="shared" si="31"/>
        <v/>
      </c>
      <c r="U256" s="8">
        <f>IF(T256="",0,IF(SUMPRODUCT(--(T$4:T256=T256))&gt;1,1,0))</f>
        <v>0</v>
      </c>
      <c r="V256" s="8">
        <f>IF(OR(T256="",U256=1,B256="",K256&lt;&gt;"نعم"),0,IF(COUNTIFS(B$4:B256,B256,K$4:K256,"نعم",U$4:U256,0)=1,1,0))</f>
        <v>0</v>
      </c>
    </row>
    <row r="257" spans="1:22" x14ac:dyDescent="0.25">
      <c r="A257" s="8">
        <v>254</v>
      </c>
      <c r="B257" s="9"/>
      <c r="C257" s="33" t="str">
        <f t="shared" si="24"/>
        <v/>
      </c>
      <c r="D257" s="31"/>
      <c r="E257" s="31"/>
      <c r="F257" s="11"/>
      <c r="G257" s="11"/>
      <c r="H257" s="11"/>
      <c r="I257" s="9"/>
      <c r="J257" s="12" t="str">
        <f t="shared" si="25"/>
        <v/>
      </c>
      <c r="K257" s="9"/>
      <c r="L257" s="12" t="str">
        <f t="shared" si="26"/>
        <v/>
      </c>
      <c r="M257" s="11"/>
      <c r="N257" s="12" t="str">
        <f t="shared" si="27"/>
        <v/>
      </c>
      <c r="O257" s="12" t="str">
        <f t="shared" si="28"/>
        <v/>
      </c>
      <c r="P257" s="8" t="str">
        <f t="shared" si="29"/>
        <v/>
      </c>
      <c r="Q257" s="9"/>
      <c r="R257" s="31"/>
      <c r="S257" s="8" t="str">
        <f t="shared" si="30"/>
        <v/>
      </c>
      <c r="T257" s="8" t="str">
        <f t="shared" si="31"/>
        <v/>
      </c>
      <c r="U257" s="8">
        <f>IF(T257="",0,IF(SUMPRODUCT(--(T$4:T257=T257))&gt;1,1,0))</f>
        <v>0</v>
      </c>
      <c r="V257" s="8">
        <f>IF(OR(T257="",U257=1,B257="",K257&lt;&gt;"نعم"),0,IF(COUNTIFS(B$4:B257,B257,K$4:K257,"نعم",U$4:U257,0)=1,1,0))</f>
        <v>0</v>
      </c>
    </row>
    <row r="258" spans="1:22" x14ac:dyDescent="0.25">
      <c r="A258" s="8">
        <v>255</v>
      </c>
      <c r="B258" s="9"/>
      <c r="C258" s="33" t="str">
        <f t="shared" si="24"/>
        <v/>
      </c>
      <c r="D258" s="31"/>
      <c r="E258" s="31"/>
      <c r="F258" s="11"/>
      <c r="G258" s="11"/>
      <c r="H258" s="11"/>
      <c r="I258" s="9"/>
      <c r="J258" s="12" t="str">
        <f t="shared" si="25"/>
        <v/>
      </c>
      <c r="K258" s="9"/>
      <c r="L258" s="12" t="str">
        <f t="shared" si="26"/>
        <v/>
      </c>
      <c r="M258" s="11"/>
      <c r="N258" s="12" t="str">
        <f t="shared" si="27"/>
        <v/>
      </c>
      <c r="O258" s="12" t="str">
        <f t="shared" si="28"/>
        <v/>
      </c>
      <c r="P258" s="8" t="str">
        <f t="shared" si="29"/>
        <v/>
      </c>
      <c r="Q258" s="9"/>
      <c r="R258" s="31"/>
      <c r="S258" s="8" t="str">
        <f t="shared" si="30"/>
        <v/>
      </c>
      <c r="T258" s="8" t="str">
        <f t="shared" si="31"/>
        <v/>
      </c>
      <c r="U258" s="8">
        <f>IF(T258="",0,IF(SUMPRODUCT(--(T$4:T258=T258))&gt;1,1,0))</f>
        <v>0</v>
      </c>
      <c r="V258" s="8">
        <f>IF(OR(T258="",U258=1,B258="",K258&lt;&gt;"نعم"),0,IF(COUNTIFS(B$4:B258,B258,K$4:K258,"نعم",U$4:U258,0)=1,1,0))</f>
        <v>0</v>
      </c>
    </row>
    <row r="259" spans="1:22" x14ac:dyDescent="0.25">
      <c r="A259" s="8">
        <v>256</v>
      </c>
      <c r="B259" s="9"/>
      <c r="C259" s="33" t="str">
        <f t="shared" si="24"/>
        <v/>
      </c>
      <c r="D259" s="31"/>
      <c r="E259" s="31"/>
      <c r="F259" s="11"/>
      <c r="G259" s="11"/>
      <c r="H259" s="11"/>
      <c r="I259" s="9"/>
      <c r="J259" s="12" t="str">
        <f t="shared" si="25"/>
        <v/>
      </c>
      <c r="K259" s="9"/>
      <c r="L259" s="12" t="str">
        <f t="shared" si="26"/>
        <v/>
      </c>
      <c r="M259" s="11"/>
      <c r="N259" s="12" t="str">
        <f t="shared" si="27"/>
        <v/>
      </c>
      <c r="O259" s="12" t="str">
        <f t="shared" si="28"/>
        <v/>
      </c>
      <c r="P259" s="8" t="str">
        <f t="shared" si="29"/>
        <v/>
      </c>
      <c r="Q259" s="9"/>
      <c r="R259" s="31"/>
      <c r="S259" s="8" t="str">
        <f t="shared" si="30"/>
        <v/>
      </c>
      <c r="T259" s="8" t="str">
        <f t="shared" si="31"/>
        <v/>
      </c>
      <c r="U259" s="8">
        <f>IF(T259="",0,IF(SUMPRODUCT(--(T$4:T259=T259))&gt;1,1,0))</f>
        <v>0</v>
      </c>
      <c r="V259" s="8">
        <f>IF(OR(T259="",U259=1,B259="",K259&lt;&gt;"نعم"),0,IF(COUNTIFS(B$4:B259,B259,K$4:K259,"نعم",U$4:U259,0)=1,1,0))</f>
        <v>0</v>
      </c>
    </row>
    <row r="260" spans="1:22" x14ac:dyDescent="0.25">
      <c r="A260" s="8">
        <v>257</v>
      </c>
      <c r="B260" s="9"/>
      <c r="C260" s="33" t="str">
        <f t="shared" ref="C260:C323" si="32">IF(B260="","",IFERROR(INDEX(SpaceNames,MATCH(B260,SpaceCodes,0))&amp;"",""))</f>
        <v/>
      </c>
      <c r="D260" s="31"/>
      <c r="E260" s="31"/>
      <c r="F260" s="11"/>
      <c r="G260" s="11"/>
      <c r="H260" s="11"/>
      <c r="I260" s="9"/>
      <c r="J260" s="12" t="str">
        <f t="shared" ref="J260:J323" si="33">IF(T260="","",IF(U260=1,0,IF(H260&lt;&gt;"",H260*IF(I260="",1,I260),IF(AND(F260&lt;&gt;"",G260&lt;&gt;""),2*(F260+G260)*IF(I260="",1,I260),""))))</f>
        <v/>
      </c>
      <c r="K260" s="9"/>
      <c r="L260" s="12" t="str">
        <f t="shared" ref="L260:L303" si="34">IF(T260="","",IF(V260=1,SUMIFS(OP_Wtot,OP_Space,B260,OP_DedSk,"نعم"),0))</f>
        <v/>
      </c>
      <c r="M260" s="11"/>
      <c r="N260" s="12" t="str">
        <f t="shared" ref="N260:N323" si="35">IF(OR(T260="",J260=""),"",N(L260)+N(M260))</f>
        <v/>
      </c>
      <c r="O260" s="12" t="str">
        <f t="shared" ref="O260:O323" si="36">IF(OR(T260="",J260=""),"",J260-N260)</f>
        <v/>
      </c>
      <c r="P260" s="8" t="str">
        <f t="shared" ref="P260:P303" si="37">IF(D260="","",IFERROR(IF(INDEX(LinUnit,MATCH(D260,LinMat,0))="","م.ط",INDEX(LinUnit,MATCH(D260,LinMat,0))),"م.ط"))</f>
        <v/>
      </c>
      <c r="Q260" s="9"/>
      <c r="R260" s="31"/>
      <c r="S260" s="8" t="str">
        <f t="shared" ref="S260:S323" si="38">IF(T260="","",IF(U260=1,"تكرار — غير محتسب",IF(B260="","ناقص بيانات: كود الفراغ",IF(COUNTIF(SpaceCodes,B260)=0,"ناقص بيانات: الفراغ غير مسجل",IF(D260="","ناقص بيانات: نوع البند",IF(J260="","ناقص قياس",IF(N260&gt;J260+0.000001,"خطأ خصم: الخصم أكبر من الإجمالي",IF(AND(K260="نعم",V260=0),"تنبيه خصم: خصم تلقائي مكرر للفراغ — غير مطبق",IF(Q260="نعم","يحتاج مراجعة","مكتمل")))))))))</f>
        <v/>
      </c>
      <c r="T260" s="8" t="str">
        <f t="shared" ref="T260:T303" si="39">IF(COUNTA(B260,D260:I260,M260)=0,"",B260&amp;"|"&amp;D260&amp;"|"&amp;E260&amp;"|"&amp;F260&amp;"|"&amp;G260&amp;"|"&amp;H260)</f>
        <v/>
      </c>
      <c r="U260" s="8">
        <f>IF(T260="",0,IF(SUMPRODUCT(--(T$4:T260=T260))&gt;1,1,0))</f>
        <v>0</v>
      </c>
      <c r="V260" s="8">
        <f>IF(OR(T260="",U260=1,B260="",K260&lt;&gt;"نعم"),0,IF(COUNTIFS(B$4:B260,B260,K$4:K260,"نعم",U$4:U260,0)=1,1,0))</f>
        <v>0</v>
      </c>
    </row>
    <row r="261" spans="1:22" x14ac:dyDescent="0.25">
      <c r="A261" s="8">
        <v>258</v>
      </c>
      <c r="B261" s="9"/>
      <c r="C261" s="33" t="str">
        <f t="shared" si="32"/>
        <v/>
      </c>
      <c r="D261" s="31"/>
      <c r="E261" s="31"/>
      <c r="F261" s="11"/>
      <c r="G261" s="11"/>
      <c r="H261" s="11"/>
      <c r="I261" s="9"/>
      <c r="J261" s="12" t="str">
        <f t="shared" si="33"/>
        <v/>
      </c>
      <c r="K261" s="9"/>
      <c r="L261" s="12" t="str">
        <f t="shared" si="34"/>
        <v/>
      </c>
      <c r="M261" s="11"/>
      <c r="N261" s="12" t="str">
        <f t="shared" si="35"/>
        <v/>
      </c>
      <c r="O261" s="12" t="str">
        <f t="shared" si="36"/>
        <v/>
      </c>
      <c r="P261" s="8" t="str">
        <f t="shared" si="37"/>
        <v/>
      </c>
      <c r="Q261" s="9"/>
      <c r="R261" s="31"/>
      <c r="S261" s="8" t="str">
        <f t="shared" si="38"/>
        <v/>
      </c>
      <c r="T261" s="8" t="str">
        <f t="shared" si="39"/>
        <v/>
      </c>
      <c r="U261" s="8">
        <f>IF(T261="",0,IF(SUMPRODUCT(--(T$4:T261=T261))&gt;1,1,0))</f>
        <v>0</v>
      </c>
      <c r="V261" s="8">
        <f>IF(OR(T261="",U261=1,B261="",K261&lt;&gt;"نعم"),0,IF(COUNTIFS(B$4:B261,B261,K$4:K261,"نعم",U$4:U261,0)=1,1,0))</f>
        <v>0</v>
      </c>
    </row>
    <row r="262" spans="1:22" x14ac:dyDescent="0.25">
      <c r="A262" s="8">
        <v>259</v>
      </c>
      <c r="B262" s="9"/>
      <c r="C262" s="33" t="str">
        <f t="shared" si="32"/>
        <v/>
      </c>
      <c r="D262" s="31"/>
      <c r="E262" s="31"/>
      <c r="F262" s="11"/>
      <c r="G262" s="11"/>
      <c r="H262" s="11"/>
      <c r="I262" s="9"/>
      <c r="J262" s="12" t="str">
        <f t="shared" si="33"/>
        <v/>
      </c>
      <c r="K262" s="9"/>
      <c r="L262" s="12" t="str">
        <f t="shared" si="34"/>
        <v/>
      </c>
      <c r="M262" s="11"/>
      <c r="N262" s="12" t="str">
        <f t="shared" si="35"/>
        <v/>
      </c>
      <c r="O262" s="12" t="str">
        <f t="shared" si="36"/>
        <v/>
      </c>
      <c r="P262" s="8" t="str">
        <f t="shared" si="37"/>
        <v/>
      </c>
      <c r="Q262" s="9"/>
      <c r="R262" s="31"/>
      <c r="S262" s="8" t="str">
        <f t="shared" si="38"/>
        <v/>
      </c>
      <c r="T262" s="8" t="str">
        <f t="shared" si="39"/>
        <v/>
      </c>
      <c r="U262" s="8">
        <f>IF(T262="",0,IF(SUMPRODUCT(--(T$4:T262=T262))&gt;1,1,0))</f>
        <v>0</v>
      </c>
      <c r="V262" s="8">
        <f>IF(OR(T262="",U262=1,B262="",K262&lt;&gt;"نعم"),0,IF(COUNTIFS(B$4:B262,B262,K$4:K262,"نعم",U$4:U262,0)=1,1,0))</f>
        <v>0</v>
      </c>
    </row>
    <row r="263" spans="1:22" x14ac:dyDescent="0.25">
      <c r="A263" s="8">
        <v>260</v>
      </c>
      <c r="B263" s="9"/>
      <c r="C263" s="33" t="str">
        <f t="shared" si="32"/>
        <v/>
      </c>
      <c r="D263" s="31"/>
      <c r="E263" s="31"/>
      <c r="F263" s="11"/>
      <c r="G263" s="11"/>
      <c r="H263" s="11"/>
      <c r="I263" s="9"/>
      <c r="J263" s="12" t="str">
        <f t="shared" si="33"/>
        <v/>
      </c>
      <c r="K263" s="9"/>
      <c r="L263" s="12" t="str">
        <f t="shared" si="34"/>
        <v/>
      </c>
      <c r="M263" s="11"/>
      <c r="N263" s="12" t="str">
        <f t="shared" si="35"/>
        <v/>
      </c>
      <c r="O263" s="12" t="str">
        <f t="shared" si="36"/>
        <v/>
      </c>
      <c r="P263" s="8" t="str">
        <f t="shared" si="37"/>
        <v/>
      </c>
      <c r="Q263" s="9"/>
      <c r="R263" s="31"/>
      <c r="S263" s="8" t="str">
        <f t="shared" si="38"/>
        <v/>
      </c>
      <c r="T263" s="8" t="str">
        <f t="shared" si="39"/>
        <v/>
      </c>
      <c r="U263" s="8">
        <f>IF(T263="",0,IF(SUMPRODUCT(--(T$4:T263=T263))&gt;1,1,0))</f>
        <v>0</v>
      </c>
      <c r="V263" s="8">
        <f>IF(OR(T263="",U263=1,B263="",K263&lt;&gt;"نعم"),0,IF(COUNTIFS(B$4:B263,B263,K$4:K263,"نعم",U$4:U263,0)=1,1,0))</f>
        <v>0</v>
      </c>
    </row>
    <row r="264" spans="1:22" x14ac:dyDescent="0.25">
      <c r="A264" s="8">
        <v>261</v>
      </c>
      <c r="B264" s="9"/>
      <c r="C264" s="33" t="str">
        <f t="shared" si="32"/>
        <v/>
      </c>
      <c r="D264" s="31"/>
      <c r="E264" s="31"/>
      <c r="F264" s="11"/>
      <c r="G264" s="11"/>
      <c r="H264" s="11"/>
      <c r="I264" s="9"/>
      <c r="J264" s="12" t="str">
        <f t="shared" si="33"/>
        <v/>
      </c>
      <c r="K264" s="9"/>
      <c r="L264" s="12" t="str">
        <f t="shared" si="34"/>
        <v/>
      </c>
      <c r="M264" s="11"/>
      <c r="N264" s="12" t="str">
        <f t="shared" si="35"/>
        <v/>
      </c>
      <c r="O264" s="12" t="str">
        <f t="shared" si="36"/>
        <v/>
      </c>
      <c r="P264" s="8" t="str">
        <f t="shared" si="37"/>
        <v/>
      </c>
      <c r="Q264" s="9"/>
      <c r="R264" s="31"/>
      <c r="S264" s="8" t="str">
        <f t="shared" si="38"/>
        <v/>
      </c>
      <c r="T264" s="8" t="str">
        <f t="shared" si="39"/>
        <v/>
      </c>
      <c r="U264" s="8">
        <f>IF(T264="",0,IF(SUMPRODUCT(--(T$4:T264=T264))&gt;1,1,0))</f>
        <v>0</v>
      </c>
      <c r="V264" s="8">
        <f>IF(OR(T264="",U264=1,B264="",K264&lt;&gt;"نعم"),0,IF(COUNTIFS(B$4:B264,B264,K$4:K264,"نعم",U$4:U264,0)=1,1,0))</f>
        <v>0</v>
      </c>
    </row>
    <row r="265" spans="1:22" x14ac:dyDescent="0.25">
      <c r="A265" s="8">
        <v>262</v>
      </c>
      <c r="B265" s="9"/>
      <c r="C265" s="33" t="str">
        <f t="shared" si="32"/>
        <v/>
      </c>
      <c r="D265" s="31"/>
      <c r="E265" s="31"/>
      <c r="F265" s="11"/>
      <c r="G265" s="11"/>
      <c r="H265" s="11"/>
      <c r="I265" s="9"/>
      <c r="J265" s="12" t="str">
        <f t="shared" si="33"/>
        <v/>
      </c>
      <c r="K265" s="9"/>
      <c r="L265" s="12" t="str">
        <f t="shared" si="34"/>
        <v/>
      </c>
      <c r="M265" s="11"/>
      <c r="N265" s="12" t="str">
        <f t="shared" si="35"/>
        <v/>
      </c>
      <c r="O265" s="12" t="str">
        <f t="shared" si="36"/>
        <v/>
      </c>
      <c r="P265" s="8" t="str">
        <f t="shared" si="37"/>
        <v/>
      </c>
      <c r="Q265" s="9"/>
      <c r="R265" s="31"/>
      <c r="S265" s="8" t="str">
        <f t="shared" si="38"/>
        <v/>
      </c>
      <c r="T265" s="8" t="str">
        <f t="shared" si="39"/>
        <v/>
      </c>
      <c r="U265" s="8">
        <f>IF(T265="",0,IF(SUMPRODUCT(--(T$4:T265=T265))&gt;1,1,0))</f>
        <v>0</v>
      </c>
      <c r="V265" s="8">
        <f>IF(OR(T265="",U265=1,B265="",K265&lt;&gt;"نعم"),0,IF(COUNTIFS(B$4:B265,B265,K$4:K265,"نعم",U$4:U265,0)=1,1,0))</f>
        <v>0</v>
      </c>
    </row>
    <row r="266" spans="1:22" x14ac:dyDescent="0.25">
      <c r="A266" s="8">
        <v>263</v>
      </c>
      <c r="B266" s="9"/>
      <c r="C266" s="33" t="str">
        <f t="shared" si="32"/>
        <v/>
      </c>
      <c r="D266" s="31"/>
      <c r="E266" s="31"/>
      <c r="F266" s="11"/>
      <c r="G266" s="11"/>
      <c r="H266" s="11"/>
      <c r="I266" s="9"/>
      <c r="J266" s="12" t="str">
        <f t="shared" si="33"/>
        <v/>
      </c>
      <c r="K266" s="9"/>
      <c r="L266" s="12" t="str">
        <f t="shared" si="34"/>
        <v/>
      </c>
      <c r="M266" s="11"/>
      <c r="N266" s="12" t="str">
        <f t="shared" si="35"/>
        <v/>
      </c>
      <c r="O266" s="12" t="str">
        <f t="shared" si="36"/>
        <v/>
      </c>
      <c r="P266" s="8" t="str">
        <f t="shared" si="37"/>
        <v/>
      </c>
      <c r="Q266" s="9"/>
      <c r="R266" s="31"/>
      <c r="S266" s="8" t="str">
        <f t="shared" si="38"/>
        <v/>
      </c>
      <c r="T266" s="8" t="str">
        <f t="shared" si="39"/>
        <v/>
      </c>
      <c r="U266" s="8">
        <f>IF(T266="",0,IF(SUMPRODUCT(--(T$4:T266=T266))&gt;1,1,0))</f>
        <v>0</v>
      </c>
      <c r="V266" s="8">
        <f>IF(OR(T266="",U266=1,B266="",K266&lt;&gt;"نعم"),0,IF(COUNTIFS(B$4:B266,B266,K$4:K266,"نعم",U$4:U266,0)=1,1,0))</f>
        <v>0</v>
      </c>
    </row>
    <row r="267" spans="1:22" x14ac:dyDescent="0.25">
      <c r="A267" s="8">
        <v>264</v>
      </c>
      <c r="B267" s="9"/>
      <c r="C267" s="33" t="str">
        <f t="shared" si="32"/>
        <v/>
      </c>
      <c r="D267" s="31"/>
      <c r="E267" s="31"/>
      <c r="F267" s="11"/>
      <c r="G267" s="11"/>
      <c r="H267" s="11"/>
      <c r="I267" s="9"/>
      <c r="J267" s="12" t="str">
        <f t="shared" si="33"/>
        <v/>
      </c>
      <c r="K267" s="9"/>
      <c r="L267" s="12" t="str">
        <f t="shared" si="34"/>
        <v/>
      </c>
      <c r="M267" s="11"/>
      <c r="N267" s="12" t="str">
        <f t="shared" si="35"/>
        <v/>
      </c>
      <c r="O267" s="12" t="str">
        <f t="shared" si="36"/>
        <v/>
      </c>
      <c r="P267" s="8" t="str">
        <f t="shared" si="37"/>
        <v/>
      </c>
      <c r="Q267" s="9"/>
      <c r="R267" s="31"/>
      <c r="S267" s="8" t="str">
        <f t="shared" si="38"/>
        <v/>
      </c>
      <c r="T267" s="8" t="str">
        <f t="shared" si="39"/>
        <v/>
      </c>
      <c r="U267" s="8">
        <f>IF(T267="",0,IF(SUMPRODUCT(--(T$4:T267=T267))&gt;1,1,0))</f>
        <v>0</v>
      </c>
      <c r="V267" s="8">
        <f>IF(OR(T267="",U267=1,B267="",K267&lt;&gt;"نعم"),0,IF(COUNTIFS(B$4:B267,B267,K$4:K267,"نعم",U$4:U267,0)=1,1,0))</f>
        <v>0</v>
      </c>
    </row>
    <row r="268" spans="1:22" x14ac:dyDescent="0.25">
      <c r="A268" s="8">
        <v>265</v>
      </c>
      <c r="B268" s="9"/>
      <c r="C268" s="33" t="str">
        <f t="shared" si="32"/>
        <v/>
      </c>
      <c r="D268" s="31"/>
      <c r="E268" s="31"/>
      <c r="F268" s="11"/>
      <c r="G268" s="11"/>
      <c r="H268" s="11"/>
      <c r="I268" s="9"/>
      <c r="J268" s="12" t="str">
        <f t="shared" si="33"/>
        <v/>
      </c>
      <c r="K268" s="9"/>
      <c r="L268" s="12" t="str">
        <f t="shared" si="34"/>
        <v/>
      </c>
      <c r="M268" s="11"/>
      <c r="N268" s="12" t="str">
        <f t="shared" si="35"/>
        <v/>
      </c>
      <c r="O268" s="12" t="str">
        <f t="shared" si="36"/>
        <v/>
      </c>
      <c r="P268" s="8" t="str">
        <f t="shared" si="37"/>
        <v/>
      </c>
      <c r="Q268" s="9"/>
      <c r="R268" s="31"/>
      <c r="S268" s="8" t="str">
        <f t="shared" si="38"/>
        <v/>
      </c>
      <c r="T268" s="8" t="str">
        <f t="shared" si="39"/>
        <v/>
      </c>
      <c r="U268" s="8">
        <f>IF(T268="",0,IF(SUMPRODUCT(--(T$4:T268=T268))&gt;1,1,0))</f>
        <v>0</v>
      </c>
      <c r="V268" s="8">
        <f>IF(OR(T268="",U268=1,B268="",K268&lt;&gt;"نعم"),0,IF(COUNTIFS(B$4:B268,B268,K$4:K268,"نعم",U$4:U268,0)=1,1,0))</f>
        <v>0</v>
      </c>
    </row>
    <row r="269" spans="1:22" x14ac:dyDescent="0.25">
      <c r="A269" s="8">
        <v>266</v>
      </c>
      <c r="B269" s="9"/>
      <c r="C269" s="33" t="str">
        <f t="shared" si="32"/>
        <v/>
      </c>
      <c r="D269" s="31"/>
      <c r="E269" s="31"/>
      <c r="F269" s="11"/>
      <c r="G269" s="11"/>
      <c r="H269" s="11"/>
      <c r="I269" s="9"/>
      <c r="J269" s="12" t="str">
        <f t="shared" si="33"/>
        <v/>
      </c>
      <c r="K269" s="9"/>
      <c r="L269" s="12" t="str">
        <f t="shared" si="34"/>
        <v/>
      </c>
      <c r="M269" s="11"/>
      <c r="N269" s="12" t="str">
        <f t="shared" si="35"/>
        <v/>
      </c>
      <c r="O269" s="12" t="str">
        <f t="shared" si="36"/>
        <v/>
      </c>
      <c r="P269" s="8" t="str">
        <f t="shared" si="37"/>
        <v/>
      </c>
      <c r="Q269" s="9"/>
      <c r="R269" s="31"/>
      <c r="S269" s="8" t="str">
        <f t="shared" si="38"/>
        <v/>
      </c>
      <c r="T269" s="8" t="str">
        <f t="shared" si="39"/>
        <v/>
      </c>
      <c r="U269" s="8">
        <f>IF(T269="",0,IF(SUMPRODUCT(--(T$4:T269=T269))&gt;1,1,0))</f>
        <v>0</v>
      </c>
      <c r="V269" s="8">
        <f>IF(OR(T269="",U269=1,B269="",K269&lt;&gt;"نعم"),0,IF(COUNTIFS(B$4:B269,B269,K$4:K269,"نعم",U$4:U269,0)=1,1,0))</f>
        <v>0</v>
      </c>
    </row>
    <row r="270" spans="1:22" x14ac:dyDescent="0.25">
      <c r="A270" s="8">
        <v>267</v>
      </c>
      <c r="B270" s="9"/>
      <c r="C270" s="33" t="str">
        <f t="shared" si="32"/>
        <v/>
      </c>
      <c r="D270" s="31"/>
      <c r="E270" s="31"/>
      <c r="F270" s="11"/>
      <c r="G270" s="11"/>
      <c r="H270" s="11"/>
      <c r="I270" s="9"/>
      <c r="J270" s="12" t="str">
        <f t="shared" si="33"/>
        <v/>
      </c>
      <c r="K270" s="9"/>
      <c r="L270" s="12" t="str">
        <f t="shared" si="34"/>
        <v/>
      </c>
      <c r="M270" s="11"/>
      <c r="N270" s="12" t="str">
        <f t="shared" si="35"/>
        <v/>
      </c>
      <c r="O270" s="12" t="str">
        <f t="shared" si="36"/>
        <v/>
      </c>
      <c r="P270" s="8" t="str">
        <f t="shared" si="37"/>
        <v/>
      </c>
      <c r="Q270" s="9"/>
      <c r="R270" s="31"/>
      <c r="S270" s="8" t="str">
        <f t="shared" si="38"/>
        <v/>
      </c>
      <c r="T270" s="8" t="str">
        <f t="shared" si="39"/>
        <v/>
      </c>
      <c r="U270" s="8">
        <f>IF(T270="",0,IF(SUMPRODUCT(--(T$4:T270=T270))&gt;1,1,0))</f>
        <v>0</v>
      </c>
      <c r="V270" s="8">
        <f>IF(OR(T270="",U270=1,B270="",K270&lt;&gt;"نعم"),0,IF(COUNTIFS(B$4:B270,B270,K$4:K270,"نعم",U$4:U270,0)=1,1,0))</f>
        <v>0</v>
      </c>
    </row>
    <row r="271" spans="1:22" x14ac:dyDescent="0.25">
      <c r="A271" s="8">
        <v>268</v>
      </c>
      <c r="B271" s="9"/>
      <c r="C271" s="33" t="str">
        <f t="shared" si="32"/>
        <v/>
      </c>
      <c r="D271" s="31"/>
      <c r="E271" s="31"/>
      <c r="F271" s="11"/>
      <c r="G271" s="11"/>
      <c r="H271" s="11"/>
      <c r="I271" s="9"/>
      <c r="J271" s="12" t="str">
        <f t="shared" si="33"/>
        <v/>
      </c>
      <c r="K271" s="9"/>
      <c r="L271" s="12" t="str">
        <f t="shared" si="34"/>
        <v/>
      </c>
      <c r="M271" s="11"/>
      <c r="N271" s="12" t="str">
        <f t="shared" si="35"/>
        <v/>
      </c>
      <c r="O271" s="12" t="str">
        <f t="shared" si="36"/>
        <v/>
      </c>
      <c r="P271" s="8" t="str">
        <f t="shared" si="37"/>
        <v/>
      </c>
      <c r="Q271" s="9"/>
      <c r="R271" s="31"/>
      <c r="S271" s="8" t="str">
        <f t="shared" si="38"/>
        <v/>
      </c>
      <c r="T271" s="8" t="str">
        <f t="shared" si="39"/>
        <v/>
      </c>
      <c r="U271" s="8">
        <f>IF(T271="",0,IF(SUMPRODUCT(--(T$4:T271=T271))&gt;1,1,0))</f>
        <v>0</v>
      </c>
      <c r="V271" s="8">
        <f>IF(OR(T271="",U271=1,B271="",K271&lt;&gt;"نعم"),0,IF(COUNTIFS(B$4:B271,B271,K$4:K271,"نعم",U$4:U271,0)=1,1,0))</f>
        <v>0</v>
      </c>
    </row>
    <row r="272" spans="1:22" x14ac:dyDescent="0.25">
      <c r="A272" s="8">
        <v>269</v>
      </c>
      <c r="B272" s="9"/>
      <c r="C272" s="33" t="str">
        <f t="shared" si="32"/>
        <v/>
      </c>
      <c r="D272" s="31"/>
      <c r="E272" s="31"/>
      <c r="F272" s="11"/>
      <c r="G272" s="11"/>
      <c r="H272" s="11"/>
      <c r="I272" s="9"/>
      <c r="J272" s="12" t="str">
        <f t="shared" si="33"/>
        <v/>
      </c>
      <c r="K272" s="9"/>
      <c r="L272" s="12" t="str">
        <f t="shared" si="34"/>
        <v/>
      </c>
      <c r="M272" s="11"/>
      <c r="N272" s="12" t="str">
        <f t="shared" si="35"/>
        <v/>
      </c>
      <c r="O272" s="12" t="str">
        <f t="shared" si="36"/>
        <v/>
      </c>
      <c r="P272" s="8" t="str">
        <f t="shared" si="37"/>
        <v/>
      </c>
      <c r="Q272" s="9"/>
      <c r="R272" s="31"/>
      <c r="S272" s="8" t="str">
        <f t="shared" si="38"/>
        <v/>
      </c>
      <c r="T272" s="8" t="str">
        <f t="shared" si="39"/>
        <v/>
      </c>
      <c r="U272" s="8">
        <f>IF(T272="",0,IF(SUMPRODUCT(--(T$4:T272=T272))&gt;1,1,0))</f>
        <v>0</v>
      </c>
      <c r="V272" s="8">
        <f>IF(OR(T272="",U272=1,B272="",K272&lt;&gt;"نعم"),0,IF(COUNTIFS(B$4:B272,B272,K$4:K272,"نعم",U$4:U272,0)=1,1,0))</f>
        <v>0</v>
      </c>
    </row>
    <row r="273" spans="1:22" x14ac:dyDescent="0.25">
      <c r="A273" s="8">
        <v>270</v>
      </c>
      <c r="B273" s="9"/>
      <c r="C273" s="33" t="str">
        <f t="shared" si="32"/>
        <v/>
      </c>
      <c r="D273" s="31"/>
      <c r="E273" s="31"/>
      <c r="F273" s="11"/>
      <c r="G273" s="11"/>
      <c r="H273" s="11"/>
      <c r="I273" s="9"/>
      <c r="J273" s="12" t="str">
        <f t="shared" si="33"/>
        <v/>
      </c>
      <c r="K273" s="9"/>
      <c r="L273" s="12" t="str">
        <f t="shared" si="34"/>
        <v/>
      </c>
      <c r="M273" s="11"/>
      <c r="N273" s="12" t="str">
        <f t="shared" si="35"/>
        <v/>
      </c>
      <c r="O273" s="12" t="str">
        <f t="shared" si="36"/>
        <v/>
      </c>
      <c r="P273" s="8" t="str">
        <f t="shared" si="37"/>
        <v/>
      </c>
      <c r="Q273" s="9"/>
      <c r="R273" s="31"/>
      <c r="S273" s="8" t="str">
        <f t="shared" si="38"/>
        <v/>
      </c>
      <c r="T273" s="8" t="str">
        <f t="shared" si="39"/>
        <v/>
      </c>
      <c r="U273" s="8">
        <f>IF(T273="",0,IF(SUMPRODUCT(--(T$4:T273=T273))&gt;1,1,0))</f>
        <v>0</v>
      </c>
      <c r="V273" s="8">
        <f>IF(OR(T273="",U273=1,B273="",K273&lt;&gt;"نعم"),0,IF(COUNTIFS(B$4:B273,B273,K$4:K273,"نعم",U$4:U273,0)=1,1,0))</f>
        <v>0</v>
      </c>
    </row>
    <row r="274" spans="1:22" x14ac:dyDescent="0.25">
      <c r="A274" s="8">
        <v>271</v>
      </c>
      <c r="B274" s="9"/>
      <c r="C274" s="33" t="str">
        <f t="shared" si="32"/>
        <v/>
      </c>
      <c r="D274" s="31"/>
      <c r="E274" s="31"/>
      <c r="F274" s="11"/>
      <c r="G274" s="11"/>
      <c r="H274" s="11"/>
      <c r="I274" s="9"/>
      <c r="J274" s="12" t="str">
        <f t="shared" si="33"/>
        <v/>
      </c>
      <c r="K274" s="9"/>
      <c r="L274" s="12" t="str">
        <f t="shared" si="34"/>
        <v/>
      </c>
      <c r="M274" s="11"/>
      <c r="N274" s="12" t="str">
        <f t="shared" si="35"/>
        <v/>
      </c>
      <c r="O274" s="12" t="str">
        <f t="shared" si="36"/>
        <v/>
      </c>
      <c r="P274" s="8" t="str">
        <f t="shared" si="37"/>
        <v/>
      </c>
      <c r="Q274" s="9"/>
      <c r="R274" s="31"/>
      <c r="S274" s="8" t="str">
        <f t="shared" si="38"/>
        <v/>
      </c>
      <c r="T274" s="8" t="str">
        <f t="shared" si="39"/>
        <v/>
      </c>
      <c r="U274" s="8">
        <f>IF(T274="",0,IF(SUMPRODUCT(--(T$4:T274=T274))&gt;1,1,0))</f>
        <v>0</v>
      </c>
      <c r="V274" s="8">
        <f>IF(OR(T274="",U274=1,B274="",K274&lt;&gt;"نعم"),0,IF(COUNTIFS(B$4:B274,B274,K$4:K274,"نعم",U$4:U274,0)=1,1,0))</f>
        <v>0</v>
      </c>
    </row>
    <row r="275" spans="1:22" x14ac:dyDescent="0.25">
      <c r="A275" s="8">
        <v>272</v>
      </c>
      <c r="B275" s="9"/>
      <c r="C275" s="33" t="str">
        <f t="shared" si="32"/>
        <v/>
      </c>
      <c r="D275" s="31"/>
      <c r="E275" s="31"/>
      <c r="F275" s="11"/>
      <c r="G275" s="11"/>
      <c r="H275" s="11"/>
      <c r="I275" s="9"/>
      <c r="J275" s="12" t="str">
        <f t="shared" si="33"/>
        <v/>
      </c>
      <c r="K275" s="9"/>
      <c r="L275" s="12" t="str">
        <f t="shared" si="34"/>
        <v/>
      </c>
      <c r="M275" s="11"/>
      <c r="N275" s="12" t="str">
        <f t="shared" si="35"/>
        <v/>
      </c>
      <c r="O275" s="12" t="str">
        <f t="shared" si="36"/>
        <v/>
      </c>
      <c r="P275" s="8" t="str">
        <f t="shared" si="37"/>
        <v/>
      </c>
      <c r="Q275" s="9"/>
      <c r="R275" s="31"/>
      <c r="S275" s="8" t="str">
        <f t="shared" si="38"/>
        <v/>
      </c>
      <c r="T275" s="8" t="str">
        <f t="shared" si="39"/>
        <v/>
      </c>
      <c r="U275" s="8">
        <f>IF(T275="",0,IF(SUMPRODUCT(--(T$4:T275=T275))&gt;1,1,0))</f>
        <v>0</v>
      </c>
      <c r="V275" s="8">
        <f>IF(OR(T275="",U275=1,B275="",K275&lt;&gt;"نعم"),0,IF(COUNTIFS(B$4:B275,B275,K$4:K275,"نعم",U$4:U275,0)=1,1,0))</f>
        <v>0</v>
      </c>
    </row>
    <row r="276" spans="1:22" x14ac:dyDescent="0.25">
      <c r="A276" s="8">
        <v>273</v>
      </c>
      <c r="B276" s="9"/>
      <c r="C276" s="33" t="str">
        <f t="shared" si="32"/>
        <v/>
      </c>
      <c r="D276" s="31"/>
      <c r="E276" s="31"/>
      <c r="F276" s="11"/>
      <c r="G276" s="11"/>
      <c r="H276" s="11"/>
      <c r="I276" s="9"/>
      <c r="J276" s="12" t="str">
        <f t="shared" si="33"/>
        <v/>
      </c>
      <c r="K276" s="9"/>
      <c r="L276" s="12" t="str">
        <f t="shared" si="34"/>
        <v/>
      </c>
      <c r="M276" s="11"/>
      <c r="N276" s="12" t="str">
        <f t="shared" si="35"/>
        <v/>
      </c>
      <c r="O276" s="12" t="str">
        <f t="shared" si="36"/>
        <v/>
      </c>
      <c r="P276" s="8" t="str">
        <f t="shared" si="37"/>
        <v/>
      </c>
      <c r="Q276" s="9"/>
      <c r="R276" s="31"/>
      <c r="S276" s="8" t="str">
        <f t="shared" si="38"/>
        <v/>
      </c>
      <c r="T276" s="8" t="str">
        <f t="shared" si="39"/>
        <v/>
      </c>
      <c r="U276" s="8">
        <f>IF(T276="",0,IF(SUMPRODUCT(--(T$4:T276=T276))&gt;1,1,0))</f>
        <v>0</v>
      </c>
      <c r="V276" s="8">
        <f>IF(OR(T276="",U276=1,B276="",K276&lt;&gt;"نعم"),0,IF(COUNTIFS(B$4:B276,B276,K$4:K276,"نعم",U$4:U276,0)=1,1,0))</f>
        <v>0</v>
      </c>
    </row>
    <row r="277" spans="1:22" x14ac:dyDescent="0.25">
      <c r="A277" s="8">
        <v>274</v>
      </c>
      <c r="B277" s="9"/>
      <c r="C277" s="33" t="str">
        <f t="shared" si="32"/>
        <v/>
      </c>
      <c r="D277" s="31"/>
      <c r="E277" s="31"/>
      <c r="F277" s="11"/>
      <c r="G277" s="11"/>
      <c r="H277" s="11"/>
      <c r="I277" s="9"/>
      <c r="J277" s="12" t="str">
        <f t="shared" si="33"/>
        <v/>
      </c>
      <c r="K277" s="9"/>
      <c r="L277" s="12" t="str">
        <f t="shared" si="34"/>
        <v/>
      </c>
      <c r="M277" s="11"/>
      <c r="N277" s="12" t="str">
        <f t="shared" si="35"/>
        <v/>
      </c>
      <c r="O277" s="12" t="str">
        <f t="shared" si="36"/>
        <v/>
      </c>
      <c r="P277" s="8" t="str">
        <f t="shared" si="37"/>
        <v/>
      </c>
      <c r="Q277" s="9"/>
      <c r="R277" s="31"/>
      <c r="S277" s="8" t="str">
        <f t="shared" si="38"/>
        <v/>
      </c>
      <c r="T277" s="8" t="str">
        <f t="shared" si="39"/>
        <v/>
      </c>
      <c r="U277" s="8">
        <f>IF(T277="",0,IF(SUMPRODUCT(--(T$4:T277=T277))&gt;1,1,0))</f>
        <v>0</v>
      </c>
      <c r="V277" s="8">
        <f>IF(OR(T277="",U277=1,B277="",K277&lt;&gt;"نعم"),0,IF(COUNTIFS(B$4:B277,B277,K$4:K277,"نعم",U$4:U277,0)=1,1,0))</f>
        <v>0</v>
      </c>
    </row>
    <row r="278" spans="1:22" x14ac:dyDescent="0.25">
      <c r="A278" s="8">
        <v>275</v>
      </c>
      <c r="B278" s="9"/>
      <c r="C278" s="33" t="str">
        <f t="shared" si="32"/>
        <v/>
      </c>
      <c r="D278" s="31"/>
      <c r="E278" s="31"/>
      <c r="F278" s="11"/>
      <c r="G278" s="11"/>
      <c r="H278" s="11"/>
      <c r="I278" s="9"/>
      <c r="J278" s="12" t="str">
        <f t="shared" si="33"/>
        <v/>
      </c>
      <c r="K278" s="9"/>
      <c r="L278" s="12" t="str">
        <f t="shared" si="34"/>
        <v/>
      </c>
      <c r="M278" s="11"/>
      <c r="N278" s="12" t="str">
        <f t="shared" si="35"/>
        <v/>
      </c>
      <c r="O278" s="12" t="str">
        <f t="shared" si="36"/>
        <v/>
      </c>
      <c r="P278" s="8" t="str">
        <f t="shared" si="37"/>
        <v/>
      </c>
      <c r="Q278" s="9"/>
      <c r="R278" s="31"/>
      <c r="S278" s="8" t="str">
        <f t="shared" si="38"/>
        <v/>
      </c>
      <c r="T278" s="8" t="str">
        <f t="shared" si="39"/>
        <v/>
      </c>
      <c r="U278" s="8">
        <f>IF(T278="",0,IF(SUMPRODUCT(--(T$4:T278=T278))&gt;1,1,0))</f>
        <v>0</v>
      </c>
      <c r="V278" s="8">
        <f>IF(OR(T278="",U278=1,B278="",K278&lt;&gt;"نعم"),0,IF(COUNTIFS(B$4:B278,B278,K$4:K278,"نعم",U$4:U278,0)=1,1,0))</f>
        <v>0</v>
      </c>
    </row>
    <row r="279" spans="1:22" x14ac:dyDescent="0.25">
      <c r="A279" s="8">
        <v>276</v>
      </c>
      <c r="B279" s="9"/>
      <c r="C279" s="33" t="str">
        <f t="shared" si="32"/>
        <v/>
      </c>
      <c r="D279" s="31"/>
      <c r="E279" s="31"/>
      <c r="F279" s="11"/>
      <c r="G279" s="11"/>
      <c r="H279" s="11"/>
      <c r="I279" s="9"/>
      <c r="J279" s="12" t="str">
        <f t="shared" si="33"/>
        <v/>
      </c>
      <c r="K279" s="9"/>
      <c r="L279" s="12" t="str">
        <f t="shared" si="34"/>
        <v/>
      </c>
      <c r="M279" s="11"/>
      <c r="N279" s="12" t="str">
        <f t="shared" si="35"/>
        <v/>
      </c>
      <c r="O279" s="12" t="str">
        <f t="shared" si="36"/>
        <v/>
      </c>
      <c r="P279" s="8" t="str">
        <f t="shared" si="37"/>
        <v/>
      </c>
      <c r="Q279" s="9"/>
      <c r="R279" s="31"/>
      <c r="S279" s="8" t="str">
        <f t="shared" si="38"/>
        <v/>
      </c>
      <c r="T279" s="8" t="str">
        <f t="shared" si="39"/>
        <v/>
      </c>
      <c r="U279" s="8">
        <f>IF(T279="",0,IF(SUMPRODUCT(--(T$4:T279=T279))&gt;1,1,0))</f>
        <v>0</v>
      </c>
      <c r="V279" s="8">
        <f>IF(OR(T279="",U279=1,B279="",K279&lt;&gt;"نعم"),0,IF(COUNTIFS(B$4:B279,B279,K$4:K279,"نعم",U$4:U279,0)=1,1,0))</f>
        <v>0</v>
      </c>
    </row>
    <row r="280" spans="1:22" x14ac:dyDescent="0.25">
      <c r="A280" s="8">
        <v>277</v>
      </c>
      <c r="B280" s="9"/>
      <c r="C280" s="33" t="str">
        <f t="shared" si="32"/>
        <v/>
      </c>
      <c r="D280" s="31"/>
      <c r="E280" s="31"/>
      <c r="F280" s="11"/>
      <c r="G280" s="11"/>
      <c r="H280" s="11"/>
      <c r="I280" s="9"/>
      <c r="J280" s="12" t="str">
        <f t="shared" si="33"/>
        <v/>
      </c>
      <c r="K280" s="9"/>
      <c r="L280" s="12" t="str">
        <f t="shared" si="34"/>
        <v/>
      </c>
      <c r="M280" s="11"/>
      <c r="N280" s="12" t="str">
        <f t="shared" si="35"/>
        <v/>
      </c>
      <c r="O280" s="12" t="str">
        <f t="shared" si="36"/>
        <v/>
      </c>
      <c r="P280" s="8" t="str">
        <f t="shared" si="37"/>
        <v/>
      </c>
      <c r="Q280" s="9"/>
      <c r="R280" s="31"/>
      <c r="S280" s="8" t="str">
        <f t="shared" si="38"/>
        <v/>
      </c>
      <c r="T280" s="8" t="str">
        <f t="shared" si="39"/>
        <v/>
      </c>
      <c r="U280" s="8">
        <f>IF(T280="",0,IF(SUMPRODUCT(--(T$4:T280=T280))&gt;1,1,0))</f>
        <v>0</v>
      </c>
      <c r="V280" s="8">
        <f>IF(OR(T280="",U280=1,B280="",K280&lt;&gt;"نعم"),0,IF(COUNTIFS(B$4:B280,B280,K$4:K280,"نعم",U$4:U280,0)=1,1,0))</f>
        <v>0</v>
      </c>
    </row>
    <row r="281" spans="1:22" x14ac:dyDescent="0.25">
      <c r="A281" s="8">
        <v>278</v>
      </c>
      <c r="B281" s="9"/>
      <c r="C281" s="33" t="str">
        <f t="shared" si="32"/>
        <v/>
      </c>
      <c r="D281" s="31"/>
      <c r="E281" s="31"/>
      <c r="F281" s="11"/>
      <c r="G281" s="11"/>
      <c r="H281" s="11"/>
      <c r="I281" s="9"/>
      <c r="J281" s="12" t="str">
        <f t="shared" si="33"/>
        <v/>
      </c>
      <c r="K281" s="9"/>
      <c r="L281" s="12" t="str">
        <f t="shared" si="34"/>
        <v/>
      </c>
      <c r="M281" s="11"/>
      <c r="N281" s="12" t="str">
        <f t="shared" si="35"/>
        <v/>
      </c>
      <c r="O281" s="12" t="str">
        <f t="shared" si="36"/>
        <v/>
      </c>
      <c r="P281" s="8" t="str">
        <f t="shared" si="37"/>
        <v/>
      </c>
      <c r="Q281" s="9"/>
      <c r="R281" s="31"/>
      <c r="S281" s="8" t="str">
        <f t="shared" si="38"/>
        <v/>
      </c>
      <c r="T281" s="8" t="str">
        <f t="shared" si="39"/>
        <v/>
      </c>
      <c r="U281" s="8">
        <f>IF(T281="",0,IF(SUMPRODUCT(--(T$4:T281=T281))&gt;1,1,0))</f>
        <v>0</v>
      </c>
      <c r="V281" s="8">
        <f>IF(OR(T281="",U281=1,B281="",K281&lt;&gt;"نعم"),0,IF(COUNTIFS(B$4:B281,B281,K$4:K281,"نعم",U$4:U281,0)=1,1,0))</f>
        <v>0</v>
      </c>
    </row>
    <row r="282" spans="1:22" x14ac:dyDescent="0.25">
      <c r="A282" s="8">
        <v>279</v>
      </c>
      <c r="B282" s="9"/>
      <c r="C282" s="33" t="str">
        <f t="shared" si="32"/>
        <v/>
      </c>
      <c r="D282" s="31"/>
      <c r="E282" s="31"/>
      <c r="F282" s="11"/>
      <c r="G282" s="11"/>
      <c r="H282" s="11"/>
      <c r="I282" s="9"/>
      <c r="J282" s="12" t="str">
        <f t="shared" si="33"/>
        <v/>
      </c>
      <c r="K282" s="9"/>
      <c r="L282" s="12" t="str">
        <f t="shared" si="34"/>
        <v/>
      </c>
      <c r="M282" s="11"/>
      <c r="N282" s="12" t="str">
        <f t="shared" si="35"/>
        <v/>
      </c>
      <c r="O282" s="12" t="str">
        <f t="shared" si="36"/>
        <v/>
      </c>
      <c r="P282" s="8" t="str">
        <f t="shared" si="37"/>
        <v/>
      </c>
      <c r="Q282" s="9"/>
      <c r="R282" s="31"/>
      <c r="S282" s="8" t="str">
        <f t="shared" si="38"/>
        <v/>
      </c>
      <c r="T282" s="8" t="str">
        <f t="shared" si="39"/>
        <v/>
      </c>
      <c r="U282" s="8">
        <f>IF(T282="",0,IF(SUMPRODUCT(--(T$4:T282=T282))&gt;1,1,0))</f>
        <v>0</v>
      </c>
      <c r="V282" s="8">
        <f>IF(OR(T282="",U282=1,B282="",K282&lt;&gt;"نعم"),0,IF(COUNTIFS(B$4:B282,B282,K$4:K282,"نعم",U$4:U282,0)=1,1,0))</f>
        <v>0</v>
      </c>
    </row>
    <row r="283" spans="1:22" x14ac:dyDescent="0.25">
      <c r="A283" s="8">
        <v>280</v>
      </c>
      <c r="B283" s="9"/>
      <c r="C283" s="33" t="str">
        <f t="shared" si="32"/>
        <v/>
      </c>
      <c r="D283" s="31"/>
      <c r="E283" s="31"/>
      <c r="F283" s="11"/>
      <c r="G283" s="11"/>
      <c r="H283" s="11"/>
      <c r="I283" s="9"/>
      <c r="J283" s="12" t="str">
        <f t="shared" si="33"/>
        <v/>
      </c>
      <c r="K283" s="9"/>
      <c r="L283" s="12" t="str">
        <f t="shared" si="34"/>
        <v/>
      </c>
      <c r="M283" s="11"/>
      <c r="N283" s="12" t="str">
        <f t="shared" si="35"/>
        <v/>
      </c>
      <c r="O283" s="12" t="str">
        <f t="shared" si="36"/>
        <v/>
      </c>
      <c r="P283" s="8" t="str">
        <f t="shared" si="37"/>
        <v/>
      </c>
      <c r="Q283" s="9"/>
      <c r="R283" s="31"/>
      <c r="S283" s="8" t="str">
        <f t="shared" si="38"/>
        <v/>
      </c>
      <c r="T283" s="8" t="str">
        <f t="shared" si="39"/>
        <v/>
      </c>
      <c r="U283" s="8">
        <f>IF(T283="",0,IF(SUMPRODUCT(--(T$4:T283=T283))&gt;1,1,0))</f>
        <v>0</v>
      </c>
      <c r="V283" s="8">
        <f>IF(OR(T283="",U283=1,B283="",K283&lt;&gt;"نعم"),0,IF(COUNTIFS(B$4:B283,B283,K$4:K283,"نعم",U$4:U283,0)=1,1,0))</f>
        <v>0</v>
      </c>
    </row>
    <row r="284" spans="1:22" x14ac:dyDescent="0.25">
      <c r="A284" s="8">
        <v>281</v>
      </c>
      <c r="B284" s="9"/>
      <c r="C284" s="33" t="str">
        <f t="shared" si="32"/>
        <v/>
      </c>
      <c r="D284" s="31"/>
      <c r="E284" s="31"/>
      <c r="F284" s="11"/>
      <c r="G284" s="11"/>
      <c r="H284" s="11"/>
      <c r="I284" s="9"/>
      <c r="J284" s="12" t="str">
        <f t="shared" si="33"/>
        <v/>
      </c>
      <c r="K284" s="9"/>
      <c r="L284" s="12" t="str">
        <f t="shared" si="34"/>
        <v/>
      </c>
      <c r="M284" s="11"/>
      <c r="N284" s="12" t="str">
        <f t="shared" si="35"/>
        <v/>
      </c>
      <c r="O284" s="12" t="str">
        <f t="shared" si="36"/>
        <v/>
      </c>
      <c r="P284" s="8" t="str">
        <f t="shared" si="37"/>
        <v/>
      </c>
      <c r="Q284" s="9"/>
      <c r="R284" s="31"/>
      <c r="S284" s="8" t="str">
        <f t="shared" si="38"/>
        <v/>
      </c>
      <c r="T284" s="8" t="str">
        <f t="shared" si="39"/>
        <v/>
      </c>
      <c r="U284" s="8">
        <f>IF(T284="",0,IF(SUMPRODUCT(--(T$4:T284=T284))&gt;1,1,0))</f>
        <v>0</v>
      </c>
      <c r="V284" s="8">
        <f>IF(OR(T284="",U284=1,B284="",K284&lt;&gt;"نعم"),0,IF(COUNTIFS(B$4:B284,B284,K$4:K284,"نعم",U$4:U284,0)=1,1,0))</f>
        <v>0</v>
      </c>
    </row>
    <row r="285" spans="1:22" x14ac:dyDescent="0.25">
      <c r="A285" s="8">
        <v>282</v>
      </c>
      <c r="B285" s="9"/>
      <c r="C285" s="33" t="str">
        <f t="shared" si="32"/>
        <v/>
      </c>
      <c r="D285" s="31"/>
      <c r="E285" s="31"/>
      <c r="F285" s="11"/>
      <c r="G285" s="11"/>
      <c r="H285" s="11"/>
      <c r="I285" s="9"/>
      <c r="J285" s="12" t="str">
        <f t="shared" si="33"/>
        <v/>
      </c>
      <c r="K285" s="9"/>
      <c r="L285" s="12" t="str">
        <f t="shared" si="34"/>
        <v/>
      </c>
      <c r="M285" s="11"/>
      <c r="N285" s="12" t="str">
        <f t="shared" si="35"/>
        <v/>
      </c>
      <c r="O285" s="12" t="str">
        <f t="shared" si="36"/>
        <v/>
      </c>
      <c r="P285" s="8" t="str">
        <f t="shared" si="37"/>
        <v/>
      </c>
      <c r="Q285" s="9"/>
      <c r="R285" s="31"/>
      <c r="S285" s="8" t="str">
        <f t="shared" si="38"/>
        <v/>
      </c>
      <c r="T285" s="8" t="str">
        <f t="shared" si="39"/>
        <v/>
      </c>
      <c r="U285" s="8">
        <f>IF(T285="",0,IF(SUMPRODUCT(--(T$4:T285=T285))&gt;1,1,0))</f>
        <v>0</v>
      </c>
      <c r="V285" s="8">
        <f>IF(OR(T285="",U285=1,B285="",K285&lt;&gt;"نعم"),0,IF(COUNTIFS(B$4:B285,B285,K$4:K285,"نعم",U$4:U285,0)=1,1,0))</f>
        <v>0</v>
      </c>
    </row>
    <row r="286" spans="1:22" x14ac:dyDescent="0.25">
      <c r="A286" s="8">
        <v>283</v>
      </c>
      <c r="B286" s="9"/>
      <c r="C286" s="33" t="str">
        <f t="shared" si="32"/>
        <v/>
      </c>
      <c r="D286" s="31"/>
      <c r="E286" s="31"/>
      <c r="F286" s="11"/>
      <c r="G286" s="11"/>
      <c r="H286" s="11"/>
      <c r="I286" s="9"/>
      <c r="J286" s="12" t="str">
        <f t="shared" si="33"/>
        <v/>
      </c>
      <c r="K286" s="9"/>
      <c r="L286" s="12" t="str">
        <f t="shared" si="34"/>
        <v/>
      </c>
      <c r="M286" s="11"/>
      <c r="N286" s="12" t="str">
        <f t="shared" si="35"/>
        <v/>
      </c>
      <c r="O286" s="12" t="str">
        <f t="shared" si="36"/>
        <v/>
      </c>
      <c r="P286" s="8" t="str">
        <f t="shared" si="37"/>
        <v/>
      </c>
      <c r="Q286" s="9"/>
      <c r="R286" s="31"/>
      <c r="S286" s="8" t="str">
        <f t="shared" si="38"/>
        <v/>
      </c>
      <c r="T286" s="8" t="str">
        <f t="shared" si="39"/>
        <v/>
      </c>
      <c r="U286" s="8">
        <f>IF(T286="",0,IF(SUMPRODUCT(--(T$4:T286=T286))&gt;1,1,0))</f>
        <v>0</v>
      </c>
      <c r="V286" s="8">
        <f>IF(OR(T286="",U286=1,B286="",K286&lt;&gt;"نعم"),0,IF(COUNTIFS(B$4:B286,B286,K$4:K286,"نعم",U$4:U286,0)=1,1,0))</f>
        <v>0</v>
      </c>
    </row>
    <row r="287" spans="1:22" x14ac:dyDescent="0.25">
      <c r="A287" s="8">
        <v>284</v>
      </c>
      <c r="B287" s="9"/>
      <c r="C287" s="33" t="str">
        <f t="shared" si="32"/>
        <v/>
      </c>
      <c r="D287" s="31"/>
      <c r="E287" s="31"/>
      <c r="F287" s="11"/>
      <c r="G287" s="11"/>
      <c r="H287" s="11"/>
      <c r="I287" s="9"/>
      <c r="J287" s="12" t="str">
        <f t="shared" si="33"/>
        <v/>
      </c>
      <c r="K287" s="9"/>
      <c r="L287" s="12" t="str">
        <f t="shared" si="34"/>
        <v/>
      </c>
      <c r="M287" s="11"/>
      <c r="N287" s="12" t="str">
        <f t="shared" si="35"/>
        <v/>
      </c>
      <c r="O287" s="12" t="str">
        <f t="shared" si="36"/>
        <v/>
      </c>
      <c r="P287" s="8" t="str">
        <f t="shared" si="37"/>
        <v/>
      </c>
      <c r="Q287" s="9"/>
      <c r="R287" s="31"/>
      <c r="S287" s="8" t="str">
        <f t="shared" si="38"/>
        <v/>
      </c>
      <c r="T287" s="8" t="str">
        <f t="shared" si="39"/>
        <v/>
      </c>
      <c r="U287" s="8">
        <f>IF(T287="",0,IF(SUMPRODUCT(--(T$4:T287=T287))&gt;1,1,0))</f>
        <v>0</v>
      </c>
      <c r="V287" s="8">
        <f>IF(OR(T287="",U287=1,B287="",K287&lt;&gt;"نعم"),0,IF(COUNTIFS(B$4:B287,B287,K$4:K287,"نعم",U$4:U287,0)=1,1,0))</f>
        <v>0</v>
      </c>
    </row>
    <row r="288" spans="1:22" x14ac:dyDescent="0.25">
      <c r="A288" s="8">
        <v>285</v>
      </c>
      <c r="B288" s="9"/>
      <c r="C288" s="33" t="str">
        <f t="shared" si="32"/>
        <v/>
      </c>
      <c r="D288" s="31"/>
      <c r="E288" s="31"/>
      <c r="F288" s="11"/>
      <c r="G288" s="11"/>
      <c r="H288" s="11"/>
      <c r="I288" s="9"/>
      <c r="J288" s="12" t="str">
        <f t="shared" si="33"/>
        <v/>
      </c>
      <c r="K288" s="9"/>
      <c r="L288" s="12" t="str">
        <f t="shared" si="34"/>
        <v/>
      </c>
      <c r="M288" s="11"/>
      <c r="N288" s="12" t="str">
        <f t="shared" si="35"/>
        <v/>
      </c>
      <c r="O288" s="12" t="str">
        <f t="shared" si="36"/>
        <v/>
      </c>
      <c r="P288" s="8" t="str">
        <f t="shared" si="37"/>
        <v/>
      </c>
      <c r="Q288" s="9"/>
      <c r="R288" s="31"/>
      <c r="S288" s="8" t="str">
        <f t="shared" si="38"/>
        <v/>
      </c>
      <c r="T288" s="8" t="str">
        <f t="shared" si="39"/>
        <v/>
      </c>
      <c r="U288" s="8">
        <f>IF(T288="",0,IF(SUMPRODUCT(--(T$4:T288=T288))&gt;1,1,0))</f>
        <v>0</v>
      </c>
      <c r="V288" s="8">
        <f>IF(OR(T288="",U288=1,B288="",K288&lt;&gt;"نعم"),0,IF(COUNTIFS(B$4:B288,B288,K$4:K288,"نعم",U$4:U288,0)=1,1,0))</f>
        <v>0</v>
      </c>
    </row>
    <row r="289" spans="1:22" x14ac:dyDescent="0.25">
      <c r="A289" s="8">
        <v>286</v>
      </c>
      <c r="B289" s="9"/>
      <c r="C289" s="33" t="str">
        <f t="shared" si="32"/>
        <v/>
      </c>
      <c r="D289" s="31"/>
      <c r="E289" s="31"/>
      <c r="F289" s="11"/>
      <c r="G289" s="11"/>
      <c r="H289" s="11"/>
      <c r="I289" s="9"/>
      <c r="J289" s="12" t="str">
        <f t="shared" si="33"/>
        <v/>
      </c>
      <c r="K289" s="9"/>
      <c r="L289" s="12" t="str">
        <f t="shared" si="34"/>
        <v/>
      </c>
      <c r="M289" s="11"/>
      <c r="N289" s="12" t="str">
        <f t="shared" si="35"/>
        <v/>
      </c>
      <c r="O289" s="12" t="str">
        <f t="shared" si="36"/>
        <v/>
      </c>
      <c r="P289" s="8" t="str">
        <f t="shared" si="37"/>
        <v/>
      </c>
      <c r="Q289" s="9"/>
      <c r="R289" s="31"/>
      <c r="S289" s="8" t="str">
        <f t="shared" si="38"/>
        <v/>
      </c>
      <c r="T289" s="8" t="str">
        <f t="shared" si="39"/>
        <v/>
      </c>
      <c r="U289" s="8">
        <f>IF(T289="",0,IF(SUMPRODUCT(--(T$4:T289=T289))&gt;1,1,0))</f>
        <v>0</v>
      </c>
      <c r="V289" s="8">
        <f>IF(OR(T289="",U289=1,B289="",K289&lt;&gt;"نعم"),0,IF(COUNTIFS(B$4:B289,B289,K$4:K289,"نعم",U$4:U289,0)=1,1,0))</f>
        <v>0</v>
      </c>
    </row>
    <row r="290" spans="1:22" x14ac:dyDescent="0.25">
      <c r="A290" s="8">
        <v>287</v>
      </c>
      <c r="B290" s="9"/>
      <c r="C290" s="33" t="str">
        <f t="shared" si="32"/>
        <v/>
      </c>
      <c r="D290" s="31"/>
      <c r="E290" s="31"/>
      <c r="F290" s="11"/>
      <c r="G290" s="11"/>
      <c r="H290" s="11"/>
      <c r="I290" s="9"/>
      <c r="J290" s="12" t="str">
        <f t="shared" si="33"/>
        <v/>
      </c>
      <c r="K290" s="9"/>
      <c r="L290" s="12" t="str">
        <f t="shared" si="34"/>
        <v/>
      </c>
      <c r="M290" s="11"/>
      <c r="N290" s="12" t="str">
        <f t="shared" si="35"/>
        <v/>
      </c>
      <c r="O290" s="12" t="str">
        <f t="shared" si="36"/>
        <v/>
      </c>
      <c r="P290" s="8" t="str">
        <f t="shared" si="37"/>
        <v/>
      </c>
      <c r="Q290" s="9"/>
      <c r="R290" s="31"/>
      <c r="S290" s="8" t="str">
        <f t="shared" si="38"/>
        <v/>
      </c>
      <c r="T290" s="8" t="str">
        <f t="shared" si="39"/>
        <v/>
      </c>
      <c r="U290" s="8">
        <f>IF(T290="",0,IF(SUMPRODUCT(--(T$4:T290=T290))&gt;1,1,0))</f>
        <v>0</v>
      </c>
      <c r="V290" s="8">
        <f>IF(OR(T290="",U290=1,B290="",K290&lt;&gt;"نعم"),0,IF(COUNTIFS(B$4:B290,B290,K$4:K290,"نعم",U$4:U290,0)=1,1,0))</f>
        <v>0</v>
      </c>
    </row>
    <row r="291" spans="1:22" x14ac:dyDescent="0.25">
      <c r="A291" s="8">
        <v>288</v>
      </c>
      <c r="B291" s="9"/>
      <c r="C291" s="33" t="str">
        <f t="shared" si="32"/>
        <v/>
      </c>
      <c r="D291" s="31"/>
      <c r="E291" s="31"/>
      <c r="F291" s="11"/>
      <c r="G291" s="11"/>
      <c r="H291" s="11"/>
      <c r="I291" s="9"/>
      <c r="J291" s="12" t="str">
        <f t="shared" si="33"/>
        <v/>
      </c>
      <c r="K291" s="9"/>
      <c r="L291" s="12" t="str">
        <f t="shared" si="34"/>
        <v/>
      </c>
      <c r="M291" s="11"/>
      <c r="N291" s="12" t="str">
        <f t="shared" si="35"/>
        <v/>
      </c>
      <c r="O291" s="12" t="str">
        <f t="shared" si="36"/>
        <v/>
      </c>
      <c r="P291" s="8" t="str">
        <f t="shared" si="37"/>
        <v/>
      </c>
      <c r="Q291" s="9"/>
      <c r="R291" s="31"/>
      <c r="S291" s="8" t="str">
        <f t="shared" si="38"/>
        <v/>
      </c>
      <c r="T291" s="8" t="str">
        <f t="shared" si="39"/>
        <v/>
      </c>
      <c r="U291" s="8">
        <f>IF(T291="",0,IF(SUMPRODUCT(--(T$4:T291=T291))&gt;1,1,0))</f>
        <v>0</v>
      </c>
      <c r="V291" s="8">
        <f>IF(OR(T291="",U291=1,B291="",K291&lt;&gt;"نعم"),0,IF(COUNTIFS(B$4:B291,B291,K$4:K291,"نعم",U$4:U291,0)=1,1,0))</f>
        <v>0</v>
      </c>
    </row>
    <row r="292" spans="1:22" x14ac:dyDescent="0.25">
      <c r="A292" s="8">
        <v>289</v>
      </c>
      <c r="B292" s="9"/>
      <c r="C292" s="33" t="str">
        <f t="shared" si="32"/>
        <v/>
      </c>
      <c r="D292" s="31"/>
      <c r="E292" s="31"/>
      <c r="F292" s="11"/>
      <c r="G292" s="11"/>
      <c r="H292" s="11"/>
      <c r="I292" s="9"/>
      <c r="J292" s="12" t="str">
        <f t="shared" si="33"/>
        <v/>
      </c>
      <c r="K292" s="9"/>
      <c r="L292" s="12" t="str">
        <f t="shared" si="34"/>
        <v/>
      </c>
      <c r="M292" s="11"/>
      <c r="N292" s="12" t="str">
        <f t="shared" si="35"/>
        <v/>
      </c>
      <c r="O292" s="12" t="str">
        <f t="shared" si="36"/>
        <v/>
      </c>
      <c r="P292" s="8" t="str">
        <f t="shared" si="37"/>
        <v/>
      </c>
      <c r="Q292" s="9"/>
      <c r="R292" s="31"/>
      <c r="S292" s="8" t="str">
        <f t="shared" si="38"/>
        <v/>
      </c>
      <c r="T292" s="8" t="str">
        <f t="shared" si="39"/>
        <v/>
      </c>
      <c r="U292" s="8">
        <f>IF(T292="",0,IF(SUMPRODUCT(--(T$4:T292=T292))&gt;1,1,0))</f>
        <v>0</v>
      </c>
      <c r="V292" s="8">
        <f>IF(OR(T292="",U292=1,B292="",K292&lt;&gt;"نعم"),0,IF(COUNTIFS(B$4:B292,B292,K$4:K292,"نعم",U$4:U292,0)=1,1,0))</f>
        <v>0</v>
      </c>
    </row>
    <row r="293" spans="1:22" x14ac:dyDescent="0.25">
      <c r="A293" s="8">
        <v>290</v>
      </c>
      <c r="B293" s="9"/>
      <c r="C293" s="33" t="str">
        <f t="shared" si="32"/>
        <v/>
      </c>
      <c r="D293" s="31"/>
      <c r="E293" s="31"/>
      <c r="F293" s="11"/>
      <c r="G293" s="11"/>
      <c r="H293" s="11"/>
      <c r="I293" s="9"/>
      <c r="J293" s="12" t="str">
        <f t="shared" si="33"/>
        <v/>
      </c>
      <c r="K293" s="9"/>
      <c r="L293" s="12" t="str">
        <f t="shared" si="34"/>
        <v/>
      </c>
      <c r="M293" s="11"/>
      <c r="N293" s="12" t="str">
        <f t="shared" si="35"/>
        <v/>
      </c>
      <c r="O293" s="12" t="str">
        <f t="shared" si="36"/>
        <v/>
      </c>
      <c r="P293" s="8" t="str">
        <f t="shared" si="37"/>
        <v/>
      </c>
      <c r="Q293" s="9"/>
      <c r="R293" s="31"/>
      <c r="S293" s="8" t="str">
        <f t="shared" si="38"/>
        <v/>
      </c>
      <c r="T293" s="8" t="str">
        <f t="shared" si="39"/>
        <v/>
      </c>
      <c r="U293" s="8">
        <f>IF(T293="",0,IF(SUMPRODUCT(--(T$4:T293=T293))&gt;1,1,0))</f>
        <v>0</v>
      </c>
      <c r="V293" s="8">
        <f>IF(OR(T293="",U293=1,B293="",K293&lt;&gt;"نعم"),0,IF(COUNTIFS(B$4:B293,B293,K$4:K293,"نعم",U$4:U293,0)=1,1,0))</f>
        <v>0</v>
      </c>
    </row>
    <row r="294" spans="1:22" x14ac:dyDescent="0.25">
      <c r="A294" s="8">
        <v>291</v>
      </c>
      <c r="B294" s="9"/>
      <c r="C294" s="33" t="str">
        <f t="shared" si="32"/>
        <v/>
      </c>
      <c r="D294" s="31"/>
      <c r="E294" s="31"/>
      <c r="F294" s="11"/>
      <c r="G294" s="11"/>
      <c r="H294" s="11"/>
      <c r="I294" s="9"/>
      <c r="J294" s="12" t="str">
        <f t="shared" si="33"/>
        <v/>
      </c>
      <c r="K294" s="9"/>
      <c r="L294" s="12" t="str">
        <f t="shared" si="34"/>
        <v/>
      </c>
      <c r="M294" s="11"/>
      <c r="N294" s="12" t="str">
        <f t="shared" si="35"/>
        <v/>
      </c>
      <c r="O294" s="12" t="str">
        <f t="shared" si="36"/>
        <v/>
      </c>
      <c r="P294" s="8" t="str">
        <f t="shared" si="37"/>
        <v/>
      </c>
      <c r="Q294" s="9"/>
      <c r="R294" s="31"/>
      <c r="S294" s="8" t="str">
        <f t="shared" si="38"/>
        <v/>
      </c>
      <c r="T294" s="8" t="str">
        <f t="shared" si="39"/>
        <v/>
      </c>
      <c r="U294" s="8">
        <f>IF(T294="",0,IF(SUMPRODUCT(--(T$4:T294=T294))&gt;1,1,0))</f>
        <v>0</v>
      </c>
      <c r="V294" s="8">
        <f>IF(OR(T294="",U294=1,B294="",K294&lt;&gt;"نعم"),0,IF(COUNTIFS(B$4:B294,B294,K$4:K294,"نعم",U$4:U294,0)=1,1,0))</f>
        <v>0</v>
      </c>
    </row>
    <row r="295" spans="1:22" x14ac:dyDescent="0.25">
      <c r="A295" s="8">
        <v>292</v>
      </c>
      <c r="B295" s="9"/>
      <c r="C295" s="33" t="str">
        <f t="shared" si="32"/>
        <v/>
      </c>
      <c r="D295" s="31"/>
      <c r="E295" s="31"/>
      <c r="F295" s="11"/>
      <c r="G295" s="11"/>
      <c r="H295" s="11"/>
      <c r="I295" s="9"/>
      <c r="J295" s="12" t="str">
        <f t="shared" si="33"/>
        <v/>
      </c>
      <c r="K295" s="9"/>
      <c r="L295" s="12" t="str">
        <f t="shared" si="34"/>
        <v/>
      </c>
      <c r="M295" s="11"/>
      <c r="N295" s="12" t="str">
        <f t="shared" si="35"/>
        <v/>
      </c>
      <c r="O295" s="12" t="str">
        <f t="shared" si="36"/>
        <v/>
      </c>
      <c r="P295" s="8" t="str">
        <f t="shared" si="37"/>
        <v/>
      </c>
      <c r="Q295" s="9"/>
      <c r="R295" s="31"/>
      <c r="S295" s="8" t="str">
        <f t="shared" si="38"/>
        <v/>
      </c>
      <c r="T295" s="8" t="str">
        <f t="shared" si="39"/>
        <v/>
      </c>
      <c r="U295" s="8">
        <f>IF(T295="",0,IF(SUMPRODUCT(--(T$4:T295=T295))&gt;1,1,0))</f>
        <v>0</v>
      </c>
      <c r="V295" s="8">
        <f>IF(OR(T295="",U295=1,B295="",K295&lt;&gt;"نعم"),0,IF(COUNTIFS(B$4:B295,B295,K$4:K295,"نعم",U$4:U295,0)=1,1,0))</f>
        <v>0</v>
      </c>
    </row>
    <row r="296" spans="1:22" x14ac:dyDescent="0.25">
      <c r="A296" s="8">
        <v>293</v>
      </c>
      <c r="B296" s="9"/>
      <c r="C296" s="33" t="str">
        <f t="shared" si="32"/>
        <v/>
      </c>
      <c r="D296" s="31"/>
      <c r="E296" s="31"/>
      <c r="F296" s="11"/>
      <c r="G296" s="11"/>
      <c r="H296" s="11"/>
      <c r="I296" s="9"/>
      <c r="J296" s="12" t="str">
        <f t="shared" si="33"/>
        <v/>
      </c>
      <c r="K296" s="9"/>
      <c r="L296" s="12" t="str">
        <f t="shared" si="34"/>
        <v/>
      </c>
      <c r="M296" s="11"/>
      <c r="N296" s="12" t="str">
        <f t="shared" si="35"/>
        <v/>
      </c>
      <c r="O296" s="12" t="str">
        <f t="shared" si="36"/>
        <v/>
      </c>
      <c r="P296" s="8" t="str">
        <f t="shared" si="37"/>
        <v/>
      </c>
      <c r="Q296" s="9"/>
      <c r="R296" s="31"/>
      <c r="S296" s="8" t="str">
        <f t="shared" si="38"/>
        <v/>
      </c>
      <c r="T296" s="8" t="str">
        <f t="shared" si="39"/>
        <v/>
      </c>
      <c r="U296" s="8">
        <f>IF(T296="",0,IF(SUMPRODUCT(--(T$4:T296=T296))&gt;1,1,0))</f>
        <v>0</v>
      </c>
      <c r="V296" s="8">
        <f>IF(OR(T296="",U296=1,B296="",K296&lt;&gt;"نعم"),0,IF(COUNTIFS(B$4:B296,B296,K$4:K296,"نعم",U$4:U296,0)=1,1,0))</f>
        <v>0</v>
      </c>
    </row>
    <row r="297" spans="1:22" x14ac:dyDescent="0.25">
      <c r="A297" s="8">
        <v>294</v>
      </c>
      <c r="B297" s="9"/>
      <c r="C297" s="33" t="str">
        <f t="shared" si="32"/>
        <v/>
      </c>
      <c r="D297" s="31"/>
      <c r="E297" s="31"/>
      <c r="F297" s="11"/>
      <c r="G297" s="11"/>
      <c r="H297" s="11"/>
      <c r="I297" s="9"/>
      <c r="J297" s="12" t="str">
        <f t="shared" si="33"/>
        <v/>
      </c>
      <c r="K297" s="9"/>
      <c r="L297" s="12" t="str">
        <f t="shared" si="34"/>
        <v/>
      </c>
      <c r="M297" s="11"/>
      <c r="N297" s="12" t="str">
        <f t="shared" si="35"/>
        <v/>
      </c>
      <c r="O297" s="12" t="str">
        <f t="shared" si="36"/>
        <v/>
      </c>
      <c r="P297" s="8" t="str">
        <f t="shared" si="37"/>
        <v/>
      </c>
      <c r="Q297" s="9"/>
      <c r="R297" s="31"/>
      <c r="S297" s="8" t="str">
        <f t="shared" si="38"/>
        <v/>
      </c>
      <c r="T297" s="8" t="str">
        <f t="shared" si="39"/>
        <v/>
      </c>
      <c r="U297" s="8">
        <f>IF(T297="",0,IF(SUMPRODUCT(--(T$4:T297=T297))&gt;1,1,0))</f>
        <v>0</v>
      </c>
      <c r="V297" s="8">
        <f>IF(OR(T297="",U297=1,B297="",K297&lt;&gt;"نعم"),0,IF(COUNTIFS(B$4:B297,B297,K$4:K297,"نعم",U$4:U297,0)=1,1,0))</f>
        <v>0</v>
      </c>
    </row>
    <row r="298" spans="1:22" x14ac:dyDescent="0.25">
      <c r="A298" s="8">
        <v>295</v>
      </c>
      <c r="B298" s="9"/>
      <c r="C298" s="33" t="str">
        <f t="shared" si="32"/>
        <v/>
      </c>
      <c r="D298" s="31"/>
      <c r="E298" s="31"/>
      <c r="F298" s="11"/>
      <c r="G298" s="11"/>
      <c r="H298" s="11"/>
      <c r="I298" s="9"/>
      <c r="J298" s="12" t="str">
        <f t="shared" si="33"/>
        <v/>
      </c>
      <c r="K298" s="9"/>
      <c r="L298" s="12" t="str">
        <f t="shared" si="34"/>
        <v/>
      </c>
      <c r="M298" s="11"/>
      <c r="N298" s="12" t="str">
        <f t="shared" si="35"/>
        <v/>
      </c>
      <c r="O298" s="12" t="str">
        <f t="shared" si="36"/>
        <v/>
      </c>
      <c r="P298" s="8" t="str">
        <f t="shared" si="37"/>
        <v/>
      </c>
      <c r="Q298" s="9"/>
      <c r="R298" s="31"/>
      <c r="S298" s="8" t="str">
        <f t="shared" si="38"/>
        <v/>
      </c>
      <c r="T298" s="8" t="str">
        <f t="shared" si="39"/>
        <v/>
      </c>
      <c r="U298" s="8">
        <f>IF(T298="",0,IF(SUMPRODUCT(--(T$4:T298=T298))&gt;1,1,0))</f>
        <v>0</v>
      </c>
      <c r="V298" s="8">
        <f>IF(OR(T298="",U298=1,B298="",K298&lt;&gt;"نعم"),0,IF(COUNTIFS(B$4:B298,B298,K$4:K298,"نعم",U$4:U298,0)=1,1,0))</f>
        <v>0</v>
      </c>
    </row>
    <row r="299" spans="1:22" x14ac:dyDescent="0.25">
      <c r="A299" s="8">
        <v>296</v>
      </c>
      <c r="B299" s="9"/>
      <c r="C299" s="33" t="str">
        <f t="shared" si="32"/>
        <v/>
      </c>
      <c r="D299" s="31"/>
      <c r="E299" s="31"/>
      <c r="F299" s="11"/>
      <c r="G299" s="11"/>
      <c r="H299" s="11"/>
      <c r="I299" s="9"/>
      <c r="J299" s="12" t="str">
        <f t="shared" si="33"/>
        <v/>
      </c>
      <c r="K299" s="9"/>
      <c r="L299" s="12" t="str">
        <f t="shared" si="34"/>
        <v/>
      </c>
      <c r="M299" s="11"/>
      <c r="N299" s="12" t="str">
        <f t="shared" si="35"/>
        <v/>
      </c>
      <c r="O299" s="12" t="str">
        <f t="shared" si="36"/>
        <v/>
      </c>
      <c r="P299" s="8" t="str">
        <f t="shared" si="37"/>
        <v/>
      </c>
      <c r="Q299" s="9"/>
      <c r="R299" s="31"/>
      <c r="S299" s="8" t="str">
        <f t="shared" si="38"/>
        <v/>
      </c>
      <c r="T299" s="8" t="str">
        <f t="shared" si="39"/>
        <v/>
      </c>
      <c r="U299" s="8">
        <f>IF(T299="",0,IF(SUMPRODUCT(--(T$4:T299=T299))&gt;1,1,0))</f>
        <v>0</v>
      </c>
      <c r="V299" s="8">
        <f>IF(OR(T299="",U299=1,B299="",K299&lt;&gt;"نعم"),0,IF(COUNTIFS(B$4:B299,B299,K$4:K299,"نعم",U$4:U299,0)=1,1,0))</f>
        <v>0</v>
      </c>
    </row>
    <row r="300" spans="1:22" x14ac:dyDescent="0.25">
      <c r="A300" s="8">
        <v>297</v>
      </c>
      <c r="B300" s="9"/>
      <c r="C300" s="33" t="str">
        <f t="shared" si="32"/>
        <v/>
      </c>
      <c r="D300" s="31"/>
      <c r="E300" s="31"/>
      <c r="F300" s="11"/>
      <c r="G300" s="11"/>
      <c r="H300" s="11"/>
      <c r="I300" s="9"/>
      <c r="J300" s="12" t="str">
        <f t="shared" si="33"/>
        <v/>
      </c>
      <c r="K300" s="9"/>
      <c r="L300" s="12" t="str">
        <f t="shared" si="34"/>
        <v/>
      </c>
      <c r="M300" s="11"/>
      <c r="N300" s="12" t="str">
        <f t="shared" si="35"/>
        <v/>
      </c>
      <c r="O300" s="12" t="str">
        <f t="shared" si="36"/>
        <v/>
      </c>
      <c r="P300" s="8" t="str">
        <f t="shared" si="37"/>
        <v/>
      </c>
      <c r="Q300" s="9"/>
      <c r="R300" s="31"/>
      <c r="S300" s="8" t="str">
        <f t="shared" si="38"/>
        <v/>
      </c>
      <c r="T300" s="8" t="str">
        <f t="shared" si="39"/>
        <v/>
      </c>
      <c r="U300" s="8">
        <f>IF(T300="",0,IF(SUMPRODUCT(--(T$4:T300=T300))&gt;1,1,0))</f>
        <v>0</v>
      </c>
      <c r="V300" s="8">
        <f>IF(OR(T300="",U300=1,B300="",K300&lt;&gt;"نعم"),0,IF(COUNTIFS(B$4:B300,B300,K$4:K300,"نعم",U$4:U300,0)=1,1,0))</f>
        <v>0</v>
      </c>
    </row>
    <row r="301" spans="1:22" x14ac:dyDescent="0.25">
      <c r="A301" s="8">
        <v>298</v>
      </c>
      <c r="B301" s="9"/>
      <c r="C301" s="33" t="str">
        <f t="shared" si="32"/>
        <v/>
      </c>
      <c r="D301" s="31"/>
      <c r="E301" s="31"/>
      <c r="F301" s="11"/>
      <c r="G301" s="11"/>
      <c r="H301" s="11"/>
      <c r="I301" s="9"/>
      <c r="J301" s="12" t="str">
        <f t="shared" si="33"/>
        <v/>
      </c>
      <c r="K301" s="9"/>
      <c r="L301" s="12" t="str">
        <f t="shared" si="34"/>
        <v/>
      </c>
      <c r="M301" s="11"/>
      <c r="N301" s="12" t="str">
        <f t="shared" si="35"/>
        <v/>
      </c>
      <c r="O301" s="12" t="str">
        <f t="shared" si="36"/>
        <v/>
      </c>
      <c r="P301" s="8" t="str">
        <f t="shared" si="37"/>
        <v/>
      </c>
      <c r="Q301" s="9"/>
      <c r="R301" s="31"/>
      <c r="S301" s="8" t="str">
        <f t="shared" si="38"/>
        <v/>
      </c>
      <c r="T301" s="8" t="str">
        <f t="shared" si="39"/>
        <v/>
      </c>
      <c r="U301" s="8">
        <f>IF(T301="",0,IF(SUMPRODUCT(--(T$4:T301=T301))&gt;1,1,0))</f>
        <v>0</v>
      </c>
      <c r="V301" s="8">
        <f>IF(OR(T301="",U301=1,B301="",K301&lt;&gt;"نعم"),0,IF(COUNTIFS(B$4:B301,B301,K$4:K301,"نعم",U$4:U301,0)=1,1,0))</f>
        <v>0</v>
      </c>
    </row>
    <row r="302" spans="1:22" x14ac:dyDescent="0.25">
      <c r="A302" s="8">
        <v>299</v>
      </c>
      <c r="B302" s="9"/>
      <c r="C302" s="33" t="str">
        <f t="shared" si="32"/>
        <v/>
      </c>
      <c r="D302" s="31"/>
      <c r="E302" s="31"/>
      <c r="F302" s="11"/>
      <c r="G302" s="11"/>
      <c r="H302" s="11"/>
      <c r="I302" s="9"/>
      <c r="J302" s="12" t="str">
        <f t="shared" si="33"/>
        <v/>
      </c>
      <c r="K302" s="9"/>
      <c r="L302" s="12" t="str">
        <f t="shared" si="34"/>
        <v/>
      </c>
      <c r="M302" s="11"/>
      <c r="N302" s="12" t="str">
        <f t="shared" si="35"/>
        <v/>
      </c>
      <c r="O302" s="12" t="str">
        <f t="shared" si="36"/>
        <v/>
      </c>
      <c r="P302" s="8" t="str">
        <f t="shared" si="37"/>
        <v/>
      </c>
      <c r="Q302" s="9"/>
      <c r="R302" s="31"/>
      <c r="S302" s="8" t="str">
        <f t="shared" si="38"/>
        <v/>
      </c>
      <c r="T302" s="8" t="str">
        <f t="shared" si="39"/>
        <v/>
      </c>
      <c r="U302" s="8">
        <f>IF(T302="",0,IF(SUMPRODUCT(--(T$4:T302=T302))&gt;1,1,0))</f>
        <v>0</v>
      </c>
      <c r="V302" s="8">
        <f>IF(OR(T302="",U302=1,B302="",K302&lt;&gt;"نعم"),0,IF(COUNTIFS(B$4:B302,B302,K$4:K302,"نعم",U$4:U302,0)=1,1,0))</f>
        <v>0</v>
      </c>
    </row>
    <row r="303" spans="1:22" x14ac:dyDescent="0.25">
      <c r="A303" s="8">
        <v>300</v>
      </c>
      <c r="B303" s="9"/>
      <c r="C303" s="33" t="str">
        <f t="shared" si="32"/>
        <v/>
      </c>
      <c r="D303" s="31"/>
      <c r="E303" s="31"/>
      <c r="F303" s="11"/>
      <c r="G303" s="11"/>
      <c r="H303" s="11"/>
      <c r="I303" s="9"/>
      <c r="J303" s="12" t="str">
        <f t="shared" si="33"/>
        <v/>
      </c>
      <c r="K303" s="9"/>
      <c r="L303" s="12" t="str">
        <f t="shared" si="34"/>
        <v/>
      </c>
      <c r="M303" s="11"/>
      <c r="N303" s="12" t="str">
        <f t="shared" si="35"/>
        <v/>
      </c>
      <c r="O303" s="12" t="str">
        <f t="shared" si="36"/>
        <v/>
      </c>
      <c r="P303" s="8" t="str">
        <f t="shared" si="37"/>
        <v/>
      </c>
      <c r="Q303" s="9"/>
      <c r="R303" s="31"/>
      <c r="S303" s="8" t="str">
        <f t="shared" si="38"/>
        <v/>
      </c>
      <c r="T303" s="8" t="str">
        <f t="shared" si="39"/>
        <v/>
      </c>
      <c r="U303" s="8">
        <f>IF(T303="",0,IF(SUMPRODUCT(--(T$4:T303=T303))&gt;1,1,0))</f>
        <v>0</v>
      </c>
      <c r="V303" s="8">
        <f>IF(OR(T303="",U303=1,B303="",K303&lt;&gt;"نعم"),0,IF(COUNTIFS(B$4:B303,B303,K$4:K303,"نعم",U$4:U303,0)=1,1,0))</f>
        <v>0</v>
      </c>
    </row>
  </sheetData>
  <sheetProtection sheet="1" formatCells="0" formatColumns="0" formatRows="0" sort="0" autoFilter="0"/>
  <autoFilter ref="A3:S303"/>
  <mergeCells count="2">
    <mergeCell ref="A2:I2"/>
    <mergeCell ref="A1:S1"/>
  </mergeCells>
  <conditionalFormatting sqref="S4:S303">
    <cfRule type="expression" dxfId="21" priority="1" stopIfTrue="1">
      <formula>OR($S4="مكتمل",$S4="مسجل")</formula>
    </cfRule>
    <cfRule type="expression" dxfId="20" priority="2" stopIfTrue="1">
      <formula>LEFT($S4,4)="ناقص"</formula>
    </cfRule>
    <cfRule type="expression" dxfId="19" priority="3" stopIfTrue="1">
      <formula>LEN($S4)&gt;0</formula>
    </cfRule>
  </conditionalFormatting>
  <dataValidations count="9">
    <dataValidation type="list" errorStyle="warning" allowBlank="1" showErrorMessage="1" errorTitle="قيمة غير موجودة بالقائمة" error="هذا الكود غير موجود في «سجل الفراغات». يفضل تسجيل الفراغ أولًا." sqref="B4:B303">
      <formula1>SpaceCodes</formula1>
    </dataValidation>
    <dataValidation type="list" allowBlank="1" showErrorMessage="1" errorTitle="قيمة غير موجودة بالقائمة" error="اختر من القائمة. لإضافة خامة/بند جديد أضفه أولًا في ورقة القوائم." sqref="D4:D303">
      <formula1>LinMat</formula1>
    </dataValidation>
    <dataValidation type="decimal" operator="greaterThanOrEqual" allowBlank="1" showErrorMessage="1" errorTitle="قيمة غير صحيحة" error="أدخل رقمًا موجبًا فقط (بالمتر)." sqref="F4:F303">
      <formula1>0</formula1>
    </dataValidation>
    <dataValidation type="decimal" operator="greaterThanOrEqual" allowBlank="1" showErrorMessage="1" errorTitle="قيمة غير صحيحة" error="أدخل رقمًا موجبًا فقط (بالمتر)." sqref="G4:G303">
      <formula1>0</formula1>
    </dataValidation>
    <dataValidation type="decimal" operator="greaterThanOrEqual" allowBlank="1" showErrorMessage="1" errorTitle="قيمة غير صحيحة" error="أدخل رقمًا موجبًا فقط (بالمتر)." sqref="H4:H303">
      <formula1>0</formula1>
    </dataValidation>
    <dataValidation type="decimal" operator="greaterThanOrEqual" allowBlank="1" showErrorMessage="1" errorTitle="قيمة غير صحيحة" error="أدخل رقمًا موجبًا فقط (بالمتر)." sqref="I4:I303">
      <formula1>0</formula1>
    </dataValidation>
    <dataValidation type="decimal" operator="greaterThanOrEqual" allowBlank="1" showErrorMessage="1" errorTitle="قيمة غير صحيحة" error="أدخل رقمًا موجبًا فقط (بالمتر)." sqref="M4:M303">
      <formula1>0</formula1>
    </dataValidation>
    <dataValidation type="list" allowBlank="1" showErrorMessage="1" errorTitle="قيمة غير موجودة بالقائمة" error="اختر قيمة من القائمة المنسدلة." sqref="Q4:Q303">
      <formula1>YesNo</formula1>
    </dataValidation>
    <dataValidation type="list" allowBlank="1" showInputMessage="1" showErrorMessage="1" errorTitle="قيمة غير موجودة بالقائمة" error="اختر قيمة من القائمة المنسدلة." promptTitle="تنبيه" prompt="«نعم» = يُخصم تلقائيًا عرض فتحات هذا الفراغ المحدد لها «خصم من الوزرات = نعم». يُطبق على سجل واحد فقط لكل فراغ." sqref="K4:K303">
      <formula1>YesNo</formula1>
    </dataValidation>
  </dataValidations>
  <pageMargins left="0.4" right="0.4" top="0.5" bottom="0.5"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T303"/>
  <sheetViews>
    <sheetView rightToLeft="1" workbookViewId="0">
      <pane ySplit="3" topLeftCell="A4" activePane="bottomLeft" state="frozen"/>
      <selection pane="bottomLeft"/>
    </sheetView>
  </sheetViews>
  <sheetFormatPr defaultRowHeight="15" x14ac:dyDescent="0.25"/>
  <cols>
    <col min="1" max="1" width="5" style="34" customWidth="1"/>
    <col min="2" max="2" width="12" style="34" customWidth="1"/>
    <col min="3" max="3" width="18" style="34" customWidth="1"/>
    <col min="4" max="4" width="24" style="34" customWidth="1"/>
    <col min="5" max="7" width="20" style="34" customWidth="1"/>
    <col min="8" max="9" width="10" style="34" customWidth="1"/>
    <col min="10" max="10" width="11" style="34" customWidth="1"/>
    <col min="11" max="11" width="13" style="34" customWidth="1"/>
    <col min="12" max="12" width="10" style="34" customWidth="1"/>
    <col min="13" max="14" width="14" style="34" customWidth="1"/>
    <col min="15" max="15" width="8" style="34" customWidth="1"/>
    <col min="16" max="16" width="10" style="34" customWidth="1"/>
    <col min="17" max="17" width="30" style="34" customWidth="1"/>
    <col min="18" max="18" width="24" style="34" customWidth="1"/>
    <col min="19" max="19" width="8" style="34" hidden="1" customWidth="1"/>
    <col min="20" max="20" width="6" style="34" hidden="1" customWidth="1"/>
  </cols>
  <sheetData>
    <row r="1" spans="1:20" ht="30" customHeight="1" x14ac:dyDescent="0.25">
      <c r="A1" s="52" t="s">
        <v>119</v>
      </c>
      <c r="B1" s="51"/>
      <c r="C1" s="51"/>
      <c r="D1" s="51"/>
      <c r="E1" s="51"/>
      <c r="F1" s="51"/>
      <c r="G1" s="51"/>
      <c r="H1" s="51"/>
      <c r="I1" s="51"/>
      <c r="J1" s="51"/>
      <c r="K1" s="51"/>
      <c r="L1" s="51"/>
      <c r="M1" s="51"/>
      <c r="N1" s="51"/>
      <c r="O1" s="51"/>
      <c r="P1" s="51"/>
      <c r="Q1" s="51"/>
      <c r="R1" s="51"/>
    </row>
    <row r="2" spans="1:20" ht="24" customHeight="1" x14ac:dyDescent="0.25">
      <c r="A2" s="53" t="s">
        <v>59</v>
      </c>
      <c r="B2" s="54"/>
      <c r="C2" s="54"/>
      <c r="D2" s="54"/>
      <c r="E2" s="54"/>
      <c r="F2" s="54"/>
      <c r="G2" s="54"/>
      <c r="H2" s="54"/>
      <c r="I2" s="54"/>
      <c r="J2" s="54"/>
      <c r="K2" s="54"/>
      <c r="L2" s="55"/>
      <c r="M2" s="10">
        <f ca="1">SUMPRODUCT(SUBTOTAL(109,OFFSET(M$4,ROW(M$4:M$303)-ROW(M$4),0)),--(O$4:O$303="م²"))</f>
        <v>0</v>
      </c>
      <c r="N2" s="30"/>
      <c r="O2" s="30"/>
      <c r="P2" s="30"/>
      <c r="Q2" s="30"/>
      <c r="R2" s="10" t="str">
        <f>"غير مكتمل: "&amp;(COUNTIF(R$4:R$303,"?*")-COUNTIF(R$4:R$303,"مكتمل"))</f>
        <v>غير مكتمل: 0</v>
      </c>
    </row>
    <row r="3" spans="1:20" ht="48" customHeight="1" x14ac:dyDescent="0.25">
      <c r="A3" s="32" t="s">
        <v>52</v>
      </c>
      <c r="B3" s="32" t="s">
        <v>60</v>
      </c>
      <c r="C3" s="32" t="s">
        <v>54</v>
      </c>
      <c r="D3" s="32" t="s">
        <v>120</v>
      </c>
      <c r="E3" s="32" t="s">
        <v>121</v>
      </c>
      <c r="F3" s="32" t="s">
        <v>122</v>
      </c>
      <c r="G3" s="32" t="s">
        <v>62</v>
      </c>
      <c r="H3" s="32" t="s">
        <v>63</v>
      </c>
      <c r="I3" s="32" t="s">
        <v>64</v>
      </c>
      <c r="J3" s="32" t="s">
        <v>65</v>
      </c>
      <c r="K3" s="32" t="s">
        <v>66</v>
      </c>
      <c r="L3" s="32" t="s">
        <v>67</v>
      </c>
      <c r="M3" s="32" t="s">
        <v>68</v>
      </c>
      <c r="N3" s="32" t="s">
        <v>69</v>
      </c>
      <c r="O3" s="32" t="s">
        <v>70</v>
      </c>
      <c r="P3" s="32" t="s">
        <v>71</v>
      </c>
      <c r="Q3" s="32" t="s">
        <v>56</v>
      </c>
      <c r="R3" s="32" t="s">
        <v>57</v>
      </c>
      <c r="S3" s="32" t="s">
        <v>72</v>
      </c>
      <c r="T3" s="32" t="s">
        <v>73</v>
      </c>
    </row>
    <row r="4" spans="1:20" x14ac:dyDescent="0.25">
      <c r="A4" s="8">
        <v>1</v>
      </c>
      <c r="B4" s="9"/>
      <c r="C4" s="33" t="str">
        <f t="shared" ref="C4:C67" si="0">IF(B4="","",IFERROR(INDEX(SpaceNames,MATCH(B4,SpaceCodes,0))&amp;"",""))</f>
        <v/>
      </c>
      <c r="D4" s="31"/>
      <c r="E4" s="31"/>
      <c r="F4" s="31"/>
      <c r="G4" s="31"/>
      <c r="H4" s="11"/>
      <c r="I4" s="11"/>
      <c r="J4" s="9"/>
      <c r="K4" s="11"/>
      <c r="L4" s="9"/>
      <c r="M4" s="12" t="str">
        <f t="shared" ref="M4:M67" si="1">IF(S4="","",IF(OR(L4="لا",T4=1),0,IF(K4&lt;&gt;"",K4*IF(J4="",1,J4),IF(AND(H4&lt;&gt;"",I4&lt;&gt;""),H4*I4*IF(J4="",1,J4),""))))</f>
        <v/>
      </c>
      <c r="N4" s="12" t="str">
        <f t="shared" ref="N4:N67" si="2">IF(OR(S4="",B4="",D4=""),"",SUMIFS(CL_Net,CL_Space,B4,CL_Mat,D4))</f>
        <v/>
      </c>
      <c r="O4" s="8" t="str">
        <f t="shared" ref="O4:O67" si="3">IF(D4="","",IFERROR(IF(INDEX(CeilUnit,MATCH(D4,CeilMat,0))="","م²",INDEX(CeilUnit,MATCH(D4,CeilMat,0))),"م²"))</f>
        <v/>
      </c>
      <c r="P4" s="9"/>
      <c r="Q4" s="31"/>
      <c r="R4" s="8" t="str">
        <f t="shared" ref="R4:R67" si="4">IF(S4="","",IF(T4=1,"تكرار — غير محتسب",IF(B4="","ناقص بيانات: كود الفراغ",IF(COUNTIF(SpaceCodes,B4)=0,"ناقص بيانات: الفراغ غير مسجل",IF(D4="","ناقص بيانات: الخامة",IF(AND(K4="",OR(H4="",I4="")),"ناقص قياس",IF(L4="لا","مستبعد من الحصر",IF(P4="نعم","يحتاج مراجعة","مكتمل"))))))))</f>
        <v/>
      </c>
      <c r="S4" s="8" t="str">
        <f t="shared" ref="S4:S67" si="5">IF(COUNTA(B4,D4:K4)=0,"",B4&amp;"|"&amp;D4&amp;"|"&amp;G4&amp;"|"&amp;H4&amp;"|"&amp;I4&amp;"|"&amp;K4)</f>
        <v/>
      </c>
      <c r="T4" s="8">
        <f>IF(S4="",0,IF(SUMPRODUCT(--(S$4:S4=S4))&gt;1,1,0))</f>
        <v>0</v>
      </c>
    </row>
    <row r="5" spans="1:20" x14ac:dyDescent="0.25">
      <c r="A5" s="8">
        <v>2</v>
      </c>
      <c r="B5" s="9"/>
      <c r="C5" s="33" t="str">
        <f t="shared" si="0"/>
        <v/>
      </c>
      <c r="D5" s="31"/>
      <c r="E5" s="31"/>
      <c r="F5" s="31"/>
      <c r="G5" s="31"/>
      <c r="H5" s="11"/>
      <c r="I5" s="11"/>
      <c r="J5" s="9"/>
      <c r="K5" s="11"/>
      <c r="L5" s="9"/>
      <c r="M5" s="12" t="str">
        <f t="shared" si="1"/>
        <v/>
      </c>
      <c r="N5" s="12" t="str">
        <f t="shared" si="2"/>
        <v/>
      </c>
      <c r="O5" s="8" t="str">
        <f t="shared" si="3"/>
        <v/>
      </c>
      <c r="P5" s="9"/>
      <c r="Q5" s="31"/>
      <c r="R5" s="8" t="str">
        <f t="shared" si="4"/>
        <v/>
      </c>
      <c r="S5" s="8" t="str">
        <f t="shared" si="5"/>
        <v/>
      </c>
      <c r="T5" s="8">
        <f>IF(S5="",0,IF(SUMPRODUCT(--(S$4:S5=S5))&gt;1,1,0))</f>
        <v>0</v>
      </c>
    </row>
    <row r="6" spans="1:20" x14ac:dyDescent="0.25">
      <c r="A6" s="8">
        <v>3</v>
      </c>
      <c r="B6" s="9"/>
      <c r="C6" s="33" t="str">
        <f t="shared" si="0"/>
        <v/>
      </c>
      <c r="D6" s="31"/>
      <c r="E6" s="31"/>
      <c r="F6" s="31"/>
      <c r="G6" s="31"/>
      <c r="H6" s="11"/>
      <c r="I6" s="11"/>
      <c r="J6" s="9"/>
      <c r="K6" s="11"/>
      <c r="L6" s="9"/>
      <c r="M6" s="12" t="str">
        <f t="shared" si="1"/>
        <v/>
      </c>
      <c r="N6" s="12" t="str">
        <f t="shared" si="2"/>
        <v/>
      </c>
      <c r="O6" s="8" t="str">
        <f t="shared" si="3"/>
        <v/>
      </c>
      <c r="P6" s="9"/>
      <c r="Q6" s="31"/>
      <c r="R6" s="8" t="str">
        <f t="shared" si="4"/>
        <v/>
      </c>
      <c r="S6" s="8" t="str">
        <f t="shared" si="5"/>
        <v/>
      </c>
      <c r="T6" s="8">
        <f>IF(S6="",0,IF(SUMPRODUCT(--(S$4:S6=S6))&gt;1,1,0))</f>
        <v>0</v>
      </c>
    </row>
    <row r="7" spans="1:20" x14ac:dyDescent="0.25">
      <c r="A7" s="8">
        <v>4</v>
      </c>
      <c r="B7" s="9"/>
      <c r="C7" s="33" t="str">
        <f t="shared" si="0"/>
        <v/>
      </c>
      <c r="D7" s="31"/>
      <c r="E7" s="31"/>
      <c r="F7" s="31"/>
      <c r="G7" s="31"/>
      <c r="H7" s="11"/>
      <c r="I7" s="11"/>
      <c r="J7" s="9"/>
      <c r="K7" s="11"/>
      <c r="L7" s="9"/>
      <c r="M7" s="12" t="str">
        <f t="shared" si="1"/>
        <v/>
      </c>
      <c r="N7" s="12" t="str">
        <f t="shared" si="2"/>
        <v/>
      </c>
      <c r="O7" s="8" t="str">
        <f t="shared" si="3"/>
        <v/>
      </c>
      <c r="P7" s="9"/>
      <c r="Q7" s="31"/>
      <c r="R7" s="8" t="str">
        <f t="shared" si="4"/>
        <v/>
      </c>
      <c r="S7" s="8" t="str">
        <f t="shared" si="5"/>
        <v/>
      </c>
      <c r="T7" s="8">
        <f>IF(S7="",0,IF(SUMPRODUCT(--(S$4:S7=S7))&gt;1,1,0))</f>
        <v>0</v>
      </c>
    </row>
    <row r="8" spans="1:20" x14ac:dyDescent="0.25">
      <c r="A8" s="8">
        <v>5</v>
      </c>
      <c r="B8" s="9"/>
      <c r="C8" s="33" t="str">
        <f t="shared" si="0"/>
        <v/>
      </c>
      <c r="D8" s="31"/>
      <c r="E8" s="31"/>
      <c r="F8" s="31"/>
      <c r="G8" s="31"/>
      <c r="H8" s="11"/>
      <c r="I8" s="11"/>
      <c r="J8" s="9"/>
      <c r="K8" s="11"/>
      <c r="L8" s="9"/>
      <c r="M8" s="12" t="str">
        <f t="shared" si="1"/>
        <v/>
      </c>
      <c r="N8" s="12" t="str">
        <f t="shared" si="2"/>
        <v/>
      </c>
      <c r="O8" s="8" t="str">
        <f t="shared" si="3"/>
        <v/>
      </c>
      <c r="P8" s="9"/>
      <c r="Q8" s="31"/>
      <c r="R8" s="8" t="str">
        <f t="shared" si="4"/>
        <v/>
      </c>
      <c r="S8" s="8" t="str">
        <f t="shared" si="5"/>
        <v/>
      </c>
      <c r="T8" s="8">
        <f>IF(S8="",0,IF(SUMPRODUCT(--(S$4:S8=S8))&gt;1,1,0))</f>
        <v>0</v>
      </c>
    </row>
    <row r="9" spans="1:20" x14ac:dyDescent="0.25">
      <c r="A9" s="8">
        <v>6</v>
      </c>
      <c r="B9" s="9"/>
      <c r="C9" s="33" t="str">
        <f t="shared" si="0"/>
        <v/>
      </c>
      <c r="D9" s="31"/>
      <c r="E9" s="31"/>
      <c r="F9" s="31"/>
      <c r="G9" s="31"/>
      <c r="H9" s="11"/>
      <c r="I9" s="11"/>
      <c r="J9" s="9"/>
      <c r="K9" s="11"/>
      <c r="L9" s="9"/>
      <c r="M9" s="12" t="str">
        <f t="shared" si="1"/>
        <v/>
      </c>
      <c r="N9" s="12" t="str">
        <f t="shared" si="2"/>
        <v/>
      </c>
      <c r="O9" s="8" t="str">
        <f t="shared" si="3"/>
        <v/>
      </c>
      <c r="P9" s="9"/>
      <c r="Q9" s="31"/>
      <c r="R9" s="8" t="str">
        <f t="shared" si="4"/>
        <v/>
      </c>
      <c r="S9" s="8" t="str">
        <f t="shared" si="5"/>
        <v/>
      </c>
      <c r="T9" s="8">
        <f>IF(S9="",0,IF(SUMPRODUCT(--(S$4:S9=S9))&gt;1,1,0))</f>
        <v>0</v>
      </c>
    </row>
    <row r="10" spans="1:20" x14ac:dyDescent="0.25">
      <c r="A10" s="8">
        <v>7</v>
      </c>
      <c r="B10" s="9"/>
      <c r="C10" s="33" t="str">
        <f t="shared" si="0"/>
        <v/>
      </c>
      <c r="D10" s="31"/>
      <c r="E10" s="31"/>
      <c r="F10" s="31"/>
      <c r="G10" s="31"/>
      <c r="H10" s="11"/>
      <c r="I10" s="11"/>
      <c r="J10" s="9"/>
      <c r="K10" s="11"/>
      <c r="L10" s="9"/>
      <c r="M10" s="12" t="str">
        <f t="shared" si="1"/>
        <v/>
      </c>
      <c r="N10" s="12" t="str">
        <f t="shared" si="2"/>
        <v/>
      </c>
      <c r="O10" s="8" t="str">
        <f t="shared" si="3"/>
        <v/>
      </c>
      <c r="P10" s="9"/>
      <c r="Q10" s="31"/>
      <c r="R10" s="8" t="str">
        <f t="shared" si="4"/>
        <v/>
      </c>
      <c r="S10" s="8" t="str">
        <f t="shared" si="5"/>
        <v/>
      </c>
      <c r="T10" s="8">
        <f>IF(S10="",0,IF(SUMPRODUCT(--(S$4:S10=S10))&gt;1,1,0))</f>
        <v>0</v>
      </c>
    </row>
    <row r="11" spans="1:20" x14ac:dyDescent="0.25">
      <c r="A11" s="8">
        <v>8</v>
      </c>
      <c r="B11" s="9"/>
      <c r="C11" s="33" t="str">
        <f t="shared" si="0"/>
        <v/>
      </c>
      <c r="D11" s="31"/>
      <c r="E11" s="31"/>
      <c r="F11" s="31"/>
      <c r="G11" s="31"/>
      <c r="H11" s="11"/>
      <c r="I11" s="11"/>
      <c r="J11" s="9"/>
      <c r="K11" s="11"/>
      <c r="L11" s="9"/>
      <c r="M11" s="12" t="str">
        <f t="shared" si="1"/>
        <v/>
      </c>
      <c r="N11" s="12" t="str">
        <f t="shared" si="2"/>
        <v/>
      </c>
      <c r="O11" s="8" t="str">
        <f t="shared" si="3"/>
        <v/>
      </c>
      <c r="P11" s="9"/>
      <c r="Q11" s="31"/>
      <c r="R11" s="8" t="str">
        <f t="shared" si="4"/>
        <v/>
      </c>
      <c r="S11" s="8" t="str">
        <f t="shared" si="5"/>
        <v/>
      </c>
      <c r="T11" s="8">
        <f>IF(S11="",0,IF(SUMPRODUCT(--(S$4:S11=S11))&gt;1,1,0))</f>
        <v>0</v>
      </c>
    </row>
    <row r="12" spans="1:20" x14ac:dyDescent="0.25">
      <c r="A12" s="8">
        <v>9</v>
      </c>
      <c r="B12" s="9"/>
      <c r="C12" s="33" t="str">
        <f t="shared" si="0"/>
        <v/>
      </c>
      <c r="D12" s="31"/>
      <c r="E12" s="31"/>
      <c r="F12" s="31"/>
      <c r="G12" s="31"/>
      <c r="H12" s="11"/>
      <c r="I12" s="11"/>
      <c r="J12" s="9"/>
      <c r="K12" s="11"/>
      <c r="L12" s="9"/>
      <c r="M12" s="12" t="str">
        <f t="shared" si="1"/>
        <v/>
      </c>
      <c r="N12" s="12" t="str">
        <f t="shared" si="2"/>
        <v/>
      </c>
      <c r="O12" s="8" t="str">
        <f t="shared" si="3"/>
        <v/>
      </c>
      <c r="P12" s="9"/>
      <c r="Q12" s="31"/>
      <c r="R12" s="8" t="str">
        <f t="shared" si="4"/>
        <v/>
      </c>
      <c r="S12" s="8" t="str">
        <f t="shared" si="5"/>
        <v/>
      </c>
      <c r="T12" s="8">
        <f>IF(S12="",0,IF(SUMPRODUCT(--(S$4:S12=S12))&gt;1,1,0))</f>
        <v>0</v>
      </c>
    </row>
    <row r="13" spans="1:20" x14ac:dyDescent="0.25">
      <c r="A13" s="8">
        <v>10</v>
      </c>
      <c r="B13" s="9"/>
      <c r="C13" s="33" t="str">
        <f t="shared" si="0"/>
        <v/>
      </c>
      <c r="D13" s="31"/>
      <c r="E13" s="31"/>
      <c r="F13" s="31"/>
      <c r="G13" s="31"/>
      <c r="H13" s="11"/>
      <c r="I13" s="11"/>
      <c r="J13" s="9"/>
      <c r="K13" s="11"/>
      <c r="L13" s="9"/>
      <c r="M13" s="12" t="str">
        <f t="shared" si="1"/>
        <v/>
      </c>
      <c r="N13" s="12" t="str">
        <f t="shared" si="2"/>
        <v/>
      </c>
      <c r="O13" s="8" t="str">
        <f t="shared" si="3"/>
        <v/>
      </c>
      <c r="P13" s="9"/>
      <c r="Q13" s="31"/>
      <c r="R13" s="8" t="str">
        <f t="shared" si="4"/>
        <v/>
      </c>
      <c r="S13" s="8" t="str">
        <f t="shared" si="5"/>
        <v/>
      </c>
      <c r="T13" s="8">
        <f>IF(S13="",0,IF(SUMPRODUCT(--(S$4:S13=S13))&gt;1,1,0))</f>
        <v>0</v>
      </c>
    </row>
    <row r="14" spans="1:20" x14ac:dyDescent="0.25">
      <c r="A14" s="8">
        <v>11</v>
      </c>
      <c r="B14" s="9"/>
      <c r="C14" s="33" t="str">
        <f t="shared" si="0"/>
        <v/>
      </c>
      <c r="D14" s="31"/>
      <c r="E14" s="31"/>
      <c r="F14" s="31"/>
      <c r="G14" s="31"/>
      <c r="H14" s="11"/>
      <c r="I14" s="11"/>
      <c r="J14" s="9"/>
      <c r="K14" s="11"/>
      <c r="L14" s="9"/>
      <c r="M14" s="12" t="str">
        <f t="shared" si="1"/>
        <v/>
      </c>
      <c r="N14" s="12" t="str">
        <f t="shared" si="2"/>
        <v/>
      </c>
      <c r="O14" s="8" t="str">
        <f t="shared" si="3"/>
        <v/>
      </c>
      <c r="P14" s="9"/>
      <c r="Q14" s="31"/>
      <c r="R14" s="8" t="str">
        <f t="shared" si="4"/>
        <v/>
      </c>
      <c r="S14" s="8" t="str">
        <f t="shared" si="5"/>
        <v/>
      </c>
      <c r="T14" s="8">
        <f>IF(S14="",0,IF(SUMPRODUCT(--(S$4:S14=S14))&gt;1,1,0))</f>
        <v>0</v>
      </c>
    </row>
    <row r="15" spans="1:20" x14ac:dyDescent="0.25">
      <c r="A15" s="8">
        <v>12</v>
      </c>
      <c r="B15" s="9"/>
      <c r="C15" s="33" t="str">
        <f t="shared" si="0"/>
        <v/>
      </c>
      <c r="D15" s="31"/>
      <c r="E15" s="31"/>
      <c r="F15" s="31"/>
      <c r="G15" s="31"/>
      <c r="H15" s="11"/>
      <c r="I15" s="11"/>
      <c r="J15" s="9"/>
      <c r="K15" s="11"/>
      <c r="L15" s="9"/>
      <c r="M15" s="12" t="str">
        <f t="shared" si="1"/>
        <v/>
      </c>
      <c r="N15" s="12" t="str">
        <f t="shared" si="2"/>
        <v/>
      </c>
      <c r="O15" s="8" t="str">
        <f t="shared" si="3"/>
        <v/>
      </c>
      <c r="P15" s="9"/>
      <c r="Q15" s="31"/>
      <c r="R15" s="8" t="str">
        <f t="shared" si="4"/>
        <v/>
      </c>
      <c r="S15" s="8" t="str">
        <f t="shared" si="5"/>
        <v/>
      </c>
      <c r="T15" s="8">
        <f>IF(S15="",0,IF(SUMPRODUCT(--(S$4:S15=S15))&gt;1,1,0))</f>
        <v>0</v>
      </c>
    </row>
    <row r="16" spans="1:20" x14ac:dyDescent="0.25">
      <c r="A16" s="8">
        <v>13</v>
      </c>
      <c r="B16" s="9"/>
      <c r="C16" s="33" t="str">
        <f t="shared" si="0"/>
        <v/>
      </c>
      <c r="D16" s="31"/>
      <c r="E16" s="31"/>
      <c r="F16" s="31"/>
      <c r="G16" s="31"/>
      <c r="H16" s="11"/>
      <c r="I16" s="11"/>
      <c r="J16" s="9"/>
      <c r="K16" s="11"/>
      <c r="L16" s="9"/>
      <c r="M16" s="12" t="str">
        <f t="shared" si="1"/>
        <v/>
      </c>
      <c r="N16" s="12" t="str">
        <f t="shared" si="2"/>
        <v/>
      </c>
      <c r="O16" s="8" t="str">
        <f t="shared" si="3"/>
        <v/>
      </c>
      <c r="P16" s="9"/>
      <c r="Q16" s="31"/>
      <c r="R16" s="8" t="str">
        <f t="shared" si="4"/>
        <v/>
      </c>
      <c r="S16" s="8" t="str">
        <f t="shared" si="5"/>
        <v/>
      </c>
      <c r="T16" s="8">
        <f>IF(S16="",0,IF(SUMPRODUCT(--(S$4:S16=S16))&gt;1,1,0))</f>
        <v>0</v>
      </c>
    </row>
    <row r="17" spans="1:20" x14ac:dyDescent="0.25">
      <c r="A17" s="8">
        <v>14</v>
      </c>
      <c r="B17" s="9"/>
      <c r="C17" s="33" t="str">
        <f t="shared" si="0"/>
        <v/>
      </c>
      <c r="D17" s="31"/>
      <c r="E17" s="31"/>
      <c r="F17" s="31"/>
      <c r="G17" s="31"/>
      <c r="H17" s="11"/>
      <c r="I17" s="11"/>
      <c r="J17" s="9"/>
      <c r="K17" s="11"/>
      <c r="L17" s="9"/>
      <c r="M17" s="12" t="str">
        <f t="shared" si="1"/>
        <v/>
      </c>
      <c r="N17" s="12" t="str">
        <f t="shared" si="2"/>
        <v/>
      </c>
      <c r="O17" s="8" t="str">
        <f t="shared" si="3"/>
        <v/>
      </c>
      <c r="P17" s="9"/>
      <c r="Q17" s="31"/>
      <c r="R17" s="8" t="str">
        <f t="shared" si="4"/>
        <v/>
      </c>
      <c r="S17" s="8" t="str">
        <f t="shared" si="5"/>
        <v/>
      </c>
      <c r="T17" s="8">
        <f>IF(S17="",0,IF(SUMPRODUCT(--(S$4:S17=S17))&gt;1,1,0))</f>
        <v>0</v>
      </c>
    </row>
    <row r="18" spans="1:20" x14ac:dyDescent="0.25">
      <c r="A18" s="8">
        <v>15</v>
      </c>
      <c r="B18" s="9"/>
      <c r="C18" s="33" t="str">
        <f t="shared" si="0"/>
        <v/>
      </c>
      <c r="D18" s="31"/>
      <c r="E18" s="31"/>
      <c r="F18" s="31"/>
      <c r="G18" s="31"/>
      <c r="H18" s="11"/>
      <c r="I18" s="11"/>
      <c r="J18" s="9"/>
      <c r="K18" s="11"/>
      <c r="L18" s="9"/>
      <c r="M18" s="12" t="str">
        <f t="shared" si="1"/>
        <v/>
      </c>
      <c r="N18" s="12" t="str">
        <f t="shared" si="2"/>
        <v/>
      </c>
      <c r="O18" s="8" t="str">
        <f t="shared" si="3"/>
        <v/>
      </c>
      <c r="P18" s="9"/>
      <c r="Q18" s="31"/>
      <c r="R18" s="8" t="str">
        <f t="shared" si="4"/>
        <v/>
      </c>
      <c r="S18" s="8" t="str">
        <f t="shared" si="5"/>
        <v/>
      </c>
      <c r="T18" s="8">
        <f>IF(S18="",0,IF(SUMPRODUCT(--(S$4:S18=S18))&gt;1,1,0))</f>
        <v>0</v>
      </c>
    </row>
    <row r="19" spans="1:20" x14ac:dyDescent="0.25">
      <c r="A19" s="8">
        <v>16</v>
      </c>
      <c r="B19" s="9"/>
      <c r="C19" s="33" t="str">
        <f t="shared" si="0"/>
        <v/>
      </c>
      <c r="D19" s="31"/>
      <c r="E19" s="31"/>
      <c r="F19" s="31"/>
      <c r="G19" s="31"/>
      <c r="H19" s="11"/>
      <c r="I19" s="11"/>
      <c r="J19" s="9"/>
      <c r="K19" s="11"/>
      <c r="L19" s="9"/>
      <c r="M19" s="12" t="str">
        <f t="shared" si="1"/>
        <v/>
      </c>
      <c r="N19" s="12" t="str">
        <f t="shared" si="2"/>
        <v/>
      </c>
      <c r="O19" s="8" t="str">
        <f t="shared" si="3"/>
        <v/>
      </c>
      <c r="P19" s="9"/>
      <c r="Q19" s="31"/>
      <c r="R19" s="8" t="str">
        <f t="shared" si="4"/>
        <v/>
      </c>
      <c r="S19" s="8" t="str">
        <f t="shared" si="5"/>
        <v/>
      </c>
      <c r="T19" s="8">
        <f>IF(S19="",0,IF(SUMPRODUCT(--(S$4:S19=S19))&gt;1,1,0))</f>
        <v>0</v>
      </c>
    </row>
    <row r="20" spans="1:20" x14ac:dyDescent="0.25">
      <c r="A20" s="8">
        <v>17</v>
      </c>
      <c r="B20" s="9"/>
      <c r="C20" s="33" t="str">
        <f t="shared" si="0"/>
        <v/>
      </c>
      <c r="D20" s="31"/>
      <c r="E20" s="31"/>
      <c r="F20" s="31"/>
      <c r="G20" s="31"/>
      <c r="H20" s="11"/>
      <c r="I20" s="11"/>
      <c r="J20" s="9"/>
      <c r="K20" s="11"/>
      <c r="L20" s="9"/>
      <c r="M20" s="12" t="str">
        <f t="shared" si="1"/>
        <v/>
      </c>
      <c r="N20" s="12" t="str">
        <f t="shared" si="2"/>
        <v/>
      </c>
      <c r="O20" s="8" t="str">
        <f t="shared" si="3"/>
        <v/>
      </c>
      <c r="P20" s="9"/>
      <c r="Q20" s="31"/>
      <c r="R20" s="8" t="str">
        <f t="shared" si="4"/>
        <v/>
      </c>
      <c r="S20" s="8" t="str">
        <f t="shared" si="5"/>
        <v/>
      </c>
      <c r="T20" s="8">
        <f>IF(S20="",0,IF(SUMPRODUCT(--(S$4:S20=S20))&gt;1,1,0))</f>
        <v>0</v>
      </c>
    </row>
    <row r="21" spans="1:20" x14ac:dyDescent="0.25">
      <c r="A21" s="8">
        <v>18</v>
      </c>
      <c r="B21" s="9"/>
      <c r="C21" s="33" t="str">
        <f t="shared" si="0"/>
        <v/>
      </c>
      <c r="D21" s="31"/>
      <c r="E21" s="31"/>
      <c r="F21" s="31"/>
      <c r="G21" s="31"/>
      <c r="H21" s="11"/>
      <c r="I21" s="11"/>
      <c r="J21" s="9"/>
      <c r="K21" s="11"/>
      <c r="L21" s="9"/>
      <c r="M21" s="12" t="str">
        <f t="shared" si="1"/>
        <v/>
      </c>
      <c r="N21" s="12" t="str">
        <f t="shared" si="2"/>
        <v/>
      </c>
      <c r="O21" s="8" t="str">
        <f t="shared" si="3"/>
        <v/>
      </c>
      <c r="P21" s="9"/>
      <c r="Q21" s="31"/>
      <c r="R21" s="8" t="str">
        <f t="shared" si="4"/>
        <v/>
      </c>
      <c r="S21" s="8" t="str">
        <f t="shared" si="5"/>
        <v/>
      </c>
      <c r="T21" s="8">
        <f>IF(S21="",0,IF(SUMPRODUCT(--(S$4:S21=S21))&gt;1,1,0))</f>
        <v>0</v>
      </c>
    </row>
    <row r="22" spans="1:20" x14ac:dyDescent="0.25">
      <c r="A22" s="8">
        <v>19</v>
      </c>
      <c r="B22" s="9"/>
      <c r="C22" s="33" t="str">
        <f t="shared" si="0"/>
        <v/>
      </c>
      <c r="D22" s="31"/>
      <c r="E22" s="31"/>
      <c r="F22" s="31"/>
      <c r="G22" s="31"/>
      <c r="H22" s="11"/>
      <c r="I22" s="11"/>
      <c r="J22" s="9"/>
      <c r="K22" s="11"/>
      <c r="L22" s="9"/>
      <c r="M22" s="12" t="str">
        <f t="shared" si="1"/>
        <v/>
      </c>
      <c r="N22" s="12" t="str">
        <f t="shared" si="2"/>
        <v/>
      </c>
      <c r="O22" s="8" t="str">
        <f t="shared" si="3"/>
        <v/>
      </c>
      <c r="P22" s="9"/>
      <c r="Q22" s="31"/>
      <c r="R22" s="8" t="str">
        <f t="shared" si="4"/>
        <v/>
      </c>
      <c r="S22" s="8" t="str">
        <f t="shared" si="5"/>
        <v/>
      </c>
      <c r="T22" s="8">
        <f>IF(S22="",0,IF(SUMPRODUCT(--(S$4:S22=S22))&gt;1,1,0))</f>
        <v>0</v>
      </c>
    </row>
    <row r="23" spans="1:20" x14ac:dyDescent="0.25">
      <c r="A23" s="8">
        <v>20</v>
      </c>
      <c r="B23" s="9"/>
      <c r="C23" s="33" t="str">
        <f t="shared" si="0"/>
        <v/>
      </c>
      <c r="D23" s="31"/>
      <c r="E23" s="31"/>
      <c r="F23" s="31"/>
      <c r="G23" s="31"/>
      <c r="H23" s="11"/>
      <c r="I23" s="11"/>
      <c r="J23" s="9"/>
      <c r="K23" s="11"/>
      <c r="L23" s="9"/>
      <c r="M23" s="12" t="str">
        <f t="shared" si="1"/>
        <v/>
      </c>
      <c r="N23" s="12" t="str">
        <f t="shared" si="2"/>
        <v/>
      </c>
      <c r="O23" s="8" t="str">
        <f t="shared" si="3"/>
        <v/>
      </c>
      <c r="P23" s="9"/>
      <c r="Q23" s="31"/>
      <c r="R23" s="8" t="str">
        <f t="shared" si="4"/>
        <v/>
      </c>
      <c r="S23" s="8" t="str">
        <f t="shared" si="5"/>
        <v/>
      </c>
      <c r="T23" s="8">
        <f>IF(S23="",0,IF(SUMPRODUCT(--(S$4:S23=S23))&gt;1,1,0))</f>
        <v>0</v>
      </c>
    </row>
    <row r="24" spans="1:20" x14ac:dyDescent="0.25">
      <c r="A24" s="8">
        <v>21</v>
      </c>
      <c r="B24" s="9"/>
      <c r="C24" s="33" t="str">
        <f t="shared" si="0"/>
        <v/>
      </c>
      <c r="D24" s="31"/>
      <c r="E24" s="31"/>
      <c r="F24" s="31"/>
      <c r="G24" s="31"/>
      <c r="H24" s="11"/>
      <c r="I24" s="11"/>
      <c r="J24" s="9"/>
      <c r="K24" s="11"/>
      <c r="L24" s="9"/>
      <c r="M24" s="12" t="str">
        <f t="shared" si="1"/>
        <v/>
      </c>
      <c r="N24" s="12" t="str">
        <f t="shared" si="2"/>
        <v/>
      </c>
      <c r="O24" s="8" t="str">
        <f t="shared" si="3"/>
        <v/>
      </c>
      <c r="P24" s="9"/>
      <c r="Q24" s="31"/>
      <c r="R24" s="8" t="str">
        <f t="shared" si="4"/>
        <v/>
      </c>
      <c r="S24" s="8" t="str">
        <f t="shared" si="5"/>
        <v/>
      </c>
      <c r="T24" s="8">
        <f>IF(S24="",0,IF(SUMPRODUCT(--(S$4:S24=S24))&gt;1,1,0))</f>
        <v>0</v>
      </c>
    </row>
    <row r="25" spans="1:20" x14ac:dyDescent="0.25">
      <c r="A25" s="8">
        <v>22</v>
      </c>
      <c r="B25" s="9"/>
      <c r="C25" s="33" t="str">
        <f t="shared" si="0"/>
        <v/>
      </c>
      <c r="D25" s="31"/>
      <c r="E25" s="31"/>
      <c r="F25" s="31"/>
      <c r="G25" s="31"/>
      <c r="H25" s="11"/>
      <c r="I25" s="11"/>
      <c r="J25" s="9"/>
      <c r="K25" s="11"/>
      <c r="L25" s="9"/>
      <c r="M25" s="12" t="str">
        <f t="shared" si="1"/>
        <v/>
      </c>
      <c r="N25" s="12" t="str">
        <f t="shared" si="2"/>
        <v/>
      </c>
      <c r="O25" s="8" t="str">
        <f t="shared" si="3"/>
        <v/>
      </c>
      <c r="P25" s="9"/>
      <c r="Q25" s="31"/>
      <c r="R25" s="8" t="str">
        <f t="shared" si="4"/>
        <v/>
      </c>
      <c r="S25" s="8" t="str">
        <f t="shared" si="5"/>
        <v/>
      </c>
      <c r="T25" s="8">
        <f>IF(S25="",0,IF(SUMPRODUCT(--(S$4:S25=S25))&gt;1,1,0))</f>
        <v>0</v>
      </c>
    </row>
    <row r="26" spans="1:20" x14ac:dyDescent="0.25">
      <c r="A26" s="8">
        <v>23</v>
      </c>
      <c r="B26" s="9"/>
      <c r="C26" s="33" t="str">
        <f t="shared" si="0"/>
        <v/>
      </c>
      <c r="D26" s="31"/>
      <c r="E26" s="31"/>
      <c r="F26" s="31"/>
      <c r="G26" s="31"/>
      <c r="H26" s="11"/>
      <c r="I26" s="11"/>
      <c r="J26" s="9"/>
      <c r="K26" s="11"/>
      <c r="L26" s="9"/>
      <c r="M26" s="12" t="str">
        <f t="shared" si="1"/>
        <v/>
      </c>
      <c r="N26" s="12" t="str">
        <f t="shared" si="2"/>
        <v/>
      </c>
      <c r="O26" s="8" t="str">
        <f t="shared" si="3"/>
        <v/>
      </c>
      <c r="P26" s="9"/>
      <c r="Q26" s="31"/>
      <c r="R26" s="8" t="str">
        <f t="shared" si="4"/>
        <v/>
      </c>
      <c r="S26" s="8" t="str">
        <f t="shared" si="5"/>
        <v/>
      </c>
      <c r="T26" s="8">
        <f>IF(S26="",0,IF(SUMPRODUCT(--(S$4:S26=S26))&gt;1,1,0))</f>
        <v>0</v>
      </c>
    </row>
    <row r="27" spans="1:20" x14ac:dyDescent="0.25">
      <c r="A27" s="8">
        <v>24</v>
      </c>
      <c r="B27" s="9"/>
      <c r="C27" s="33" t="str">
        <f t="shared" si="0"/>
        <v/>
      </c>
      <c r="D27" s="31"/>
      <c r="E27" s="31"/>
      <c r="F27" s="31"/>
      <c r="G27" s="31"/>
      <c r="H27" s="11"/>
      <c r="I27" s="11"/>
      <c r="J27" s="9"/>
      <c r="K27" s="11"/>
      <c r="L27" s="9"/>
      <c r="M27" s="12" t="str">
        <f t="shared" si="1"/>
        <v/>
      </c>
      <c r="N27" s="12" t="str">
        <f t="shared" si="2"/>
        <v/>
      </c>
      <c r="O27" s="8" t="str">
        <f t="shared" si="3"/>
        <v/>
      </c>
      <c r="P27" s="9"/>
      <c r="Q27" s="31"/>
      <c r="R27" s="8" t="str">
        <f t="shared" si="4"/>
        <v/>
      </c>
      <c r="S27" s="8" t="str">
        <f t="shared" si="5"/>
        <v/>
      </c>
      <c r="T27" s="8">
        <f>IF(S27="",0,IF(SUMPRODUCT(--(S$4:S27=S27))&gt;1,1,0))</f>
        <v>0</v>
      </c>
    </row>
    <row r="28" spans="1:20" x14ac:dyDescent="0.25">
      <c r="A28" s="8">
        <v>25</v>
      </c>
      <c r="B28" s="9"/>
      <c r="C28" s="33" t="str">
        <f t="shared" si="0"/>
        <v/>
      </c>
      <c r="D28" s="31"/>
      <c r="E28" s="31"/>
      <c r="F28" s="31"/>
      <c r="G28" s="31"/>
      <c r="H28" s="11"/>
      <c r="I28" s="11"/>
      <c r="J28" s="9"/>
      <c r="K28" s="11"/>
      <c r="L28" s="9"/>
      <c r="M28" s="12" t="str">
        <f t="shared" si="1"/>
        <v/>
      </c>
      <c r="N28" s="12" t="str">
        <f t="shared" si="2"/>
        <v/>
      </c>
      <c r="O28" s="8" t="str">
        <f t="shared" si="3"/>
        <v/>
      </c>
      <c r="P28" s="9"/>
      <c r="Q28" s="31"/>
      <c r="R28" s="8" t="str">
        <f t="shared" si="4"/>
        <v/>
      </c>
      <c r="S28" s="8" t="str">
        <f t="shared" si="5"/>
        <v/>
      </c>
      <c r="T28" s="8">
        <f>IF(S28="",0,IF(SUMPRODUCT(--(S$4:S28=S28))&gt;1,1,0))</f>
        <v>0</v>
      </c>
    </row>
    <row r="29" spans="1:20" x14ac:dyDescent="0.25">
      <c r="A29" s="8">
        <v>26</v>
      </c>
      <c r="B29" s="9"/>
      <c r="C29" s="33" t="str">
        <f t="shared" si="0"/>
        <v/>
      </c>
      <c r="D29" s="31"/>
      <c r="E29" s="31"/>
      <c r="F29" s="31"/>
      <c r="G29" s="31"/>
      <c r="H29" s="11"/>
      <c r="I29" s="11"/>
      <c r="J29" s="9"/>
      <c r="K29" s="11"/>
      <c r="L29" s="9"/>
      <c r="M29" s="12" t="str">
        <f t="shared" si="1"/>
        <v/>
      </c>
      <c r="N29" s="12" t="str">
        <f t="shared" si="2"/>
        <v/>
      </c>
      <c r="O29" s="8" t="str">
        <f t="shared" si="3"/>
        <v/>
      </c>
      <c r="P29" s="9"/>
      <c r="Q29" s="31"/>
      <c r="R29" s="8" t="str">
        <f t="shared" si="4"/>
        <v/>
      </c>
      <c r="S29" s="8" t="str">
        <f t="shared" si="5"/>
        <v/>
      </c>
      <c r="T29" s="8">
        <f>IF(S29="",0,IF(SUMPRODUCT(--(S$4:S29=S29))&gt;1,1,0))</f>
        <v>0</v>
      </c>
    </row>
    <row r="30" spans="1:20" x14ac:dyDescent="0.25">
      <c r="A30" s="8">
        <v>27</v>
      </c>
      <c r="B30" s="9"/>
      <c r="C30" s="33" t="str">
        <f t="shared" si="0"/>
        <v/>
      </c>
      <c r="D30" s="31"/>
      <c r="E30" s="31"/>
      <c r="F30" s="31"/>
      <c r="G30" s="31"/>
      <c r="H30" s="11"/>
      <c r="I30" s="11"/>
      <c r="J30" s="9"/>
      <c r="K30" s="11"/>
      <c r="L30" s="9"/>
      <c r="M30" s="12" t="str">
        <f t="shared" si="1"/>
        <v/>
      </c>
      <c r="N30" s="12" t="str">
        <f t="shared" si="2"/>
        <v/>
      </c>
      <c r="O30" s="8" t="str">
        <f t="shared" si="3"/>
        <v/>
      </c>
      <c r="P30" s="9"/>
      <c r="Q30" s="31"/>
      <c r="R30" s="8" t="str">
        <f t="shared" si="4"/>
        <v/>
      </c>
      <c r="S30" s="8" t="str">
        <f t="shared" si="5"/>
        <v/>
      </c>
      <c r="T30" s="8">
        <f>IF(S30="",0,IF(SUMPRODUCT(--(S$4:S30=S30))&gt;1,1,0))</f>
        <v>0</v>
      </c>
    </row>
    <row r="31" spans="1:20" x14ac:dyDescent="0.25">
      <c r="A31" s="8">
        <v>28</v>
      </c>
      <c r="B31" s="9"/>
      <c r="C31" s="33" t="str">
        <f t="shared" si="0"/>
        <v/>
      </c>
      <c r="D31" s="31"/>
      <c r="E31" s="31"/>
      <c r="F31" s="31"/>
      <c r="G31" s="31"/>
      <c r="H31" s="11"/>
      <c r="I31" s="11"/>
      <c r="J31" s="9"/>
      <c r="K31" s="11"/>
      <c r="L31" s="9"/>
      <c r="M31" s="12" t="str">
        <f t="shared" si="1"/>
        <v/>
      </c>
      <c r="N31" s="12" t="str">
        <f t="shared" si="2"/>
        <v/>
      </c>
      <c r="O31" s="8" t="str">
        <f t="shared" si="3"/>
        <v/>
      </c>
      <c r="P31" s="9"/>
      <c r="Q31" s="31"/>
      <c r="R31" s="8" t="str">
        <f t="shared" si="4"/>
        <v/>
      </c>
      <c r="S31" s="8" t="str">
        <f t="shared" si="5"/>
        <v/>
      </c>
      <c r="T31" s="8">
        <f>IF(S31="",0,IF(SUMPRODUCT(--(S$4:S31=S31))&gt;1,1,0))</f>
        <v>0</v>
      </c>
    </row>
    <row r="32" spans="1:20" x14ac:dyDescent="0.25">
      <c r="A32" s="8">
        <v>29</v>
      </c>
      <c r="B32" s="9"/>
      <c r="C32" s="33" t="str">
        <f t="shared" si="0"/>
        <v/>
      </c>
      <c r="D32" s="31"/>
      <c r="E32" s="31"/>
      <c r="F32" s="31"/>
      <c r="G32" s="31"/>
      <c r="H32" s="11"/>
      <c r="I32" s="11"/>
      <c r="J32" s="9"/>
      <c r="K32" s="11"/>
      <c r="L32" s="9"/>
      <c r="M32" s="12" t="str">
        <f t="shared" si="1"/>
        <v/>
      </c>
      <c r="N32" s="12" t="str">
        <f t="shared" si="2"/>
        <v/>
      </c>
      <c r="O32" s="8" t="str">
        <f t="shared" si="3"/>
        <v/>
      </c>
      <c r="P32" s="9"/>
      <c r="Q32" s="31"/>
      <c r="R32" s="8" t="str">
        <f t="shared" si="4"/>
        <v/>
      </c>
      <c r="S32" s="8" t="str">
        <f t="shared" si="5"/>
        <v/>
      </c>
      <c r="T32" s="8">
        <f>IF(S32="",0,IF(SUMPRODUCT(--(S$4:S32=S32))&gt;1,1,0))</f>
        <v>0</v>
      </c>
    </row>
    <row r="33" spans="1:20" x14ac:dyDescent="0.25">
      <c r="A33" s="8">
        <v>30</v>
      </c>
      <c r="B33" s="9"/>
      <c r="C33" s="33" t="str">
        <f t="shared" si="0"/>
        <v/>
      </c>
      <c r="D33" s="31"/>
      <c r="E33" s="31"/>
      <c r="F33" s="31"/>
      <c r="G33" s="31"/>
      <c r="H33" s="11"/>
      <c r="I33" s="11"/>
      <c r="J33" s="9"/>
      <c r="K33" s="11"/>
      <c r="L33" s="9"/>
      <c r="M33" s="12" t="str">
        <f t="shared" si="1"/>
        <v/>
      </c>
      <c r="N33" s="12" t="str">
        <f t="shared" si="2"/>
        <v/>
      </c>
      <c r="O33" s="8" t="str">
        <f t="shared" si="3"/>
        <v/>
      </c>
      <c r="P33" s="9"/>
      <c r="Q33" s="31"/>
      <c r="R33" s="8" t="str">
        <f t="shared" si="4"/>
        <v/>
      </c>
      <c r="S33" s="8" t="str">
        <f t="shared" si="5"/>
        <v/>
      </c>
      <c r="T33" s="8">
        <f>IF(S33="",0,IF(SUMPRODUCT(--(S$4:S33=S33))&gt;1,1,0))</f>
        <v>0</v>
      </c>
    </row>
    <row r="34" spans="1:20" x14ac:dyDescent="0.25">
      <c r="A34" s="8">
        <v>31</v>
      </c>
      <c r="B34" s="9"/>
      <c r="C34" s="33" t="str">
        <f t="shared" si="0"/>
        <v/>
      </c>
      <c r="D34" s="31"/>
      <c r="E34" s="31"/>
      <c r="F34" s="31"/>
      <c r="G34" s="31"/>
      <c r="H34" s="11"/>
      <c r="I34" s="11"/>
      <c r="J34" s="9"/>
      <c r="K34" s="11"/>
      <c r="L34" s="9"/>
      <c r="M34" s="12" t="str">
        <f t="shared" si="1"/>
        <v/>
      </c>
      <c r="N34" s="12" t="str">
        <f t="shared" si="2"/>
        <v/>
      </c>
      <c r="O34" s="8" t="str">
        <f t="shared" si="3"/>
        <v/>
      </c>
      <c r="P34" s="9"/>
      <c r="Q34" s="31"/>
      <c r="R34" s="8" t="str">
        <f t="shared" si="4"/>
        <v/>
      </c>
      <c r="S34" s="8" t="str">
        <f t="shared" si="5"/>
        <v/>
      </c>
      <c r="T34" s="8">
        <f>IF(S34="",0,IF(SUMPRODUCT(--(S$4:S34=S34))&gt;1,1,0))</f>
        <v>0</v>
      </c>
    </row>
    <row r="35" spans="1:20" x14ac:dyDescent="0.25">
      <c r="A35" s="8">
        <v>32</v>
      </c>
      <c r="B35" s="9"/>
      <c r="C35" s="33" t="str">
        <f t="shared" si="0"/>
        <v/>
      </c>
      <c r="D35" s="31"/>
      <c r="E35" s="31"/>
      <c r="F35" s="31"/>
      <c r="G35" s="31"/>
      <c r="H35" s="11"/>
      <c r="I35" s="11"/>
      <c r="J35" s="9"/>
      <c r="K35" s="11"/>
      <c r="L35" s="9"/>
      <c r="M35" s="12" t="str">
        <f t="shared" si="1"/>
        <v/>
      </c>
      <c r="N35" s="12" t="str">
        <f t="shared" si="2"/>
        <v/>
      </c>
      <c r="O35" s="8" t="str">
        <f t="shared" si="3"/>
        <v/>
      </c>
      <c r="P35" s="9"/>
      <c r="Q35" s="31"/>
      <c r="R35" s="8" t="str">
        <f t="shared" si="4"/>
        <v/>
      </c>
      <c r="S35" s="8" t="str">
        <f t="shared" si="5"/>
        <v/>
      </c>
      <c r="T35" s="8">
        <f>IF(S35="",0,IF(SUMPRODUCT(--(S$4:S35=S35))&gt;1,1,0))</f>
        <v>0</v>
      </c>
    </row>
    <row r="36" spans="1:20" x14ac:dyDescent="0.25">
      <c r="A36" s="8">
        <v>33</v>
      </c>
      <c r="B36" s="9"/>
      <c r="C36" s="33" t="str">
        <f t="shared" si="0"/>
        <v/>
      </c>
      <c r="D36" s="31"/>
      <c r="E36" s="31"/>
      <c r="F36" s="31"/>
      <c r="G36" s="31"/>
      <c r="H36" s="11"/>
      <c r="I36" s="11"/>
      <c r="J36" s="9"/>
      <c r="K36" s="11"/>
      <c r="L36" s="9"/>
      <c r="M36" s="12" t="str">
        <f t="shared" si="1"/>
        <v/>
      </c>
      <c r="N36" s="12" t="str">
        <f t="shared" si="2"/>
        <v/>
      </c>
      <c r="O36" s="8" t="str">
        <f t="shared" si="3"/>
        <v/>
      </c>
      <c r="P36" s="9"/>
      <c r="Q36" s="31"/>
      <c r="R36" s="8" t="str">
        <f t="shared" si="4"/>
        <v/>
      </c>
      <c r="S36" s="8" t="str">
        <f t="shared" si="5"/>
        <v/>
      </c>
      <c r="T36" s="8">
        <f>IF(S36="",0,IF(SUMPRODUCT(--(S$4:S36=S36))&gt;1,1,0))</f>
        <v>0</v>
      </c>
    </row>
    <row r="37" spans="1:20" x14ac:dyDescent="0.25">
      <c r="A37" s="8">
        <v>34</v>
      </c>
      <c r="B37" s="9"/>
      <c r="C37" s="33" t="str">
        <f t="shared" si="0"/>
        <v/>
      </c>
      <c r="D37" s="31"/>
      <c r="E37" s="31"/>
      <c r="F37" s="31"/>
      <c r="G37" s="31"/>
      <c r="H37" s="11"/>
      <c r="I37" s="11"/>
      <c r="J37" s="9"/>
      <c r="K37" s="11"/>
      <c r="L37" s="9"/>
      <c r="M37" s="12" t="str">
        <f t="shared" si="1"/>
        <v/>
      </c>
      <c r="N37" s="12" t="str">
        <f t="shared" si="2"/>
        <v/>
      </c>
      <c r="O37" s="8" t="str">
        <f t="shared" si="3"/>
        <v/>
      </c>
      <c r="P37" s="9"/>
      <c r="Q37" s="31"/>
      <c r="R37" s="8" t="str">
        <f t="shared" si="4"/>
        <v/>
      </c>
      <c r="S37" s="8" t="str">
        <f t="shared" si="5"/>
        <v/>
      </c>
      <c r="T37" s="8">
        <f>IF(S37="",0,IF(SUMPRODUCT(--(S$4:S37=S37))&gt;1,1,0))</f>
        <v>0</v>
      </c>
    </row>
    <row r="38" spans="1:20" x14ac:dyDescent="0.25">
      <c r="A38" s="8">
        <v>35</v>
      </c>
      <c r="B38" s="9"/>
      <c r="C38" s="33" t="str">
        <f t="shared" si="0"/>
        <v/>
      </c>
      <c r="D38" s="31"/>
      <c r="E38" s="31"/>
      <c r="F38" s="31"/>
      <c r="G38" s="31"/>
      <c r="H38" s="11"/>
      <c r="I38" s="11"/>
      <c r="J38" s="9"/>
      <c r="K38" s="11"/>
      <c r="L38" s="9"/>
      <c r="M38" s="12" t="str">
        <f t="shared" si="1"/>
        <v/>
      </c>
      <c r="N38" s="12" t="str">
        <f t="shared" si="2"/>
        <v/>
      </c>
      <c r="O38" s="8" t="str">
        <f t="shared" si="3"/>
        <v/>
      </c>
      <c r="P38" s="9"/>
      <c r="Q38" s="31"/>
      <c r="R38" s="8" t="str">
        <f t="shared" si="4"/>
        <v/>
      </c>
      <c r="S38" s="8" t="str">
        <f t="shared" si="5"/>
        <v/>
      </c>
      <c r="T38" s="8">
        <f>IF(S38="",0,IF(SUMPRODUCT(--(S$4:S38=S38))&gt;1,1,0))</f>
        <v>0</v>
      </c>
    </row>
    <row r="39" spans="1:20" x14ac:dyDescent="0.25">
      <c r="A39" s="8">
        <v>36</v>
      </c>
      <c r="B39" s="9"/>
      <c r="C39" s="33" t="str">
        <f t="shared" si="0"/>
        <v/>
      </c>
      <c r="D39" s="31"/>
      <c r="E39" s="31"/>
      <c r="F39" s="31"/>
      <c r="G39" s="31"/>
      <c r="H39" s="11"/>
      <c r="I39" s="11"/>
      <c r="J39" s="9"/>
      <c r="K39" s="11"/>
      <c r="L39" s="9"/>
      <c r="M39" s="12" t="str">
        <f t="shared" si="1"/>
        <v/>
      </c>
      <c r="N39" s="12" t="str">
        <f t="shared" si="2"/>
        <v/>
      </c>
      <c r="O39" s="8" t="str">
        <f t="shared" si="3"/>
        <v/>
      </c>
      <c r="P39" s="9"/>
      <c r="Q39" s="31"/>
      <c r="R39" s="8" t="str">
        <f t="shared" si="4"/>
        <v/>
      </c>
      <c r="S39" s="8" t="str">
        <f t="shared" si="5"/>
        <v/>
      </c>
      <c r="T39" s="8">
        <f>IF(S39="",0,IF(SUMPRODUCT(--(S$4:S39=S39))&gt;1,1,0))</f>
        <v>0</v>
      </c>
    </row>
    <row r="40" spans="1:20" x14ac:dyDescent="0.25">
      <c r="A40" s="8">
        <v>37</v>
      </c>
      <c r="B40" s="9"/>
      <c r="C40" s="33" t="str">
        <f t="shared" si="0"/>
        <v/>
      </c>
      <c r="D40" s="31"/>
      <c r="E40" s="31"/>
      <c r="F40" s="31"/>
      <c r="G40" s="31"/>
      <c r="H40" s="11"/>
      <c r="I40" s="11"/>
      <c r="J40" s="9"/>
      <c r="K40" s="11"/>
      <c r="L40" s="9"/>
      <c r="M40" s="12" t="str">
        <f t="shared" si="1"/>
        <v/>
      </c>
      <c r="N40" s="12" t="str">
        <f t="shared" si="2"/>
        <v/>
      </c>
      <c r="O40" s="8" t="str">
        <f t="shared" si="3"/>
        <v/>
      </c>
      <c r="P40" s="9"/>
      <c r="Q40" s="31"/>
      <c r="R40" s="8" t="str">
        <f t="shared" si="4"/>
        <v/>
      </c>
      <c r="S40" s="8" t="str">
        <f t="shared" si="5"/>
        <v/>
      </c>
      <c r="T40" s="8">
        <f>IF(S40="",0,IF(SUMPRODUCT(--(S$4:S40=S40))&gt;1,1,0))</f>
        <v>0</v>
      </c>
    </row>
    <row r="41" spans="1:20" x14ac:dyDescent="0.25">
      <c r="A41" s="8">
        <v>38</v>
      </c>
      <c r="B41" s="9"/>
      <c r="C41" s="33" t="str">
        <f t="shared" si="0"/>
        <v/>
      </c>
      <c r="D41" s="31"/>
      <c r="E41" s="31"/>
      <c r="F41" s="31"/>
      <c r="G41" s="31"/>
      <c r="H41" s="11"/>
      <c r="I41" s="11"/>
      <c r="J41" s="9"/>
      <c r="K41" s="11"/>
      <c r="L41" s="9"/>
      <c r="M41" s="12" t="str">
        <f t="shared" si="1"/>
        <v/>
      </c>
      <c r="N41" s="12" t="str">
        <f t="shared" si="2"/>
        <v/>
      </c>
      <c r="O41" s="8" t="str">
        <f t="shared" si="3"/>
        <v/>
      </c>
      <c r="P41" s="9"/>
      <c r="Q41" s="31"/>
      <c r="R41" s="8" t="str">
        <f t="shared" si="4"/>
        <v/>
      </c>
      <c r="S41" s="8" t="str">
        <f t="shared" si="5"/>
        <v/>
      </c>
      <c r="T41" s="8">
        <f>IF(S41="",0,IF(SUMPRODUCT(--(S$4:S41=S41))&gt;1,1,0))</f>
        <v>0</v>
      </c>
    </row>
    <row r="42" spans="1:20" x14ac:dyDescent="0.25">
      <c r="A42" s="8">
        <v>39</v>
      </c>
      <c r="B42" s="9"/>
      <c r="C42" s="33" t="str">
        <f t="shared" si="0"/>
        <v/>
      </c>
      <c r="D42" s="31"/>
      <c r="E42" s="31"/>
      <c r="F42" s="31"/>
      <c r="G42" s="31"/>
      <c r="H42" s="11"/>
      <c r="I42" s="11"/>
      <c r="J42" s="9"/>
      <c r="K42" s="11"/>
      <c r="L42" s="9"/>
      <c r="M42" s="12" t="str">
        <f t="shared" si="1"/>
        <v/>
      </c>
      <c r="N42" s="12" t="str">
        <f t="shared" si="2"/>
        <v/>
      </c>
      <c r="O42" s="8" t="str">
        <f t="shared" si="3"/>
        <v/>
      </c>
      <c r="P42" s="9"/>
      <c r="Q42" s="31"/>
      <c r="R42" s="8" t="str">
        <f t="shared" si="4"/>
        <v/>
      </c>
      <c r="S42" s="8" t="str">
        <f t="shared" si="5"/>
        <v/>
      </c>
      <c r="T42" s="8">
        <f>IF(S42="",0,IF(SUMPRODUCT(--(S$4:S42=S42))&gt;1,1,0))</f>
        <v>0</v>
      </c>
    </row>
    <row r="43" spans="1:20" x14ac:dyDescent="0.25">
      <c r="A43" s="8">
        <v>40</v>
      </c>
      <c r="B43" s="9"/>
      <c r="C43" s="33" t="str">
        <f t="shared" si="0"/>
        <v/>
      </c>
      <c r="D43" s="31"/>
      <c r="E43" s="31"/>
      <c r="F43" s="31"/>
      <c r="G43" s="31"/>
      <c r="H43" s="11"/>
      <c r="I43" s="11"/>
      <c r="J43" s="9"/>
      <c r="K43" s="11"/>
      <c r="L43" s="9"/>
      <c r="M43" s="12" t="str">
        <f t="shared" si="1"/>
        <v/>
      </c>
      <c r="N43" s="12" t="str">
        <f t="shared" si="2"/>
        <v/>
      </c>
      <c r="O43" s="8" t="str">
        <f t="shared" si="3"/>
        <v/>
      </c>
      <c r="P43" s="9"/>
      <c r="Q43" s="31"/>
      <c r="R43" s="8" t="str">
        <f t="shared" si="4"/>
        <v/>
      </c>
      <c r="S43" s="8" t="str">
        <f t="shared" si="5"/>
        <v/>
      </c>
      <c r="T43" s="8">
        <f>IF(S43="",0,IF(SUMPRODUCT(--(S$4:S43=S43))&gt;1,1,0))</f>
        <v>0</v>
      </c>
    </row>
    <row r="44" spans="1:20" x14ac:dyDescent="0.25">
      <c r="A44" s="8">
        <v>41</v>
      </c>
      <c r="B44" s="9"/>
      <c r="C44" s="33" t="str">
        <f t="shared" si="0"/>
        <v/>
      </c>
      <c r="D44" s="31"/>
      <c r="E44" s="31"/>
      <c r="F44" s="31"/>
      <c r="G44" s="31"/>
      <c r="H44" s="11"/>
      <c r="I44" s="11"/>
      <c r="J44" s="9"/>
      <c r="K44" s="11"/>
      <c r="L44" s="9"/>
      <c r="M44" s="12" t="str">
        <f t="shared" si="1"/>
        <v/>
      </c>
      <c r="N44" s="12" t="str">
        <f t="shared" si="2"/>
        <v/>
      </c>
      <c r="O44" s="8" t="str">
        <f t="shared" si="3"/>
        <v/>
      </c>
      <c r="P44" s="9"/>
      <c r="Q44" s="31"/>
      <c r="R44" s="8" t="str">
        <f t="shared" si="4"/>
        <v/>
      </c>
      <c r="S44" s="8" t="str">
        <f t="shared" si="5"/>
        <v/>
      </c>
      <c r="T44" s="8">
        <f>IF(S44="",0,IF(SUMPRODUCT(--(S$4:S44=S44))&gt;1,1,0))</f>
        <v>0</v>
      </c>
    </row>
    <row r="45" spans="1:20" x14ac:dyDescent="0.25">
      <c r="A45" s="8">
        <v>42</v>
      </c>
      <c r="B45" s="9"/>
      <c r="C45" s="33" t="str">
        <f t="shared" si="0"/>
        <v/>
      </c>
      <c r="D45" s="31"/>
      <c r="E45" s="31"/>
      <c r="F45" s="31"/>
      <c r="G45" s="31"/>
      <c r="H45" s="11"/>
      <c r="I45" s="11"/>
      <c r="J45" s="9"/>
      <c r="K45" s="11"/>
      <c r="L45" s="9"/>
      <c r="M45" s="12" t="str">
        <f t="shared" si="1"/>
        <v/>
      </c>
      <c r="N45" s="12" t="str">
        <f t="shared" si="2"/>
        <v/>
      </c>
      <c r="O45" s="8" t="str">
        <f t="shared" si="3"/>
        <v/>
      </c>
      <c r="P45" s="9"/>
      <c r="Q45" s="31"/>
      <c r="R45" s="8" t="str">
        <f t="shared" si="4"/>
        <v/>
      </c>
      <c r="S45" s="8" t="str">
        <f t="shared" si="5"/>
        <v/>
      </c>
      <c r="T45" s="8">
        <f>IF(S45="",0,IF(SUMPRODUCT(--(S$4:S45=S45))&gt;1,1,0))</f>
        <v>0</v>
      </c>
    </row>
    <row r="46" spans="1:20" x14ac:dyDescent="0.25">
      <c r="A46" s="8">
        <v>43</v>
      </c>
      <c r="B46" s="9"/>
      <c r="C46" s="33" t="str">
        <f t="shared" si="0"/>
        <v/>
      </c>
      <c r="D46" s="31"/>
      <c r="E46" s="31"/>
      <c r="F46" s="31"/>
      <c r="G46" s="31"/>
      <c r="H46" s="11"/>
      <c r="I46" s="11"/>
      <c r="J46" s="9"/>
      <c r="K46" s="11"/>
      <c r="L46" s="9"/>
      <c r="M46" s="12" t="str">
        <f t="shared" si="1"/>
        <v/>
      </c>
      <c r="N46" s="12" t="str">
        <f t="shared" si="2"/>
        <v/>
      </c>
      <c r="O46" s="8" t="str">
        <f t="shared" si="3"/>
        <v/>
      </c>
      <c r="P46" s="9"/>
      <c r="Q46" s="31"/>
      <c r="R46" s="8" t="str">
        <f t="shared" si="4"/>
        <v/>
      </c>
      <c r="S46" s="8" t="str">
        <f t="shared" si="5"/>
        <v/>
      </c>
      <c r="T46" s="8">
        <f>IF(S46="",0,IF(SUMPRODUCT(--(S$4:S46=S46))&gt;1,1,0))</f>
        <v>0</v>
      </c>
    </row>
    <row r="47" spans="1:20" x14ac:dyDescent="0.25">
      <c r="A47" s="8">
        <v>44</v>
      </c>
      <c r="B47" s="9"/>
      <c r="C47" s="33" t="str">
        <f t="shared" si="0"/>
        <v/>
      </c>
      <c r="D47" s="31"/>
      <c r="E47" s="31"/>
      <c r="F47" s="31"/>
      <c r="G47" s="31"/>
      <c r="H47" s="11"/>
      <c r="I47" s="11"/>
      <c r="J47" s="9"/>
      <c r="K47" s="11"/>
      <c r="L47" s="9"/>
      <c r="M47" s="12" t="str">
        <f t="shared" si="1"/>
        <v/>
      </c>
      <c r="N47" s="12" t="str">
        <f t="shared" si="2"/>
        <v/>
      </c>
      <c r="O47" s="8" t="str">
        <f t="shared" si="3"/>
        <v/>
      </c>
      <c r="P47" s="9"/>
      <c r="Q47" s="31"/>
      <c r="R47" s="8" t="str">
        <f t="shared" si="4"/>
        <v/>
      </c>
      <c r="S47" s="8" t="str">
        <f t="shared" si="5"/>
        <v/>
      </c>
      <c r="T47" s="8">
        <f>IF(S47="",0,IF(SUMPRODUCT(--(S$4:S47=S47))&gt;1,1,0))</f>
        <v>0</v>
      </c>
    </row>
    <row r="48" spans="1:20" x14ac:dyDescent="0.25">
      <c r="A48" s="8">
        <v>45</v>
      </c>
      <c r="B48" s="9"/>
      <c r="C48" s="33" t="str">
        <f t="shared" si="0"/>
        <v/>
      </c>
      <c r="D48" s="31"/>
      <c r="E48" s="31"/>
      <c r="F48" s="31"/>
      <c r="G48" s="31"/>
      <c r="H48" s="11"/>
      <c r="I48" s="11"/>
      <c r="J48" s="9"/>
      <c r="K48" s="11"/>
      <c r="L48" s="9"/>
      <c r="M48" s="12" t="str">
        <f t="shared" si="1"/>
        <v/>
      </c>
      <c r="N48" s="12" t="str">
        <f t="shared" si="2"/>
        <v/>
      </c>
      <c r="O48" s="8" t="str">
        <f t="shared" si="3"/>
        <v/>
      </c>
      <c r="P48" s="9"/>
      <c r="Q48" s="31"/>
      <c r="R48" s="8" t="str">
        <f t="shared" si="4"/>
        <v/>
      </c>
      <c r="S48" s="8" t="str">
        <f t="shared" si="5"/>
        <v/>
      </c>
      <c r="T48" s="8">
        <f>IF(S48="",0,IF(SUMPRODUCT(--(S$4:S48=S48))&gt;1,1,0))</f>
        <v>0</v>
      </c>
    </row>
    <row r="49" spans="1:20" x14ac:dyDescent="0.25">
      <c r="A49" s="8">
        <v>46</v>
      </c>
      <c r="B49" s="9"/>
      <c r="C49" s="33" t="str">
        <f t="shared" si="0"/>
        <v/>
      </c>
      <c r="D49" s="31"/>
      <c r="E49" s="31"/>
      <c r="F49" s="31"/>
      <c r="G49" s="31"/>
      <c r="H49" s="11"/>
      <c r="I49" s="11"/>
      <c r="J49" s="9"/>
      <c r="K49" s="11"/>
      <c r="L49" s="9"/>
      <c r="M49" s="12" t="str">
        <f t="shared" si="1"/>
        <v/>
      </c>
      <c r="N49" s="12" t="str">
        <f t="shared" si="2"/>
        <v/>
      </c>
      <c r="O49" s="8" t="str">
        <f t="shared" si="3"/>
        <v/>
      </c>
      <c r="P49" s="9"/>
      <c r="Q49" s="31"/>
      <c r="R49" s="8" t="str">
        <f t="shared" si="4"/>
        <v/>
      </c>
      <c r="S49" s="8" t="str">
        <f t="shared" si="5"/>
        <v/>
      </c>
      <c r="T49" s="8">
        <f>IF(S49="",0,IF(SUMPRODUCT(--(S$4:S49=S49))&gt;1,1,0))</f>
        <v>0</v>
      </c>
    </row>
    <row r="50" spans="1:20" x14ac:dyDescent="0.25">
      <c r="A50" s="8">
        <v>47</v>
      </c>
      <c r="B50" s="9"/>
      <c r="C50" s="33" t="str">
        <f t="shared" si="0"/>
        <v/>
      </c>
      <c r="D50" s="31"/>
      <c r="E50" s="31"/>
      <c r="F50" s="31"/>
      <c r="G50" s="31"/>
      <c r="H50" s="11"/>
      <c r="I50" s="11"/>
      <c r="J50" s="9"/>
      <c r="K50" s="11"/>
      <c r="L50" s="9"/>
      <c r="M50" s="12" t="str">
        <f t="shared" si="1"/>
        <v/>
      </c>
      <c r="N50" s="12" t="str">
        <f t="shared" si="2"/>
        <v/>
      </c>
      <c r="O50" s="8" t="str">
        <f t="shared" si="3"/>
        <v/>
      </c>
      <c r="P50" s="9"/>
      <c r="Q50" s="31"/>
      <c r="R50" s="8" t="str">
        <f t="shared" si="4"/>
        <v/>
      </c>
      <c r="S50" s="8" t="str">
        <f t="shared" si="5"/>
        <v/>
      </c>
      <c r="T50" s="8">
        <f>IF(S50="",0,IF(SUMPRODUCT(--(S$4:S50=S50))&gt;1,1,0))</f>
        <v>0</v>
      </c>
    </row>
    <row r="51" spans="1:20" x14ac:dyDescent="0.25">
      <c r="A51" s="8">
        <v>48</v>
      </c>
      <c r="B51" s="9"/>
      <c r="C51" s="33" t="str">
        <f t="shared" si="0"/>
        <v/>
      </c>
      <c r="D51" s="31"/>
      <c r="E51" s="31"/>
      <c r="F51" s="31"/>
      <c r="G51" s="31"/>
      <c r="H51" s="11"/>
      <c r="I51" s="11"/>
      <c r="J51" s="9"/>
      <c r="K51" s="11"/>
      <c r="L51" s="9"/>
      <c r="M51" s="12" t="str">
        <f t="shared" si="1"/>
        <v/>
      </c>
      <c r="N51" s="12" t="str">
        <f t="shared" si="2"/>
        <v/>
      </c>
      <c r="O51" s="8" t="str">
        <f t="shared" si="3"/>
        <v/>
      </c>
      <c r="P51" s="9"/>
      <c r="Q51" s="31"/>
      <c r="R51" s="8" t="str">
        <f t="shared" si="4"/>
        <v/>
      </c>
      <c r="S51" s="8" t="str">
        <f t="shared" si="5"/>
        <v/>
      </c>
      <c r="T51" s="8">
        <f>IF(S51="",0,IF(SUMPRODUCT(--(S$4:S51=S51))&gt;1,1,0))</f>
        <v>0</v>
      </c>
    </row>
    <row r="52" spans="1:20" x14ac:dyDescent="0.25">
      <c r="A52" s="8">
        <v>49</v>
      </c>
      <c r="B52" s="9"/>
      <c r="C52" s="33" t="str">
        <f t="shared" si="0"/>
        <v/>
      </c>
      <c r="D52" s="31"/>
      <c r="E52" s="31"/>
      <c r="F52" s="31"/>
      <c r="G52" s="31"/>
      <c r="H52" s="11"/>
      <c r="I52" s="11"/>
      <c r="J52" s="9"/>
      <c r="K52" s="11"/>
      <c r="L52" s="9"/>
      <c r="M52" s="12" t="str">
        <f t="shared" si="1"/>
        <v/>
      </c>
      <c r="N52" s="12" t="str">
        <f t="shared" si="2"/>
        <v/>
      </c>
      <c r="O52" s="8" t="str">
        <f t="shared" si="3"/>
        <v/>
      </c>
      <c r="P52" s="9"/>
      <c r="Q52" s="31"/>
      <c r="R52" s="8" t="str">
        <f t="shared" si="4"/>
        <v/>
      </c>
      <c r="S52" s="8" t="str">
        <f t="shared" si="5"/>
        <v/>
      </c>
      <c r="T52" s="8">
        <f>IF(S52="",0,IF(SUMPRODUCT(--(S$4:S52=S52))&gt;1,1,0))</f>
        <v>0</v>
      </c>
    </row>
    <row r="53" spans="1:20" x14ac:dyDescent="0.25">
      <c r="A53" s="8">
        <v>50</v>
      </c>
      <c r="B53" s="9"/>
      <c r="C53" s="33" t="str">
        <f t="shared" si="0"/>
        <v/>
      </c>
      <c r="D53" s="31"/>
      <c r="E53" s="31"/>
      <c r="F53" s="31"/>
      <c r="G53" s="31"/>
      <c r="H53" s="11"/>
      <c r="I53" s="11"/>
      <c r="J53" s="9"/>
      <c r="K53" s="11"/>
      <c r="L53" s="9"/>
      <c r="M53" s="12" t="str">
        <f t="shared" si="1"/>
        <v/>
      </c>
      <c r="N53" s="12" t="str">
        <f t="shared" si="2"/>
        <v/>
      </c>
      <c r="O53" s="8" t="str">
        <f t="shared" si="3"/>
        <v/>
      </c>
      <c r="P53" s="9"/>
      <c r="Q53" s="31"/>
      <c r="R53" s="8" t="str">
        <f t="shared" si="4"/>
        <v/>
      </c>
      <c r="S53" s="8" t="str">
        <f t="shared" si="5"/>
        <v/>
      </c>
      <c r="T53" s="8">
        <f>IF(S53="",0,IF(SUMPRODUCT(--(S$4:S53=S53))&gt;1,1,0))</f>
        <v>0</v>
      </c>
    </row>
    <row r="54" spans="1:20" x14ac:dyDescent="0.25">
      <c r="A54" s="8">
        <v>51</v>
      </c>
      <c r="B54" s="9"/>
      <c r="C54" s="33" t="str">
        <f t="shared" si="0"/>
        <v/>
      </c>
      <c r="D54" s="31"/>
      <c r="E54" s="31"/>
      <c r="F54" s="31"/>
      <c r="G54" s="31"/>
      <c r="H54" s="11"/>
      <c r="I54" s="11"/>
      <c r="J54" s="9"/>
      <c r="K54" s="11"/>
      <c r="L54" s="9"/>
      <c r="M54" s="12" t="str">
        <f t="shared" si="1"/>
        <v/>
      </c>
      <c r="N54" s="12" t="str">
        <f t="shared" si="2"/>
        <v/>
      </c>
      <c r="O54" s="8" t="str">
        <f t="shared" si="3"/>
        <v/>
      </c>
      <c r="P54" s="9"/>
      <c r="Q54" s="31"/>
      <c r="R54" s="8" t="str">
        <f t="shared" si="4"/>
        <v/>
      </c>
      <c r="S54" s="8" t="str">
        <f t="shared" si="5"/>
        <v/>
      </c>
      <c r="T54" s="8">
        <f>IF(S54="",0,IF(SUMPRODUCT(--(S$4:S54=S54))&gt;1,1,0))</f>
        <v>0</v>
      </c>
    </row>
    <row r="55" spans="1:20" x14ac:dyDescent="0.25">
      <c r="A55" s="8">
        <v>52</v>
      </c>
      <c r="B55" s="9"/>
      <c r="C55" s="33" t="str">
        <f t="shared" si="0"/>
        <v/>
      </c>
      <c r="D55" s="31"/>
      <c r="E55" s="31"/>
      <c r="F55" s="31"/>
      <c r="G55" s="31"/>
      <c r="H55" s="11"/>
      <c r="I55" s="11"/>
      <c r="J55" s="9"/>
      <c r="K55" s="11"/>
      <c r="L55" s="9"/>
      <c r="M55" s="12" t="str">
        <f t="shared" si="1"/>
        <v/>
      </c>
      <c r="N55" s="12" t="str">
        <f t="shared" si="2"/>
        <v/>
      </c>
      <c r="O55" s="8" t="str">
        <f t="shared" si="3"/>
        <v/>
      </c>
      <c r="P55" s="9"/>
      <c r="Q55" s="31"/>
      <c r="R55" s="8" t="str">
        <f t="shared" si="4"/>
        <v/>
      </c>
      <c r="S55" s="8" t="str">
        <f t="shared" si="5"/>
        <v/>
      </c>
      <c r="T55" s="8">
        <f>IF(S55="",0,IF(SUMPRODUCT(--(S$4:S55=S55))&gt;1,1,0))</f>
        <v>0</v>
      </c>
    </row>
    <row r="56" spans="1:20" x14ac:dyDescent="0.25">
      <c r="A56" s="8">
        <v>53</v>
      </c>
      <c r="B56" s="9"/>
      <c r="C56" s="33" t="str">
        <f t="shared" si="0"/>
        <v/>
      </c>
      <c r="D56" s="31"/>
      <c r="E56" s="31"/>
      <c r="F56" s="31"/>
      <c r="G56" s="31"/>
      <c r="H56" s="11"/>
      <c r="I56" s="11"/>
      <c r="J56" s="9"/>
      <c r="K56" s="11"/>
      <c r="L56" s="9"/>
      <c r="M56" s="12" t="str">
        <f t="shared" si="1"/>
        <v/>
      </c>
      <c r="N56" s="12" t="str">
        <f t="shared" si="2"/>
        <v/>
      </c>
      <c r="O56" s="8" t="str">
        <f t="shared" si="3"/>
        <v/>
      </c>
      <c r="P56" s="9"/>
      <c r="Q56" s="31"/>
      <c r="R56" s="8" t="str">
        <f t="shared" si="4"/>
        <v/>
      </c>
      <c r="S56" s="8" t="str">
        <f t="shared" si="5"/>
        <v/>
      </c>
      <c r="T56" s="8">
        <f>IF(S56="",0,IF(SUMPRODUCT(--(S$4:S56=S56))&gt;1,1,0))</f>
        <v>0</v>
      </c>
    </row>
    <row r="57" spans="1:20" x14ac:dyDescent="0.25">
      <c r="A57" s="8">
        <v>54</v>
      </c>
      <c r="B57" s="9"/>
      <c r="C57" s="33" t="str">
        <f t="shared" si="0"/>
        <v/>
      </c>
      <c r="D57" s="31"/>
      <c r="E57" s="31"/>
      <c r="F57" s="31"/>
      <c r="G57" s="31"/>
      <c r="H57" s="11"/>
      <c r="I57" s="11"/>
      <c r="J57" s="9"/>
      <c r="K57" s="11"/>
      <c r="L57" s="9"/>
      <c r="M57" s="12" t="str">
        <f t="shared" si="1"/>
        <v/>
      </c>
      <c r="N57" s="12" t="str">
        <f t="shared" si="2"/>
        <v/>
      </c>
      <c r="O57" s="8" t="str">
        <f t="shared" si="3"/>
        <v/>
      </c>
      <c r="P57" s="9"/>
      <c r="Q57" s="31"/>
      <c r="R57" s="8" t="str">
        <f t="shared" si="4"/>
        <v/>
      </c>
      <c r="S57" s="8" t="str">
        <f t="shared" si="5"/>
        <v/>
      </c>
      <c r="T57" s="8">
        <f>IF(S57="",0,IF(SUMPRODUCT(--(S$4:S57=S57))&gt;1,1,0))</f>
        <v>0</v>
      </c>
    </row>
    <row r="58" spans="1:20" x14ac:dyDescent="0.25">
      <c r="A58" s="8">
        <v>55</v>
      </c>
      <c r="B58" s="9"/>
      <c r="C58" s="33" t="str">
        <f t="shared" si="0"/>
        <v/>
      </c>
      <c r="D58" s="31"/>
      <c r="E58" s="31"/>
      <c r="F58" s="31"/>
      <c r="G58" s="31"/>
      <c r="H58" s="11"/>
      <c r="I58" s="11"/>
      <c r="J58" s="9"/>
      <c r="K58" s="11"/>
      <c r="L58" s="9"/>
      <c r="M58" s="12" t="str">
        <f t="shared" si="1"/>
        <v/>
      </c>
      <c r="N58" s="12" t="str">
        <f t="shared" si="2"/>
        <v/>
      </c>
      <c r="O58" s="8" t="str">
        <f t="shared" si="3"/>
        <v/>
      </c>
      <c r="P58" s="9"/>
      <c r="Q58" s="31"/>
      <c r="R58" s="8" t="str">
        <f t="shared" si="4"/>
        <v/>
      </c>
      <c r="S58" s="8" t="str">
        <f t="shared" si="5"/>
        <v/>
      </c>
      <c r="T58" s="8">
        <f>IF(S58="",0,IF(SUMPRODUCT(--(S$4:S58=S58))&gt;1,1,0))</f>
        <v>0</v>
      </c>
    </row>
    <row r="59" spans="1:20" x14ac:dyDescent="0.25">
      <c r="A59" s="8">
        <v>56</v>
      </c>
      <c r="B59" s="9"/>
      <c r="C59" s="33" t="str">
        <f t="shared" si="0"/>
        <v/>
      </c>
      <c r="D59" s="31"/>
      <c r="E59" s="31"/>
      <c r="F59" s="31"/>
      <c r="G59" s="31"/>
      <c r="H59" s="11"/>
      <c r="I59" s="11"/>
      <c r="J59" s="9"/>
      <c r="K59" s="11"/>
      <c r="L59" s="9"/>
      <c r="M59" s="12" t="str">
        <f t="shared" si="1"/>
        <v/>
      </c>
      <c r="N59" s="12" t="str">
        <f t="shared" si="2"/>
        <v/>
      </c>
      <c r="O59" s="8" t="str">
        <f t="shared" si="3"/>
        <v/>
      </c>
      <c r="P59" s="9"/>
      <c r="Q59" s="31"/>
      <c r="R59" s="8" t="str">
        <f t="shared" si="4"/>
        <v/>
      </c>
      <c r="S59" s="8" t="str">
        <f t="shared" si="5"/>
        <v/>
      </c>
      <c r="T59" s="8">
        <f>IF(S59="",0,IF(SUMPRODUCT(--(S$4:S59=S59))&gt;1,1,0))</f>
        <v>0</v>
      </c>
    </row>
    <row r="60" spans="1:20" x14ac:dyDescent="0.25">
      <c r="A60" s="8">
        <v>57</v>
      </c>
      <c r="B60" s="9"/>
      <c r="C60" s="33" t="str">
        <f t="shared" si="0"/>
        <v/>
      </c>
      <c r="D60" s="31"/>
      <c r="E60" s="31"/>
      <c r="F60" s="31"/>
      <c r="G60" s="31"/>
      <c r="H60" s="11"/>
      <c r="I60" s="11"/>
      <c r="J60" s="9"/>
      <c r="K60" s="11"/>
      <c r="L60" s="9"/>
      <c r="M60" s="12" t="str">
        <f t="shared" si="1"/>
        <v/>
      </c>
      <c r="N60" s="12" t="str">
        <f t="shared" si="2"/>
        <v/>
      </c>
      <c r="O60" s="8" t="str">
        <f t="shared" si="3"/>
        <v/>
      </c>
      <c r="P60" s="9"/>
      <c r="Q60" s="31"/>
      <c r="R60" s="8" t="str">
        <f t="shared" si="4"/>
        <v/>
      </c>
      <c r="S60" s="8" t="str">
        <f t="shared" si="5"/>
        <v/>
      </c>
      <c r="T60" s="8">
        <f>IF(S60="",0,IF(SUMPRODUCT(--(S$4:S60=S60))&gt;1,1,0))</f>
        <v>0</v>
      </c>
    </row>
    <row r="61" spans="1:20" x14ac:dyDescent="0.25">
      <c r="A61" s="8">
        <v>58</v>
      </c>
      <c r="B61" s="9"/>
      <c r="C61" s="33" t="str">
        <f t="shared" si="0"/>
        <v/>
      </c>
      <c r="D61" s="31"/>
      <c r="E61" s="31"/>
      <c r="F61" s="31"/>
      <c r="G61" s="31"/>
      <c r="H61" s="11"/>
      <c r="I61" s="11"/>
      <c r="J61" s="9"/>
      <c r="K61" s="11"/>
      <c r="L61" s="9"/>
      <c r="M61" s="12" t="str">
        <f t="shared" si="1"/>
        <v/>
      </c>
      <c r="N61" s="12" t="str">
        <f t="shared" si="2"/>
        <v/>
      </c>
      <c r="O61" s="8" t="str">
        <f t="shared" si="3"/>
        <v/>
      </c>
      <c r="P61" s="9"/>
      <c r="Q61" s="31"/>
      <c r="R61" s="8" t="str">
        <f t="shared" si="4"/>
        <v/>
      </c>
      <c r="S61" s="8" t="str">
        <f t="shared" si="5"/>
        <v/>
      </c>
      <c r="T61" s="8">
        <f>IF(S61="",0,IF(SUMPRODUCT(--(S$4:S61=S61))&gt;1,1,0))</f>
        <v>0</v>
      </c>
    </row>
    <row r="62" spans="1:20" x14ac:dyDescent="0.25">
      <c r="A62" s="8">
        <v>59</v>
      </c>
      <c r="B62" s="9"/>
      <c r="C62" s="33" t="str">
        <f t="shared" si="0"/>
        <v/>
      </c>
      <c r="D62" s="31"/>
      <c r="E62" s="31"/>
      <c r="F62" s="31"/>
      <c r="G62" s="31"/>
      <c r="H62" s="11"/>
      <c r="I62" s="11"/>
      <c r="J62" s="9"/>
      <c r="K62" s="11"/>
      <c r="L62" s="9"/>
      <c r="M62" s="12" t="str">
        <f t="shared" si="1"/>
        <v/>
      </c>
      <c r="N62" s="12" t="str">
        <f t="shared" si="2"/>
        <v/>
      </c>
      <c r="O62" s="8" t="str">
        <f t="shared" si="3"/>
        <v/>
      </c>
      <c r="P62" s="9"/>
      <c r="Q62" s="31"/>
      <c r="R62" s="8" t="str">
        <f t="shared" si="4"/>
        <v/>
      </c>
      <c r="S62" s="8" t="str">
        <f t="shared" si="5"/>
        <v/>
      </c>
      <c r="T62" s="8">
        <f>IF(S62="",0,IF(SUMPRODUCT(--(S$4:S62=S62))&gt;1,1,0))</f>
        <v>0</v>
      </c>
    </row>
    <row r="63" spans="1:20" x14ac:dyDescent="0.25">
      <c r="A63" s="8">
        <v>60</v>
      </c>
      <c r="B63" s="9"/>
      <c r="C63" s="33" t="str">
        <f t="shared" si="0"/>
        <v/>
      </c>
      <c r="D63" s="31"/>
      <c r="E63" s="31"/>
      <c r="F63" s="31"/>
      <c r="G63" s="31"/>
      <c r="H63" s="11"/>
      <c r="I63" s="11"/>
      <c r="J63" s="9"/>
      <c r="K63" s="11"/>
      <c r="L63" s="9"/>
      <c r="M63" s="12" t="str">
        <f t="shared" si="1"/>
        <v/>
      </c>
      <c r="N63" s="12" t="str">
        <f t="shared" si="2"/>
        <v/>
      </c>
      <c r="O63" s="8" t="str">
        <f t="shared" si="3"/>
        <v/>
      </c>
      <c r="P63" s="9"/>
      <c r="Q63" s="31"/>
      <c r="R63" s="8" t="str">
        <f t="shared" si="4"/>
        <v/>
      </c>
      <c r="S63" s="8" t="str">
        <f t="shared" si="5"/>
        <v/>
      </c>
      <c r="T63" s="8">
        <f>IF(S63="",0,IF(SUMPRODUCT(--(S$4:S63=S63))&gt;1,1,0))</f>
        <v>0</v>
      </c>
    </row>
    <row r="64" spans="1:20" x14ac:dyDescent="0.25">
      <c r="A64" s="8">
        <v>61</v>
      </c>
      <c r="B64" s="9"/>
      <c r="C64" s="33" t="str">
        <f t="shared" si="0"/>
        <v/>
      </c>
      <c r="D64" s="31"/>
      <c r="E64" s="31"/>
      <c r="F64" s="31"/>
      <c r="G64" s="31"/>
      <c r="H64" s="11"/>
      <c r="I64" s="11"/>
      <c r="J64" s="9"/>
      <c r="K64" s="11"/>
      <c r="L64" s="9"/>
      <c r="M64" s="12" t="str">
        <f t="shared" si="1"/>
        <v/>
      </c>
      <c r="N64" s="12" t="str">
        <f t="shared" si="2"/>
        <v/>
      </c>
      <c r="O64" s="8" t="str">
        <f t="shared" si="3"/>
        <v/>
      </c>
      <c r="P64" s="9"/>
      <c r="Q64" s="31"/>
      <c r="R64" s="8" t="str">
        <f t="shared" si="4"/>
        <v/>
      </c>
      <c r="S64" s="8" t="str">
        <f t="shared" si="5"/>
        <v/>
      </c>
      <c r="T64" s="8">
        <f>IF(S64="",0,IF(SUMPRODUCT(--(S$4:S64=S64))&gt;1,1,0))</f>
        <v>0</v>
      </c>
    </row>
    <row r="65" spans="1:20" x14ac:dyDescent="0.25">
      <c r="A65" s="8">
        <v>62</v>
      </c>
      <c r="B65" s="9"/>
      <c r="C65" s="33" t="str">
        <f t="shared" si="0"/>
        <v/>
      </c>
      <c r="D65" s="31"/>
      <c r="E65" s="31"/>
      <c r="F65" s="31"/>
      <c r="G65" s="31"/>
      <c r="H65" s="11"/>
      <c r="I65" s="11"/>
      <c r="J65" s="9"/>
      <c r="K65" s="11"/>
      <c r="L65" s="9"/>
      <c r="M65" s="12" t="str">
        <f t="shared" si="1"/>
        <v/>
      </c>
      <c r="N65" s="12" t="str">
        <f t="shared" si="2"/>
        <v/>
      </c>
      <c r="O65" s="8" t="str">
        <f t="shared" si="3"/>
        <v/>
      </c>
      <c r="P65" s="9"/>
      <c r="Q65" s="31"/>
      <c r="R65" s="8" t="str">
        <f t="shared" si="4"/>
        <v/>
      </c>
      <c r="S65" s="8" t="str">
        <f t="shared" si="5"/>
        <v/>
      </c>
      <c r="T65" s="8">
        <f>IF(S65="",0,IF(SUMPRODUCT(--(S$4:S65=S65))&gt;1,1,0))</f>
        <v>0</v>
      </c>
    </row>
    <row r="66" spans="1:20" x14ac:dyDescent="0.25">
      <c r="A66" s="8">
        <v>63</v>
      </c>
      <c r="B66" s="9"/>
      <c r="C66" s="33" t="str">
        <f t="shared" si="0"/>
        <v/>
      </c>
      <c r="D66" s="31"/>
      <c r="E66" s="31"/>
      <c r="F66" s="31"/>
      <c r="G66" s="31"/>
      <c r="H66" s="11"/>
      <c r="I66" s="11"/>
      <c r="J66" s="9"/>
      <c r="K66" s="11"/>
      <c r="L66" s="9"/>
      <c r="M66" s="12" t="str">
        <f t="shared" si="1"/>
        <v/>
      </c>
      <c r="N66" s="12" t="str">
        <f t="shared" si="2"/>
        <v/>
      </c>
      <c r="O66" s="8" t="str">
        <f t="shared" si="3"/>
        <v/>
      </c>
      <c r="P66" s="9"/>
      <c r="Q66" s="31"/>
      <c r="R66" s="8" t="str">
        <f t="shared" si="4"/>
        <v/>
      </c>
      <c r="S66" s="8" t="str">
        <f t="shared" si="5"/>
        <v/>
      </c>
      <c r="T66" s="8">
        <f>IF(S66="",0,IF(SUMPRODUCT(--(S$4:S66=S66))&gt;1,1,0))</f>
        <v>0</v>
      </c>
    </row>
    <row r="67" spans="1:20" x14ac:dyDescent="0.25">
      <c r="A67" s="8">
        <v>64</v>
      </c>
      <c r="B67" s="9"/>
      <c r="C67" s="33" t="str">
        <f t="shared" si="0"/>
        <v/>
      </c>
      <c r="D67" s="31"/>
      <c r="E67" s="31"/>
      <c r="F67" s="31"/>
      <c r="G67" s="31"/>
      <c r="H67" s="11"/>
      <c r="I67" s="11"/>
      <c r="J67" s="9"/>
      <c r="K67" s="11"/>
      <c r="L67" s="9"/>
      <c r="M67" s="12" t="str">
        <f t="shared" si="1"/>
        <v/>
      </c>
      <c r="N67" s="12" t="str">
        <f t="shared" si="2"/>
        <v/>
      </c>
      <c r="O67" s="8" t="str">
        <f t="shared" si="3"/>
        <v/>
      </c>
      <c r="P67" s="9"/>
      <c r="Q67" s="31"/>
      <c r="R67" s="8" t="str">
        <f t="shared" si="4"/>
        <v/>
      </c>
      <c r="S67" s="8" t="str">
        <f t="shared" si="5"/>
        <v/>
      </c>
      <c r="T67" s="8">
        <f>IF(S67="",0,IF(SUMPRODUCT(--(S$4:S67=S67))&gt;1,1,0))</f>
        <v>0</v>
      </c>
    </row>
    <row r="68" spans="1:20" x14ac:dyDescent="0.25">
      <c r="A68" s="8">
        <v>65</v>
      </c>
      <c r="B68" s="9"/>
      <c r="C68" s="33" t="str">
        <f t="shared" ref="C68:C131" si="6">IF(B68="","",IFERROR(INDEX(SpaceNames,MATCH(B68,SpaceCodes,0))&amp;"",""))</f>
        <v/>
      </c>
      <c r="D68" s="31"/>
      <c r="E68" s="31"/>
      <c r="F68" s="31"/>
      <c r="G68" s="31"/>
      <c r="H68" s="11"/>
      <c r="I68" s="11"/>
      <c r="J68" s="9"/>
      <c r="K68" s="11"/>
      <c r="L68" s="9"/>
      <c r="M68" s="12" t="str">
        <f t="shared" ref="M68:M131" si="7">IF(S68="","",IF(OR(L68="لا",T68=1),0,IF(K68&lt;&gt;"",K68*IF(J68="",1,J68),IF(AND(H68&lt;&gt;"",I68&lt;&gt;""),H68*I68*IF(J68="",1,J68),""))))</f>
        <v/>
      </c>
      <c r="N68" s="12" t="str">
        <f t="shared" ref="N68:N131" si="8">IF(OR(S68="",B68="",D68=""),"",SUMIFS(CL_Net,CL_Space,B68,CL_Mat,D68))</f>
        <v/>
      </c>
      <c r="O68" s="8" t="str">
        <f t="shared" ref="O68:O131" si="9">IF(D68="","",IFERROR(IF(INDEX(CeilUnit,MATCH(D68,CeilMat,0))="","م²",INDEX(CeilUnit,MATCH(D68,CeilMat,0))),"م²"))</f>
        <v/>
      </c>
      <c r="P68" s="9"/>
      <c r="Q68" s="31"/>
      <c r="R68" s="8" t="str">
        <f t="shared" ref="R68:R131" si="10">IF(S68="","",IF(T68=1,"تكرار — غير محتسب",IF(B68="","ناقص بيانات: كود الفراغ",IF(COUNTIF(SpaceCodes,B68)=0,"ناقص بيانات: الفراغ غير مسجل",IF(D68="","ناقص بيانات: الخامة",IF(AND(K68="",OR(H68="",I68="")),"ناقص قياس",IF(L68="لا","مستبعد من الحصر",IF(P68="نعم","يحتاج مراجعة","مكتمل"))))))))</f>
        <v/>
      </c>
      <c r="S68" s="8" t="str">
        <f t="shared" ref="S68:S131" si="11">IF(COUNTA(B68,D68:K68)=0,"",B68&amp;"|"&amp;D68&amp;"|"&amp;G68&amp;"|"&amp;H68&amp;"|"&amp;I68&amp;"|"&amp;K68)</f>
        <v/>
      </c>
      <c r="T68" s="8">
        <f>IF(S68="",0,IF(SUMPRODUCT(--(S$4:S68=S68))&gt;1,1,0))</f>
        <v>0</v>
      </c>
    </row>
    <row r="69" spans="1:20" x14ac:dyDescent="0.25">
      <c r="A69" s="8">
        <v>66</v>
      </c>
      <c r="B69" s="9"/>
      <c r="C69" s="33" t="str">
        <f t="shared" si="6"/>
        <v/>
      </c>
      <c r="D69" s="31"/>
      <c r="E69" s="31"/>
      <c r="F69" s="31"/>
      <c r="G69" s="31"/>
      <c r="H69" s="11"/>
      <c r="I69" s="11"/>
      <c r="J69" s="9"/>
      <c r="K69" s="11"/>
      <c r="L69" s="9"/>
      <c r="M69" s="12" t="str">
        <f t="shared" si="7"/>
        <v/>
      </c>
      <c r="N69" s="12" t="str">
        <f t="shared" si="8"/>
        <v/>
      </c>
      <c r="O69" s="8" t="str">
        <f t="shared" si="9"/>
        <v/>
      </c>
      <c r="P69" s="9"/>
      <c r="Q69" s="31"/>
      <c r="R69" s="8" t="str">
        <f t="shared" si="10"/>
        <v/>
      </c>
      <c r="S69" s="8" t="str">
        <f t="shared" si="11"/>
        <v/>
      </c>
      <c r="T69" s="8">
        <f>IF(S69="",0,IF(SUMPRODUCT(--(S$4:S69=S69))&gt;1,1,0))</f>
        <v>0</v>
      </c>
    </row>
    <row r="70" spans="1:20" x14ac:dyDescent="0.25">
      <c r="A70" s="8">
        <v>67</v>
      </c>
      <c r="B70" s="9"/>
      <c r="C70" s="33" t="str">
        <f t="shared" si="6"/>
        <v/>
      </c>
      <c r="D70" s="31"/>
      <c r="E70" s="31"/>
      <c r="F70" s="31"/>
      <c r="G70" s="31"/>
      <c r="H70" s="11"/>
      <c r="I70" s="11"/>
      <c r="J70" s="9"/>
      <c r="K70" s="11"/>
      <c r="L70" s="9"/>
      <c r="M70" s="12" t="str">
        <f t="shared" si="7"/>
        <v/>
      </c>
      <c r="N70" s="12" t="str">
        <f t="shared" si="8"/>
        <v/>
      </c>
      <c r="O70" s="8" t="str">
        <f t="shared" si="9"/>
        <v/>
      </c>
      <c r="P70" s="9"/>
      <c r="Q70" s="31"/>
      <c r="R70" s="8" t="str">
        <f t="shared" si="10"/>
        <v/>
      </c>
      <c r="S70" s="8" t="str">
        <f t="shared" si="11"/>
        <v/>
      </c>
      <c r="T70" s="8">
        <f>IF(S70="",0,IF(SUMPRODUCT(--(S$4:S70=S70))&gt;1,1,0))</f>
        <v>0</v>
      </c>
    </row>
    <row r="71" spans="1:20" x14ac:dyDescent="0.25">
      <c r="A71" s="8">
        <v>68</v>
      </c>
      <c r="B71" s="9"/>
      <c r="C71" s="33" t="str">
        <f t="shared" si="6"/>
        <v/>
      </c>
      <c r="D71" s="31"/>
      <c r="E71" s="31"/>
      <c r="F71" s="31"/>
      <c r="G71" s="31"/>
      <c r="H71" s="11"/>
      <c r="I71" s="11"/>
      <c r="J71" s="9"/>
      <c r="K71" s="11"/>
      <c r="L71" s="9"/>
      <c r="M71" s="12" t="str">
        <f t="shared" si="7"/>
        <v/>
      </c>
      <c r="N71" s="12" t="str">
        <f t="shared" si="8"/>
        <v/>
      </c>
      <c r="O71" s="8" t="str">
        <f t="shared" si="9"/>
        <v/>
      </c>
      <c r="P71" s="9"/>
      <c r="Q71" s="31"/>
      <c r="R71" s="8" t="str">
        <f t="shared" si="10"/>
        <v/>
      </c>
      <c r="S71" s="8" t="str">
        <f t="shared" si="11"/>
        <v/>
      </c>
      <c r="T71" s="8">
        <f>IF(S71="",0,IF(SUMPRODUCT(--(S$4:S71=S71))&gt;1,1,0))</f>
        <v>0</v>
      </c>
    </row>
    <row r="72" spans="1:20" x14ac:dyDescent="0.25">
      <c r="A72" s="8">
        <v>69</v>
      </c>
      <c r="B72" s="9"/>
      <c r="C72" s="33" t="str">
        <f t="shared" si="6"/>
        <v/>
      </c>
      <c r="D72" s="31"/>
      <c r="E72" s="31"/>
      <c r="F72" s="31"/>
      <c r="G72" s="31"/>
      <c r="H72" s="11"/>
      <c r="I72" s="11"/>
      <c r="J72" s="9"/>
      <c r="K72" s="11"/>
      <c r="L72" s="9"/>
      <c r="M72" s="12" t="str">
        <f t="shared" si="7"/>
        <v/>
      </c>
      <c r="N72" s="12" t="str">
        <f t="shared" si="8"/>
        <v/>
      </c>
      <c r="O72" s="8" t="str">
        <f t="shared" si="9"/>
        <v/>
      </c>
      <c r="P72" s="9"/>
      <c r="Q72" s="31"/>
      <c r="R72" s="8" t="str">
        <f t="shared" si="10"/>
        <v/>
      </c>
      <c r="S72" s="8" t="str">
        <f t="shared" si="11"/>
        <v/>
      </c>
      <c r="T72" s="8">
        <f>IF(S72="",0,IF(SUMPRODUCT(--(S$4:S72=S72))&gt;1,1,0))</f>
        <v>0</v>
      </c>
    </row>
    <row r="73" spans="1:20" x14ac:dyDescent="0.25">
      <c r="A73" s="8">
        <v>70</v>
      </c>
      <c r="B73" s="9"/>
      <c r="C73" s="33" t="str">
        <f t="shared" si="6"/>
        <v/>
      </c>
      <c r="D73" s="31"/>
      <c r="E73" s="31"/>
      <c r="F73" s="31"/>
      <c r="G73" s="31"/>
      <c r="H73" s="11"/>
      <c r="I73" s="11"/>
      <c r="J73" s="9"/>
      <c r="K73" s="11"/>
      <c r="L73" s="9"/>
      <c r="M73" s="12" t="str">
        <f t="shared" si="7"/>
        <v/>
      </c>
      <c r="N73" s="12" t="str">
        <f t="shared" si="8"/>
        <v/>
      </c>
      <c r="O73" s="8" t="str">
        <f t="shared" si="9"/>
        <v/>
      </c>
      <c r="P73" s="9"/>
      <c r="Q73" s="31"/>
      <c r="R73" s="8" t="str">
        <f t="shared" si="10"/>
        <v/>
      </c>
      <c r="S73" s="8" t="str">
        <f t="shared" si="11"/>
        <v/>
      </c>
      <c r="T73" s="8">
        <f>IF(S73="",0,IF(SUMPRODUCT(--(S$4:S73=S73))&gt;1,1,0))</f>
        <v>0</v>
      </c>
    </row>
    <row r="74" spans="1:20" x14ac:dyDescent="0.25">
      <c r="A74" s="8">
        <v>71</v>
      </c>
      <c r="B74" s="9"/>
      <c r="C74" s="33" t="str">
        <f t="shared" si="6"/>
        <v/>
      </c>
      <c r="D74" s="31"/>
      <c r="E74" s="31"/>
      <c r="F74" s="31"/>
      <c r="G74" s="31"/>
      <c r="H74" s="11"/>
      <c r="I74" s="11"/>
      <c r="J74" s="9"/>
      <c r="K74" s="11"/>
      <c r="L74" s="9"/>
      <c r="M74" s="12" t="str">
        <f t="shared" si="7"/>
        <v/>
      </c>
      <c r="N74" s="12" t="str">
        <f t="shared" si="8"/>
        <v/>
      </c>
      <c r="O74" s="8" t="str">
        <f t="shared" si="9"/>
        <v/>
      </c>
      <c r="P74" s="9"/>
      <c r="Q74" s="31"/>
      <c r="R74" s="8" t="str">
        <f t="shared" si="10"/>
        <v/>
      </c>
      <c r="S74" s="8" t="str">
        <f t="shared" si="11"/>
        <v/>
      </c>
      <c r="T74" s="8">
        <f>IF(S74="",0,IF(SUMPRODUCT(--(S$4:S74=S74))&gt;1,1,0))</f>
        <v>0</v>
      </c>
    </row>
    <row r="75" spans="1:20" x14ac:dyDescent="0.25">
      <c r="A75" s="8">
        <v>72</v>
      </c>
      <c r="B75" s="9"/>
      <c r="C75" s="33" t="str">
        <f t="shared" si="6"/>
        <v/>
      </c>
      <c r="D75" s="31"/>
      <c r="E75" s="31"/>
      <c r="F75" s="31"/>
      <c r="G75" s="31"/>
      <c r="H75" s="11"/>
      <c r="I75" s="11"/>
      <c r="J75" s="9"/>
      <c r="K75" s="11"/>
      <c r="L75" s="9"/>
      <c r="M75" s="12" t="str">
        <f t="shared" si="7"/>
        <v/>
      </c>
      <c r="N75" s="12" t="str">
        <f t="shared" si="8"/>
        <v/>
      </c>
      <c r="O75" s="8" t="str">
        <f t="shared" si="9"/>
        <v/>
      </c>
      <c r="P75" s="9"/>
      <c r="Q75" s="31"/>
      <c r="R75" s="8" t="str">
        <f t="shared" si="10"/>
        <v/>
      </c>
      <c r="S75" s="8" t="str">
        <f t="shared" si="11"/>
        <v/>
      </c>
      <c r="T75" s="8">
        <f>IF(S75="",0,IF(SUMPRODUCT(--(S$4:S75=S75))&gt;1,1,0))</f>
        <v>0</v>
      </c>
    </row>
    <row r="76" spans="1:20" x14ac:dyDescent="0.25">
      <c r="A76" s="8">
        <v>73</v>
      </c>
      <c r="B76" s="9"/>
      <c r="C76" s="33" t="str">
        <f t="shared" si="6"/>
        <v/>
      </c>
      <c r="D76" s="31"/>
      <c r="E76" s="31"/>
      <c r="F76" s="31"/>
      <c r="G76" s="31"/>
      <c r="H76" s="11"/>
      <c r="I76" s="11"/>
      <c r="J76" s="9"/>
      <c r="K76" s="11"/>
      <c r="L76" s="9"/>
      <c r="M76" s="12" t="str">
        <f t="shared" si="7"/>
        <v/>
      </c>
      <c r="N76" s="12" t="str">
        <f t="shared" si="8"/>
        <v/>
      </c>
      <c r="O76" s="8" t="str">
        <f t="shared" si="9"/>
        <v/>
      </c>
      <c r="P76" s="9"/>
      <c r="Q76" s="31"/>
      <c r="R76" s="8" t="str">
        <f t="shared" si="10"/>
        <v/>
      </c>
      <c r="S76" s="8" t="str">
        <f t="shared" si="11"/>
        <v/>
      </c>
      <c r="T76" s="8">
        <f>IF(S76="",0,IF(SUMPRODUCT(--(S$4:S76=S76))&gt;1,1,0))</f>
        <v>0</v>
      </c>
    </row>
    <row r="77" spans="1:20" x14ac:dyDescent="0.25">
      <c r="A77" s="8">
        <v>74</v>
      </c>
      <c r="B77" s="9"/>
      <c r="C77" s="33" t="str">
        <f t="shared" si="6"/>
        <v/>
      </c>
      <c r="D77" s="31"/>
      <c r="E77" s="31"/>
      <c r="F77" s="31"/>
      <c r="G77" s="31"/>
      <c r="H77" s="11"/>
      <c r="I77" s="11"/>
      <c r="J77" s="9"/>
      <c r="K77" s="11"/>
      <c r="L77" s="9"/>
      <c r="M77" s="12" t="str">
        <f t="shared" si="7"/>
        <v/>
      </c>
      <c r="N77" s="12" t="str">
        <f t="shared" si="8"/>
        <v/>
      </c>
      <c r="O77" s="8" t="str">
        <f t="shared" si="9"/>
        <v/>
      </c>
      <c r="P77" s="9"/>
      <c r="Q77" s="31"/>
      <c r="R77" s="8" t="str">
        <f t="shared" si="10"/>
        <v/>
      </c>
      <c r="S77" s="8" t="str">
        <f t="shared" si="11"/>
        <v/>
      </c>
      <c r="T77" s="8">
        <f>IF(S77="",0,IF(SUMPRODUCT(--(S$4:S77=S77))&gt;1,1,0))</f>
        <v>0</v>
      </c>
    </row>
    <row r="78" spans="1:20" x14ac:dyDescent="0.25">
      <c r="A78" s="8">
        <v>75</v>
      </c>
      <c r="B78" s="9"/>
      <c r="C78" s="33" t="str">
        <f t="shared" si="6"/>
        <v/>
      </c>
      <c r="D78" s="31"/>
      <c r="E78" s="31"/>
      <c r="F78" s="31"/>
      <c r="G78" s="31"/>
      <c r="H78" s="11"/>
      <c r="I78" s="11"/>
      <c r="J78" s="9"/>
      <c r="K78" s="11"/>
      <c r="L78" s="9"/>
      <c r="M78" s="12" t="str">
        <f t="shared" si="7"/>
        <v/>
      </c>
      <c r="N78" s="12" t="str">
        <f t="shared" si="8"/>
        <v/>
      </c>
      <c r="O78" s="8" t="str">
        <f t="shared" si="9"/>
        <v/>
      </c>
      <c r="P78" s="9"/>
      <c r="Q78" s="31"/>
      <c r="R78" s="8" t="str">
        <f t="shared" si="10"/>
        <v/>
      </c>
      <c r="S78" s="8" t="str">
        <f t="shared" si="11"/>
        <v/>
      </c>
      <c r="T78" s="8">
        <f>IF(S78="",0,IF(SUMPRODUCT(--(S$4:S78=S78))&gt;1,1,0))</f>
        <v>0</v>
      </c>
    </row>
    <row r="79" spans="1:20" x14ac:dyDescent="0.25">
      <c r="A79" s="8">
        <v>76</v>
      </c>
      <c r="B79" s="9"/>
      <c r="C79" s="33" t="str">
        <f t="shared" si="6"/>
        <v/>
      </c>
      <c r="D79" s="31"/>
      <c r="E79" s="31"/>
      <c r="F79" s="31"/>
      <c r="G79" s="31"/>
      <c r="H79" s="11"/>
      <c r="I79" s="11"/>
      <c r="J79" s="9"/>
      <c r="K79" s="11"/>
      <c r="L79" s="9"/>
      <c r="M79" s="12" t="str">
        <f t="shared" si="7"/>
        <v/>
      </c>
      <c r="N79" s="12" t="str">
        <f t="shared" si="8"/>
        <v/>
      </c>
      <c r="O79" s="8" t="str">
        <f t="shared" si="9"/>
        <v/>
      </c>
      <c r="P79" s="9"/>
      <c r="Q79" s="31"/>
      <c r="R79" s="8" t="str">
        <f t="shared" si="10"/>
        <v/>
      </c>
      <c r="S79" s="8" t="str">
        <f t="shared" si="11"/>
        <v/>
      </c>
      <c r="T79" s="8">
        <f>IF(S79="",0,IF(SUMPRODUCT(--(S$4:S79=S79))&gt;1,1,0))</f>
        <v>0</v>
      </c>
    </row>
    <row r="80" spans="1:20" x14ac:dyDescent="0.25">
      <c r="A80" s="8">
        <v>77</v>
      </c>
      <c r="B80" s="9"/>
      <c r="C80" s="33" t="str">
        <f t="shared" si="6"/>
        <v/>
      </c>
      <c r="D80" s="31"/>
      <c r="E80" s="31"/>
      <c r="F80" s="31"/>
      <c r="G80" s="31"/>
      <c r="H80" s="11"/>
      <c r="I80" s="11"/>
      <c r="J80" s="9"/>
      <c r="K80" s="11"/>
      <c r="L80" s="9"/>
      <c r="M80" s="12" t="str">
        <f t="shared" si="7"/>
        <v/>
      </c>
      <c r="N80" s="12" t="str">
        <f t="shared" si="8"/>
        <v/>
      </c>
      <c r="O80" s="8" t="str">
        <f t="shared" si="9"/>
        <v/>
      </c>
      <c r="P80" s="9"/>
      <c r="Q80" s="31"/>
      <c r="R80" s="8" t="str">
        <f t="shared" si="10"/>
        <v/>
      </c>
      <c r="S80" s="8" t="str">
        <f t="shared" si="11"/>
        <v/>
      </c>
      <c r="T80" s="8">
        <f>IF(S80="",0,IF(SUMPRODUCT(--(S$4:S80=S80))&gt;1,1,0))</f>
        <v>0</v>
      </c>
    </row>
    <row r="81" spans="1:20" x14ac:dyDescent="0.25">
      <c r="A81" s="8">
        <v>78</v>
      </c>
      <c r="B81" s="9"/>
      <c r="C81" s="33" t="str">
        <f t="shared" si="6"/>
        <v/>
      </c>
      <c r="D81" s="31"/>
      <c r="E81" s="31"/>
      <c r="F81" s="31"/>
      <c r="G81" s="31"/>
      <c r="H81" s="11"/>
      <c r="I81" s="11"/>
      <c r="J81" s="9"/>
      <c r="K81" s="11"/>
      <c r="L81" s="9"/>
      <c r="M81" s="12" t="str">
        <f t="shared" si="7"/>
        <v/>
      </c>
      <c r="N81" s="12" t="str">
        <f t="shared" si="8"/>
        <v/>
      </c>
      <c r="O81" s="8" t="str">
        <f t="shared" si="9"/>
        <v/>
      </c>
      <c r="P81" s="9"/>
      <c r="Q81" s="31"/>
      <c r="R81" s="8" t="str">
        <f t="shared" si="10"/>
        <v/>
      </c>
      <c r="S81" s="8" t="str">
        <f t="shared" si="11"/>
        <v/>
      </c>
      <c r="T81" s="8">
        <f>IF(S81="",0,IF(SUMPRODUCT(--(S$4:S81=S81))&gt;1,1,0))</f>
        <v>0</v>
      </c>
    </row>
    <row r="82" spans="1:20" x14ac:dyDescent="0.25">
      <c r="A82" s="8">
        <v>79</v>
      </c>
      <c r="B82" s="9"/>
      <c r="C82" s="33" t="str">
        <f t="shared" si="6"/>
        <v/>
      </c>
      <c r="D82" s="31"/>
      <c r="E82" s="31"/>
      <c r="F82" s="31"/>
      <c r="G82" s="31"/>
      <c r="H82" s="11"/>
      <c r="I82" s="11"/>
      <c r="J82" s="9"/>
      <c r="K82" s="11"/>
      <c r="L82" s="9"/>
      <c r="M82" s="12" t="str">
        <f t="shared" si="7"/>
        <v/>
      </c>
      <c r="N82" s="12" t="str">
        <f t="shared" si="8"/>
        <v/>
      </c>
      <c r="O82" s="8" t="str">
        <f t="shared" si="9"/>
        <v/>
      </c>
      <c r="P82" s="9"/>
      <c r="Q82" s="31"/>
      <c r="R82" s="8" t="str">
        <f t="shared" si="10"/>
        <v/>
      </c>
      <c r="S82" s="8" t="str">
        <f t="shared" si="11"/>
        <v/>
      </c>
      <c r="T82" s="8">
        <f>IF(S82="",0,IF(SUMPRODUCT(--(S$4:S82=S82))&gt;1,1,0))</f>
        <v>0</v>
      </c>
    </row>
    <row r="83" spans="1:20" x14ac:dyDescent="0.25">
      <c r="A83" s="8">
        <v>80</v>
      </c>
      <c r="B83" s="9"/>
      <c r="C83" s="33" t="str">
        <f t="shared" si="6"/>
        <v/>
      </c>
      <c r="D83" s="31"/>
      <c r="E83" s="31"/>
      <c r="F83" s="31"/>
      <c r="G83" s="31"/>
      <c r="H83" s="11"/>
      <c r="I83" s="11"/>
      <c r="J83" s="9"/>
      <c r="K83" s="11"/>
      <c r="L83" s="9"/>
      <c r="M83" s="12" t="str">
        <f t="shared" si="7"/>
        <v/>
      </c>
      <c r="N83" s="12" t="str">
        <f t="shared" si="8"/>
        <v/>
      </c>
      <c r="O83" s="8" t="str">
        <f t="shared" si="9"/>
        <v/>
      </c>
      <c r="P83" s="9"/>
      <c r="Q83" s="31"/>
      <c r="R83" s="8" t="str">
        <f t="shared" si="10"/>
        <v/>
      </c>
      <c r="S83" s="8" t="str">
        <f t="shared" si="11"/>
        <v/>
      </c>
      <c r="T83" s="8">
        <f>IF(S83="",0,IF(SUMPRODUCT(--(S$4:S83=S83))&gt;1,1,0))</f>
        <v>0</v>
      </c>
    </row>
    <row r="84" spans="1:20" x14ac:dyDescent="0.25">
      <c r="A84" s="8">
        <v>81</v>
      </c>
      <c r="B84" s="9"/>
      <c r="C84" s="33" t="str">
        <f t="shared" si="6"/>
        <v/>
      </c>
      <c r="D84" s="31"/>
      <c r="E84" s="31"/>
      <c r="F84" s="31"/>
      <c r="G84" s="31"/>
      <c r="H84" s="11"/>
      <c r="I84" s="11"/>
      <c r="J84" s="9"/>
      <c r="K84" s="11"/>
      <c r="L84" s="9"/>
      <c r="M84" s="12" t="str">
        <f t="shared" si="7"/>
        <v/>
      </c>
      <c r="N84" s="12" t="str">
        <f t="shared" si="8"/>
        <v/>
      </c>
      <c r="O84" s="8" t="str">
        <f t="shared" si="9"/>
        <v/>
      </c>
      <c r="P84" s="9"/>
      <c r="Q84" s="31"/>
      <c r="R84" s="8" t="str">
        <f t="shared" si="10"/>
        <v/>
      </c>
      <c r="S84" s="8" t="str">
        <f t="shared" si="11"/>
        <v/>
      </c>
      <c r="T84" s="8">
        <f>IF(S84="",0,IF(SUMPRODUCT(--(S$4:S84=S84))&gt;1,1,0))</f>
        <v>0</v>
      </c>
    </row>
    <row r="85" spans="1:20" x14ac:dyDescent="0.25">
      <c r="A85" s="8">
        <v>82</v>
      </c>
      <c r="B85" s="9"/>
      <c r="C85" s="33" t="str">
        <f t="shared" si="6"/>
        <v/>
      </c>
      <c r="D85" s="31"/>
      <c r="E85" s="31"/>
      <c r="F85" s="31"/>
      <c r="G85" s="31"/>
      <c r="H85" s="11"/>
      <c r="I85" s="11"/>
      <c r="J85" s="9"/>
      <c r="K85" s="11"/>
      <c r="L85" s="9"/>
      <c r="M85" s="12" t="str">
        <f t="shared" si="7"/>
        <v/>
      </c>
      <c r="N85" s="12" t="str">
        <f t="shared" si="8"/>
        <v/>
      </c>
      <c r="O85" s="8" t="str">
        <f t="shared" si="9"/>
        <v/>
      </c>
      <c r="P85" s="9"/>
      <c r="Q85" s="31"/>
      <c r="R85" s="8" t="str">
        <f t="shared" si="10"/>
        <v/>
      </c>
      <c r="S85" s="8" t="str">
        <f t="shared" si="11"/>
        <v/>
      </c>
      <c r="T85" s="8">
        <f>IF(S85="",0,IF(SUMPRODUCT(--(S$4:S85=S85))&gt;1,1,0))</f>
        <v>0</v>
      </c>
    </row>
    <row r="86" spans="1:20" x14ac:dyDescent="0.25">
      <c r="A86" s="8">
        <v>83</v>
      </c>
      <c r="B86" s="9"/>
      <c r="C86" s="33" t="str">
        <f t="shared" si="6"/>
        <v/>
      </c>
      <c r="D86" s="31"/>
      <c r="E86" s="31"/>
      <c r="F86" s="31"/>
      <c r="G86" s="31"/>
      <c r="H86" s="11"/>
      <c r="I86" s="11"/>
      <c r="J86" s="9"/>
      <c r="K86" s="11"/>
      <c r="L86" s="9"/>
      <c r="M86" s="12" t="str">
        <f t="shared" si="7"/>
        <v/>
      </c>
      <c r="N86" s="12" t="str">
        <f t="shared" si="8"/>
        <v/>
      </c>
      <c r="O86" s="8" t="str">
        <f t="shared" si="9"/>
        <v/>
      </c>
      <c r="P86" s="9"/>
      <c r="Q86" s="31"/>
      <c r="R86" s="8" t="str">
        <f t="shared" si="10"/>
        <v/>
      </c>
      <c r="S86" s="8" t="str">
        <f t="shared" si="11"/>
        <v/>
      </c>
      <c r="T86" s="8">
        <f>IF(S86="",0,IF(SUMPRODUCT(--(S$4:S86=S86))&gt;1,1,0))</f>
        <v>0</v>
      </c>
    </row>
    <row r="87" spans="1:20" x14ac:dyDescent="0.25">
      <c r="A87" s="8">
        <v>84</v>
      </c>
      <c r="B87" s="9"/>
      <c r="C87" s="33" t="str">
        <f t="shared" si="6"/>
        <v/>
      </c>
      <c r="D87" s="31"/>
      <c r="E87" s="31"/>
      <c r="F87" s="31"/>
      <c r="G87" s="31"/>
      <c r="H87" s="11"/>
      <c r="I87" s="11"/>
      <c r="J87" s="9"/>
      <c r="K87" s="11"/>
      <c r="L87" s="9"/>
      <c r="M87" s="12" t="str">
        <f t="shared" si="7"/>
        <v/>
      </c>
      <c r="N87" s="12" t="str">
        <f t="shared" si="8"/>
        <v/>
      </c>
      <c r="O87" s="8" t="str">
        <f t="shared" si="9"/>
        <v/>
      </c>
      <c r="P87" s="9"/>
      <c r="Q87" s="31"/>
      <c r="R87" s="8" t="str">
        <f t="shared" si="10"/>
        <v/>
      </c>
      <c r="S87" s="8" t="str">
        <f t="shared" si="11"/>
        <v/>
      </c>
      <c r="T87" s="8">
        <f>IF(S87="",0,IF(SUMPRODUCT(--(S$4:S87=S87))&gt;1,1,0))</f>
        <v>0</v>
      </c>
    </row>
    <row r="88" spans="1:20" x14ac:dyDescent="0.25">
      <c r="A88" s="8">
        <v>85</v>
      </c>
      <c r="B88" s="9"/>
      <c r="C88" s="33" t="str">
        <f t="shared" si="6"/>
        <v/>
      </c>
      <c r="D88" s="31"/>
      <c r="E88" s="31"/>
      <c r="F88" s="31"/>
      <c r="G88" s="31"/>
      <c r="H88" s="11"/>
      <c r="I88" s="11"/>
      <c r="J88" s="9"/>
      <c r="K88" s="11"/>
      <c r="L88" s="9"/>
      <c r="M88" s="12" t="str">
        <f t="shared" si="7"/>
        <v/>
      </c>
      <c r="N88" s="12" t="str">
        <f t="shared" si="8"/>
        <v/>
      </c>
      <c r="O88" s="8" t="str">
        <f t="shared" si="9"/>
        <v/>
      </c>
      <c r="P88" s="9"/>
      <c r="Q88" s="31"/>
      <c r="R88" s="8" t="str">
        <f t="shared" si="10"/>
        <v/>
      </c>
      <c r="S88" s="8" t="str">
        <f t="shared" si="11"/>
        <v/>
      </c>
      <c r="T88" s="8">
        <f>IF(S88="",0,IF(SUMPRODUCT(--(S$4:S88=S88))&gt;1,1,0))</f>
        <v>0</v>
      </c>
    </row>
    <row r="89" spans="1:20" x14ac:dyDescent="0.25">
      <c r="A89" s="8">
        <v>86</v>
      </c>
      <c r="B89" s="9"/>
      <c r="C89" s="33" t="str">
        <f t="shared" si="6"/>
        <v/>
      </c>
      <c r="D89" s="31"/>
      <c r="E89" s="31"/>
      <c r="F89" s="31"/>
      <c r="G89" s="31"/>
      <c r="H89" s="11"/>
      <c r="I89" s="11"/>
      <c r="J89" s="9"/>
      <c r="K89" s="11"/>
      <c r="L89" s="9"/>
      <c r="M89" s="12" t="str">
        <f t="shared" si="7"/>
        <v/>
      </c>
      <c r="N89" s="12" t="str">
        <f t="shared" si="8"/>
        <v/>
      </c>
      <c r="O89" s="8" t="str">
        <f t="shared" si="9"/>
        <v/>
      </c>
      <c r="P89" s="9"/>
      <c r="Q89" s="31"/>
      <c r="R89" s="8" t="str">
        <f t="shared" si="10"/>
        <v/>
      </c>
      <c r="S89" s="8" t="str">
        <f t="shared" si="11"/>
        <v/>
      </c>
      <c r="T89" s="8">
        <f>IF(S89="",0,IF(SUMPRODUCT(--(S$4:S89=S89))&gt;1,1,0))</f>
        <v>0</v>
      </c>
    </row>
    <row r="90" spans="1:20" x14ac:dyDescent="0.25">
      <c r="A90" s="8">
        <v>87</v>
      </c>
      <c r="B90" s="9"/>
      <c r="C90" s="33" t="str">
        <f t="shared" si="6"/>
        <v/>
      </c>
      <c r="D90" s="31"/>
      <c r="E90" s="31"/>
      <c r="F90" s="31"/>
      <c r="G90" s="31"/>
      <c r="H90" s="11"/>
      <c r="I90" s="11"/>
      <c r="J90" s="9"/>
      <c r="K90" s="11"/>
      <c r="L90" s="9"/>
      <c r="M90" s="12" t="str">
        <f t="shared" si="7"/>
        <v/>
      </c>
      <c r="N90" s="12" t="str">
        <f t="shared" si="8"/>
        <v/>
      </c>
      <c r="O90" s="8" t="str">
        <f t="shared" si="9"/>
        <v/>
      </c>
      <c r="P90" s="9"/>
      <c r="Q90" s="31"/>
      <c r="R90" s="8" t="str">
        <f t="shared" si="10"/>
        <v/>
      </c>
      <c r="S90" s="8" t="str">
        <f t="shared" si="11"/>
        <v/>
      </c>
      <c r="T90" s="8">
        <f>IF(S90="",0,IF(SUMPRODUCT(--(S$4:S90=S90))&gt;1,1,0))</f>
        <v>0</v>
      </c>
    </row>
    <row r="91" spans="1:20" x14ac:dyDescent="0.25">
      <c r="A91" s="8">
        <v>88</v>
      </c>
      <c r="B91" s="9"/>
      <c r="C91" s="33" t="str">
        <f t="shared" si="6"/>
        <v/>
      </c>
      <c r="D91" s="31"/>
      <c r="E91" s="31"/>
      <c r="F91" s="31"/>
      <c r="G91" s="31"/>
      <c r="H91" s="11"/>
      <c r="I91" s="11"/>
      <c r="J91" s="9"/>
      <c r="K91" s="11"/>
      <c r="L91" s="9"/>
      <c r="M91" s="12" t="str">
        <f t="shared" si="7"/>
        <v/>
      </c>
      <c r="N91" s="12" t="str">
        <f t="shared" si="8"/>
        <v/>
      </c>
      <c r="O91" s="8" t="str">
        <f t="shared" si="9"/>
        <v/>
      </c>
      <c r="P91" s="9"/>
      <c r="Q91" s="31"/>
      <c r="R91" s="8" t="str">
        <f t="shared" si="10"/>
        <v/>
      </c>
      <c r="S91" s="8" t="str">
        <f t="shared" si="11"/>
        <v/>
      </c>
      <c r="T91" s="8">
        <f>IF(S91="",0,IF(SUMPRODUCT(--(S$4:S91=S91))&gt;1,1,0))</f>
        <v>0</v>
      </c>
    </row>
    <row r="92" spans="1:20" x14ac:dyDescent="0.25">
      <c r="A92" s="8">
        <v>89</v>
      </c>
      <c r="B92" s="9"/>
      <c r="C92" s="33" t="str">
        <f t="shared" si="6"/>
        <v/>
      </c>
      <c r="D92" s="31"/>
      <c r="E92" s="31"/>
      <c r="F92" s="31"/>
      <c r="G92" s="31"/>
      <c r="H92" s="11"/>
      <c r="I92" s="11"/>
      <c r="J92" s="9"/>
      <c r="K92" s="11"/>
      <c r="L92" s="9"/>
      <c r="M92" s="12" t="str">
        <f t="shared" si="7"/>
        <v/>
      </c>
      <c r="N92" s="12" t="str">
        <f t="shared" si="8"/>
        <v/>
      </c>
      <c r="O92" s="8" t="str">
        <f t="shared" si="9"/>
        <v/>
      </c>
      <c r="P92" s="9"/>
      <c r="Q92" s="31"/>
      <c r="R92" s="8" t="str">
        <f t="shared" si="10"/>
        <v/>
      </c>
      <c r="S92" s="8" t="str">
        <f t="shared" si="11"/>
        <v/>
      </c>
      <c r="T92" s="8">
        <f>IF(S92="",0,IF(SUMPRODUCT(--(S$4:S92=S92))&gt;1,1,0))</f>
        <v>0</v>
      </c>
    </row>
    <row r="93" spans="1:20" x14ac:dyDescent="0.25">
      <c r="A93" s="8">
        <v>90</v>
      </c>
      <c r="B93" s="9"/>
      <c r="C93" s="33" t="str">
        <f t="shared" si="6"/>
        <v/>
      </c>
      <c r="D93" s="31"/>
      <c r="E93" s="31"/>
      <c r="F93" s="31"/>
      <c r="G93" s="31"/>
      <c r="H93" s="11"/>
      <c r="I93" s="11"/>
      <c r="J93" s="9"/>
      <c r="K93" s="11"/>
      <c r="L93" s="9"/>
      <c r="M93" s="12" t="str">
        <f t="shared" si="7"/>
        <v/>
      </c>
      <c r="N93" s="12" t="str">
        <f t="shared" si="8"/>
        <v/>
      </c>
      <c r="O93" s="8" t="str">
        <f t="shared" si="9"/>
        <v/>
      </c>
      <c r="P93" s="9"/>
      <c r="Q93" s="31"/>
      <c r="R93" s="8" t="str">
        <f t="shared" si="10"/>
        <v/>
      </c>
      <c r="S93" s="8" t="str">
        <f t="shared" si="11"/>
        <v/>
      </c>
      <c r="T93" s="8">
        <f>IF(S93="",0,IF(SUMPRODUCT(--(S$4:S93=S93))&gt;1,1,0))</f>
        <v>0</v>
      </c>
    </row>
    <row r="94" spans="1:20" x14ac:dyDescent="0.25">
      <c r="A94" s="8">
        <v>91</v>
      </c>
      <c r="B94" s="9"/>
      <c r="C94" s="33" t="str">
        <f t="shared" si="6"/>
        <v/>
      </c>
      <c r="D94" s="31"/>
      <c r="E94" s="31"/>
      <c r="F94" s="31"/>
      <c r="G94" s="31"/>
      <c r="H94" s="11"/>
      <c r="I94" s="11"/>
      <c r="J94" s="9"/>
      <c r="K94" s="11"/>
      <c r="L94" s="9"/>
      <c r="M94" s="12" t="str">
        <f t="shared" si="7"/>
        <v/>
      </c>
      <c r="N94" s="12" t="str">
        <f t="shared" si="8"/>
        <v/>
      </c>
      <c r="O94" s="8" t="str">
        <f t="shared" si="9"/>
        <v/>
      </c>
      <c r="P94" s="9"/>
      <c r="Q94" s="31"/>
      <c r="R94" s="8" t="str">
        <f t="shared" si="10"/>
        <v/>
      </c>
      <c r="S94" s="8" t="str">
        <f t="shared" si="11"/>
        <v/>
      </c>
      <c r="T94" s="8">
        <f>IF(S94="",0,IF(SUMPRODUCT(--(S$4:S94=S94))&gt;1,1,0))</f>
        <v>0</v>
      </c>
    </row>
    <row r="95" spans="1:20" x14ac:dyDescent="0.25">
      <c r="A95" s="8">
        <v>92</v>
      </c>
      <c r="B95" s="9"/>
      <c r="C95" s="33" t="str">
        <f t="shared" si="6"/>
        <v/>
      </c>
      <c r="D95" s="31"/>
      <c r="E95" s="31"/>
      <c r="F95" s="31"/>
      <c r="G95" s="31"/>
      <c r="H95" s="11"/>
      <c r="I95" s="11"/>
      <c r="J95" s="9"/>
      <c r="K95" s="11"/>
      <c r="L95" s="9"/>
      <c r="M95" s="12" t="str">
        <f t="shared" si="7"/>
        <v/>
      </c>
      <c r="N95" s="12" t="str">
        <f t="shared" si="8"/>
        <v/>
      </c>
      <c r="O95" s="8" t="str">
        <f t="shared" si="9"/>
        <v/>
      </c>
      <c r="P95" s="9"/>
      <c r="Q95" s="31"/>
      <c r="R95" s="8" t="str">
        <f t="shared" si="10"/>
        <v/>
      </c>
      <c r="S95" s="8" t="str">
        <f t="shared" si="11"/>
        <v/>
      </c>
      <c r="T95" s="8">
        <f>IF(S95="",0,IF(SUMPRODUCT(--(S$4:S95=S95))&gt;1,1,0))</f>
        <v>0</v>
      </c>
    </row>
    <row r="96" spans="1:20" x14ac:dyDescent="0.25">
      <c r="A96" s="8">
        <v>93</v>
      </c>
      <c r="B96" s="9"/>
      <c r="C96" s="33" t="str">
        <f t="shared" si="6"/>
        <v/>
      </c>
      <c r="D96" s="31"/>
      <c r="E96" s="31"/>
      <c r="F96" s="31"/>
      <c r="G96" s="31"/>
      <c r="H96" s="11"/>
      <c r="I96" s="11"/>
      <c r="J96" s="9"/>
      <c r="K96" s="11"/>
      <c r="L96" s="9"/>
      <c r="M96" s="12" t="str">
        <f t="shared" si="7"/>
        <v/>
      </c>
      <c r="N96" s="12" t="str">
        <f t="shared" si="8"/>
        <v/>
      </c>
      <c r="O96" s="8" t="str">
        <f t="shared" si="9"/>
        <v/>
      </c>
      <c r="P96" s="9"/>
      <c r="Q96" s="31"/>
      <c r="R96" s="8" t="str">
        <f t="shared" si="10"/>
        <v/>
      </c>
      <c r="S96" s="8" t="str">
        <f t="shared" si="11"/>
        <v/>
      </c>
      <c r="T96" s="8">
        <f>IF(S96="",0,IF(SUMPRODUCT(--(S$4:S96=S96))&gt;1,1,0))</f>
        <v>0</v>
      </c>
    </row>
    <row r="97" spans="1:20" x14ac:dyDescent="0.25">
      <c r="A97" s="8">
        <v>94</v>
      </c>
      <c r="B97" s="9"/>
      <c r="C97" s="33" t="str">
        <f t="shared" si="6"/>
        <v/>
      </c>
      <c r="D97" s="31"/>
      <c r="E97" s="31"/>
      <c r="F97" s="31"/>
      <c r="G97" s="31"/>
      <c r="H97" s="11"/>
      <c r="I97" s="11"/>
      <c r="J97" s="9"/>
      <c r="K97" s="11"/>
      <c r="L97" s="9"/>
      <c r="M97" s="12" t="str">
        <f t="shared" si="7"/>
        <v/>
      </c>
      <c r="N97" s="12" t="str">
        <f t="shared" si="8"/>
        <v/>
      </c>
      <c r="O97" s="8" t="str">
        <f t="shared" si="9"/>
        <v/>
      </c>
      <c r="P97" s="9"/>
      <c r="Q97" s="31"/>
      <c r="R97" s="8" t="str">
        <f t="shared" si="10"/>
        <v/>
      </c>
      <c r="S97" s="8" t="str">
        <f t="shared" si="11"/>
        <v/>
      </c>
      <c r="T97" s="8">
        <f>IF(S97="",0,IF(SUMPRODUCT(--(S$4:S97=S97))&gt;1,1,0))</f>
        <v>0</v>
      </c>
    </row>
    <row r="98" spans="1:20" x14ac:dyDescent="0.25">
      <c r="A98" s="8">
        <v>95</v>
      </c>
      <c r="B98" s="9"/>
      <c r="C98" s="33" t="str">
        <f t="shared" si="6"/>
        <v/>
      </c>
      <c r="D98" s="31"/>
      <c r="E98" s="31"/>
      <c r="F98" s="31"/>
      <c r="G98" s="31"/>
      <c r="H98" s="11"/>
      <c r="I98" s="11"/>
      <c r="J98" s="9"/>
      <c r="K98" s="11"/>
      <c r="L98" s="9"/>
      <c r="M98" s="12" t="str">
        <f t="shared" si="7"/>
        <v/>
      </c>
      <c r="N98" s="12" t="str">
        <f t="shared" si="8"/>
        <v/>
      </c>
      <c r="O98" s="8" t="str">
        <f t="shared" si="9"/>
        <v/>
      </c>
      <c r="P98" s="9"/>
      <c r="Q98" s="31"/>
      <c r="R98" s="8" t="str">
        <f t="shared" si="10"/>
        <v/>
      </c>
      <c r="S98" s="8" t="str">
        <f t="shared" si="11"/>
        <v/>
      </c>
      <c r="T98" s="8">
        <f>IF(S98="",0,IF(SUMPRODUCT(--(S$4:S98=S98))&gt;1,1,0))</f>
        <v>0</v>
      </c>
    </row>
    <row r="99" spans="1:20" x14ac:dyDescent="0.25">
      <c r="A99" s="8">
        <v>96</v>
      </c>
      <c r="B99" s="9"/>
      <c r="C99" s="33" t="str">
        <f t="shared" si="6"/>
        <v/>
      </c>
      <c r="D99" s="31"/>
      <c r="E99" s="31"/>
      <c r="F99" s="31"/>
      <c r="G99" s="31"/>
      <c r="H99" s="11"/>
      <c r="I99" s="11"/>
      <c r="J99" s="9"/>
      <c r="K99" s="11"/>
      <c r="L99" s="9"/>
      <c r="M99" s="12" t="str">
        <f t="shared" si="7"/>
        <v/>
      </c>
      <c r="N99" s="12" t="str">
        <f t="shared" si="8"/>
        <v/>
      </c>
      <c r="O99" s="8" t="str">
        <f t="shared" si="9"/>
        <v/>
      </c>
      <c r="P99" s="9"/>
      <c r="Q99" s="31"/>
      <c r="R99" s="8" t="str">
        <f t="shared" si="10"/>
        <v/>
      </c>
      <c r="S99" s="8" t="str">
        <f t="shared" si="11"/>
        <v/>
      </c>
      <c r="T99" s="8">
        <f>IF(S99="",0,IF(SUMPRODUCT(--(S$4:S99=S99))&gt;1,1,0))</f>
        <v>0</v>
      </c>
    </row>
    <row r="100" spans="1:20" x14ac:dyDescent="0.25">
      <c r="A100" s="8">
        <v>97</v>
      </c>
      <c r="B100" s="9"/>
      <c r="C100" s="33" t="str">
        <f t="shared" si="6"/>
        <v/>
      </c>
      <c r="D100" s="31"/>
      <c r="E100" s="31"/>
      <c r="F100" s="31"/>
      <c r="G100" s="31"/>
      <c r="H100" s="11"/>
      <c r="I100" s="11"/>
      <c r="J100" s="9"/>
      <c r="K100" s="11"/>
      <c r="L100" s="9"/>
      <c r="M100" s="12" t="str">
        <f t="shared" si="7"/>
        <v/>
      </c>
      <c r="N100" s="12" t="str">
        <f t="shared" si="8"/>
        <v/>
      </c>
      <c r="O100" s="8" t="str">
        <f t="shared" si="9"/>
        <v/>
      </c>
      <c r="P100" s="9"/>
      <c r="Q100" s="31"/>
      <c r="R100" s="8" t="str">
        <f t="shared" si="10"/>
        <v/>
      </c>
      <c r="S100" s="8" t="str">
        <f t="shared" si="11"/>
        <v/>
      </c>
      <c r="T100" s="8">
        <f>IF(S100="",0,IF(SUMPRODUCT(--(S$4:S100=S100))&gt;1,1,0))</f>
        <v>0</v>
      </c>
    </row>
    <row r="101" spans="1:20" x14ac:dyDescent="0.25">
      <c r="A101" s="8">
        <v>98</v>
      </c>
      <c r="B101" s="9"/>
      <c r="C101" s="33" t="str">
        <f t="shared" si="6"/>
        <v/>
      </c>
      <c r="D101" s="31"/>
      <c r="E101" s="31"/>
      <c r="F101" s="31"/>
      <c r="G101" s="31"/>
      <c r="H101" s="11"/>
      <c r="I101" s="11"/>
      <c r="J101" s="9"/>
      <c r="K101" s="11"/>
      <c r="L101" s="9"/>
      <c r="M101" s="12" t="str">
        <f t="shared" si="7"/>
        <v/>
      </c>
      <c r="N101" s="12" t="str">
        <f t="shared" si="8"/>
        <v/>
      </c>
      <c r="O101" s="8" t="str">
        <f t="shared" si="9"/>
        <v/>
      </c>
      <c r="P101" s="9"/>
      <c r="Q101" s="31"/>
      <c r="R101" s="8" t="str">
        <f t="shared" si="10"/>
        <v/>
      </c>
      <c r="S101" s="8" t="str">
        <f t="shared" si="11"/>
        <v/>
      </c>
      <c r="T101" s="8">
        <f>IF(S101="",0,IF(SUMPRODUCT(--(S$4:S101=S101))&gt;1,1,0))</f>
        <v>0</v>
      </c>
    </row>
    <row r="102" spans="1:20" x14ac:dyDescent="0.25">
      <c r="A102" s="8">
        <v>99</v>
      </c>
      <c r="B102" s="9"/>
      <c r="C102" s="33" t="str">
        <f t="shared" si="6"/>
        <v/>
      </c>
      <c r="D102" s="31"/>
      <c r="E102" s="31"/>
      <c r="F102" s="31"/>
      <c r="G102" s="31"/>
      <c r="H102" s="11"/>
      <c r="I102" s="11"/>
      <c r="J102" s="9"/>
      <c r="K102" s="11"/>
      <c r="L102" s="9"/>
      <c r="M102" s="12" t="str">
        <f t="shared" si="7"/>
        <v/>
      </c>
      <c r="N102" s="12" t="str">
        <f t="shared" si="8"/>
        <v/>
      </c>
      <c r="O102" s="8" t="str">
        <f t="shared" si="9"/>
        <v/>
      </c>
      <c r="P102" s="9"/>
      <c r="Q102" s="31"/>
      <c r="R102" s="8" t="str">
        <f t="shared" si="10"/>
        <v/>
      </c>
      <c r="S102" s="8" t="str">
        <f t="shared" si="11"/>
        <v/>
      </c>
      <c r="T102" s="8">
        <f>IF(S102="",0,IF(SUMPRODUCT(--(S$4:S102=S102))&gt;1,1,0))</f>
        <v>0</v>
      </c>
    </row>
    <row r="103" spans="1:20" x14ac:dyDescent="0.25">
      <c r="A103" s="8">
        <v>100</v>
      </c>
      <c r="B103" s="9"/>
      <c r="C103" s="33" t="str">
        <f t="shared" si="6"/>
        <v/>
      </c>
      <c r="D103" s="31"/>
      <c r="E103" s="31"/>
      <c r="F103" s="31"/>
      <c r="G103" s="31"/>
      <c r="H103" s="11"/>
      <c r="I103" s="11"/>
      <c r="J103" s="9"/>
      <c r="K103" s="11"/>
      <c r="L103" s="9"/>
      <c r="M103" s="12" t="str">
        <f t="shared" si="7"/>
        <v/>
      </c>
      <c r="N103" s="12" t="str">
        <f t="shared" si="8"/>
        <v/>
      </c>
      <c r="O103" s="8" t="str">
        <f t="shared" si="9"/>
        <v/>
      </c>
      <c r="P103" s="9"/>
      <c r="Q103" s="31"/>
      <c r="R103" s="8" t="str">
        <f t="shared" si="10"/>
        <v/>
      </c>
      <c r="S103" s="8" t="str">
        <f t="shared" si="11"/>
        <v/>
      </c>
      <c r="T103" s="8">
        <f>IF(S103="",0,IF(SUMPRODUCT(--(S$4:S103=S103))&gt;1,1,0))</f>
        <v>0</v>
      </c>
    </row>
    <row r="104" spans="1:20" x14ac:dyDescent="0.25">
      <c r="A104" s="8">
        <v>101</v>
      </c>
      <c r="B104" s="9"/>
      <c r="C104" s="33" t="str">
        <f t="shared" si="6"/>
        <v/>
      </c>
      <c r="D104" s="31"/>
      <c r="E104" s="31"/>
      <c r="F104" s="31"/>
      <c r="G104" s="31"/>
      <c r="H104" s="11"/>
      <c r="I104" s="11"/>
      <c r="J104" s="9"/>
      <c r="K104" s="11"/>
      <c r="L104" s="9"/>
      <c r="M104" s="12" t="str">
        <f t="shared" si="7"/>
        <v/>
      </c>
      <c r="N104" s="12" t="str">
        <f t="shared" si="8"/>
        <v/>
      </c>
      <c r="O104" s="8" t="str">
        <f t="shared" si="9"/>
        <v/>
      </c>
      <c r="P104" s="9"/>
      <c r="Q104" s="31"/>
      <c r="R104" s="8" t="str">
        <f t="shared" si="10"/>
        <v/>
      </c>
      <c r="S104" s="8" t="str">
        <f t="shared" si="11"/>
        <v/>
      </c>
      <c r="T104" s="8">
        <f>IF(S104="",0,IF(SUMPRODUCT(--(S$4:S104=S104))&gt;1,1,0))</f>
        <v>0</v>
      </c>
    </row>
    <row r="105" spans="1:20" x14ac:dyDescent="0.25">
      <c r="A105" s="8">
        <v>102</v>
      </c>
      <c r="B105" s="9"/>
      <c r="C105" s="33" t="str">
        <f t="shared" si="6"/>
        <v/>
      </c>
      <c r="D105" s="31"/>
      <c r="E105" s="31"/>
      <c r="F105" s="31"/>
      <c r="G105" s="31"/>
      <c r="H105" s="11"/>
      <c r="I105" s="11"/>
      <c r="J105" s="9"/>
      <c r="K105" s="11"/>
      <c r="L105" s="9"/>
      <c r="M105" s="12" t="str">
        <f t="shared" si="7"/>
        <v/>
      </c>
      <c r="N105" s="12" t="str">
        <f t="shared" si="8"/>
        <v/>
      </c>
      <c r="O105" s="8" t="str">
        <f t="shared" si="9"/>
        <v/>
      </c>
      <c r="P105" s="9"/>
      <c r="Q105" s="31"/>
      <c r="R105" s="8" t="str">
        <f t="shared" si="10"/>
        <v/>
      </c>
      <c r="S105" s="8" t="str">
        <f t="shared" si="11"/>
        <v/>
      </c>
      <c r="T105" s="8">
        <f>IF(S105="",0,IF(SUMPRODUCT(--(S$4:S105=S105))&gt;1,1,0))</f>
        <v>0</v>
      </c>
    </row>
    <row r="106" spans="1:20" x14ac:dyDescent="0.25">
      <c r="A106" s="8">
        <v>103</v>
      </c>
      <c r="B106" s="9"/>
      <c r="C106" s="33" t="str">
        <f t="shared" si="6"/>
        <v/>
      </c>
      <c r="D106" s="31"/>
      <c r="E106" s="31"/>
      <c r="F106" s="31"/>
      <c r="G106" s="31"/>
      <c r="H106" s="11"/>
      <c r="I106" s="11"/>
      <c r="J106" s="9"/>
      <c r="K106" s="11"/>
      <c r="L106" s="9"/>
      <c r="M106" s="12" t="str">
        <f t="shared" si="7"/>
        <v/>
      </c>
      <c r="N106" s="12" t="str">
        <f t="shared" si="8"/>
        <v/>
      </c>
      <c r="O106" s="8" t="str">
        <f t="shared" si="9"/>
        <v/>
      </c>
      <c r="P106" s="9"/>
      <c r="Q106" s="31"/>
      <c r="R106" s="8" t="str">
        <f t="shared" si="10"/>
        <v/>
      </c>
      <c r="S106" s="8" t="str">
        <f t="shared" si="11"/>
        <v/>
      </c>
      <c r="T106" s="8">
        <f>IF(S106="",0,IF(SUMPRODUCT(--(S$4:S106=S106))&gt;1,1,0))</f>
        <v>0</v>
      </c>
    </row>
    <row r="107" spans="1:20" x14ac:dyDescent="0.25">
      <c r="A107" s="8">
        <v>104</v>
      </c>
      <c r="B107" s="9"/>
      <c r="C107" s="33" t="str">
        <f t="shared" si="6"/>
        <v/>
      </c>
      <c r="D107" s="31"/>
      <c r="E107" s="31"/>
      <c r="F107" s="31"/>
      <c r="G107" s="31"/>
      <c r="H107" s="11"/>
      <c r="I107" s="11"/>
      <c r="J107" s="9"/>
      <c r="K107" s="11"/>
      <c r="L107" s="9"/>
      <c r="M107" s="12" t="str">
        <f t="shared" si="7"/>
        <v/>
      </c>
      <c r="N107" s="12" t="str">
        <f t="shared" si="8"/>
        <v/>
      </c>
      <c r="O107" s="8" t="str">
        <f t="shared" si="9"/>
        <v/>
      </c>
      <c r="P107" s="9"/>
      <c r="Q107" s="31"/>
      <c r="R107" s="8" t="str">
        <f t="shared" si="10"/>
        <v/>
      </c>
      <c r="S107" s="8" t="str">
        <f t="shared" si="11"/>
        <v/>
      </c>
      <c r="T107" s="8">
        <f>IF(S107="",0,IF(SUMPRODUCT(--(S$4:S107=S107))&gt;1,1,0))</f>
        <v>0</v>
      </c>
    </row>
    <row r="108" spans="1:20" x14ac:dyDescent="0.25">
      <c r="A108" s="8">
        <v>105</v>
      </c>
      <c r="B108" s="9"/>
      <c r="C108" s="33" t="str">
        <f t="shared" si="6"/>
        <v/>
      </c>
      <c r="D108" s="31"/>
      <c r="E108" s="31"/>
      <c r="F108" s="31"/>
      <c r="G108" s="31"/>
      <c r="H108" s="11"/>
      <c r="I108" s="11"/>
      <c r="J108" s="9"/>
      <c r="K108" s="11"/>
      <c r="L108" s="9"/>
      <c r="M108" s="12" t="str">
        <f t="shared" si="7"/>
        <v/>
      </c>
      <c r="N108" s="12" t="str">
        <f t="shared" si="8"/>
        <v/>
      </c>
      <c r="O108" s="8" t="str">
        <f t="shared" si="9"/>
        <v/>
      </c>
      <c r="P108" s="9"/>
      <c r="Q108" s="31"/>
      <c r="R108" s="8" t="str">
        <f t="shared" si="10"/>
        <v/>
      </c>
      <c r="S108" s="8" t="str">
        <f t="shared" si="11"/>
        <v/>
      </c>
      <c r="T108" s="8">
        <f>IF(S108="",0,IF(SUMPRODUCT(--(S$4:S108=S108))&gt;1,1,0))</f>
        <v>0</v>
      </c>
    </row>
    <row r="109" spans="1:20" x14ac:dyDescent="0.25">
      <c r="A109" s="8">
        <v>106</v>
      </c>
      <c r="B109" s="9"/>
      <c r="C109" s="33" t="str">
        <f t="shared" si="6"/>
        <v/>
      </c>
      <c r="D109" s="31"/>
      <c r="E109" s="31"/>
      <c r="F109" s="31"/>
      <c r="G109" s="31"/>
      <c r="H109" s="11"/>
      <c r="I109" s="11"/>
      <c r="J109" s="9"/>
      <c r="K109" s="11"/>
      <c r="L109" s="9"/>
      <c r="M109" s="12" t="str">
        <f t="shared" si="7"/>
        <v/>
      </c>
      <c r="N109" s="12" t="str">
        <f t="shared" si="8"/>
        <v/>
      </c>
      <c r="O109" s="8" t="str">
        <f t="shared" si="9"/>
        <v/>
      </c>
      <c r="P109" s="9"/>
      <c r="Q109" s="31"/>
      <c r="R109" s="8" t="str">
        <f t="shared" si="10"/>
        <v/>
      </c>
      <c r="S109" s="8" t="str">
        <f t="shared" si="11"/>
        <v/>
      </c>
      <c r="T109" s="8">
        <f>IF(S109="",0,IF(SUMPRODUCT(--(S$4:S109=S109))&gt;1,1,0))</f>
        <v>0</v>
      </c>
    </row>
    <row r="110" spans="1:20" x14ac:dyDescent="0.25">
      <c r="A110" s="8">
        <v>107</v>
      </c>
      <c r="B110" s="9"/>
      <c r="C110" s="33" t="str">
        <f t="shared" si="6"/>
        <v/>
      </c>
      <c r="D110" s="31"/>
      <c r="E110" s="31"/>
      <c r="F110" s="31"/>
      <c r="G110" s="31"/>
      <c r="H110" s="11"/>
      <c r="I110" s="11"/>
      <c r="J110" s="9"/>
      <c r="K110" s="11"/>
      <c r="L110" s="9"/>
      <c r="M110" s="12" t="str">
        <f t="shared" si="7"/>
        <v/>
      </c>
      <c r="N110" s="12" t="str">
        <f t="shared" si="8"/>
        <v/>
      </c>
      <c r="O110" s="8" t="str">
        <f t="shared" si="9"/>
        <v/>
      </c>
      <c r="P110" s="9"/>
      <c r="Q110" s="31"/>
      <c r="R110" s="8" t="str">
        <f t="shared" si="10"/>
        <v/>
      </c>
      <c r="S110" s="8" t="str">
        <f t="shared" si="11"/>
        <v/>
      </c>
      <c r="T110" s="8">
        <f>IF(S110="",0,IF(SUMPRODUCT(--(S$4:S110=S110))&gt;1,1,0))</f>
        <v>0</v>
      </c>
    </row>
    <row r="111" spans="1:20" x14ac:dyDescent="0.25">
      <c r="A111" s="8">
        <v>108</v>
      </c>
      <c r="B111" s="9"/>
      <c r="C111" s="33" t="str">
        <f t="shared" si="6"/>
        <v/>
      </c>
      <c r="D111" s="31"/>
      <c r="E111" s="31"/>
      <c r="F111" s="31"/>
      <c r="G111" s="31"/>
      <c r="H111" s="11"/>
      <c r="I111" s="11"/>
      <c r="J111" s="9"/>
      <c r="K111" s="11"/>
      <c r="L111" s="9"/>
      <c r="M111" s="12" t="str">
        <f t="shared" si="7"/>
        <v/>
      </c>
      <c r="N111" s="12" t="str">
        <f t="shared" si="8"/>
        <v/>
      </c>
      <c r="O111" s="8" t="str">
        <f t="shared" si="9"/>
        <v/>
      </c>
      <c r="P111" s="9"/>
      <c r="Q111" s="31"/>
      <c r="R111" s="8" t="str">
        <f t="shared" si="10"/>
        <v/>
      </c>
      <c r="S111" s="8" t="str">
        <f t="shared" si="11"/>
        <v/>
      </c>
      <c r="T111" s="8">
        <f>IF(S111="",0,IF(SUMPRODUCT(--(S$4:S111=S111))&gt;1,1,0))</f>
        <v>0</v>
      </c>
    </row>
    <row r="112" spans="1:20" x14ac:dyDescent="0.25">
      <c r="A112" s="8">
        <v>109</v>
      </c>
      <c r="B112" s="9"/>
      <c r="C112" s="33" t="str">
        <f t="shared" si="6"/>
        <v/>
      </c>
      <c r="D112" s="31"/>
      <c r="E112" s="31"/>
      <c r="F112" s="31"/>
      <c r="G112" s="31"/>
      <c r="H112" s="11"/>
      <c r="I112" s="11"/>
      <c r="J112" s="9"/>
      <c r="K112" s="11"/>
      <c r="L112" s="9"/>
      <c r="M112" s="12" t="str">
        <f t="shared" si="7"/>
        <v/>
      </c>
      <c r="N112" s="12" t="str">
        <f t="shared" si="8"/>
        <v/>
      </c>
      <c r="O112" s="8" t="str">
        <f t="shared" si="9"/>
        <v/>
      </c>
      <c r="P112" s="9"/>
      <c r="Q112" s="31"/>
      <c r="R112" s="8" t="str">
        <f t="shared" si="10"/>
        <v/>
      </c>
      <c r="S112" s="8" t="str">
        <f t="shared" si="11"/>
        <v/>
      </c>
      <c r="T112" s="8">
        <f>IF(S112="",0,IF(SUMPRODUCT(--(S$4:S112=S112))&gt;1,1,0))</f>
        <v>0</v>
      </c>
    </row>
    <row r="113" spans="1:20" x14ac:dyDescent="0.25">
      <c r="A113" s="8">
        <v>110</v>
      </c>
      <c r="B113" s="9"/>
      <c r="C113" s="33" t="str">
        <f t="shared" si="6"/>
        <v/>
      </c>
      <c r="D113" s="31"/>
      <c r="E113" s="31"/>
      <c r="F113" s="31"/>
      <c r="G113" s="31"/>
      <c r="H113" s="11"/>
      <c r="I113" s="11"/>
      <c r="J113" s="9"/>
      <c r="K113" s="11"/>
      <c r="L113" s="9"/>
      <c r="M113" s="12" t="str">
        <f t="shared" si="7"/>
        <v/>
      </c>
      <c r="N113" s="12" t="str">
        <f t="shared" si="8"/>
        <v/>
      </c>
      <c r="O113" s="8" t="str">
        <f t="shared" si="9"/>
        <v/>
      </c>
      <c r="P113" s="9"/>
      <c r="Q113" s="31"/>
      <c r="R113" s="8" t="str">
        <f t="shared" si="10"/>
        <v/>
      </c>
      <c r="S113" s="8" t="str">
        <f t="shared" si="11"/>
        <v/>
      </c>
      <c r="T113" s="8">
        <f>IF(S113="",0,IF(SUMPRODUCT(--(S$4:S113=S113))&gt;1,1,0))</f>
        <v>0</v>
      </c>
    </row>
    <row r="114" spans="1:20" x14ac:dyDescent="0.25">
      <c r="A114" s="8">
        <v>111</v>
      </c>
      <c r="B114" s="9"/>
      <c r="C114" s="33" t="str">
        <f t="shared" si="6"/>
        <v/>
      </c>
      <c r="D114" s="31"/>
      <c r="E114" s="31"/>
      <c r="F114" s="31"/>
      <c r="G114" s="31"/>
      <c r="H114" s="11"/>
      <c r="I114" s="11"/>
      <c r="J114" s="9"/>
      <c r="K114" s="11"/>
      <c r="L114" s="9"/>
      <c r="M114" s="12" t="str">
        <f t="shared" si="7"/>
        <v/>
      </c>
      <c r="N114" s="12" t="str">
        <f t="shared" si="8"/>
        <v/>
      </c>
      <c r="O114" s="8" t="str">
        <f t="shared" si="9"/>
        <v/>
      </c>
      <c r="P114" s="9"/>
      <c r="Q114" s="31"/>
      <c r="R114" s="8" t="str">
        <f t="shared" si="10"/>
        <v/>
      </c>
      <c r="S114" s="8" t="str">
        <f t="shared" si="11"/>
        <v/>
      </c>
      <c r="T114" s="8">
        <f>IF(S114="",0,IF(SUMPRODUCT(--(S$4:S114=S114))&gt;1,1,0))</f>
        <v>0</v>
      </c>
    </row>
    <row r="115" spans="1:20" x14ac:dyDescent="0.25">
      <c r="A115" s="8">
        <v>112</v>
      </c>
      <c r="B115" s="9"/>
      <c r="C115" s="33" t="str">
        <f t="shared" si="6"/>
        <v/>
      </c>
      <c r="D115" s="31"/>
      <c r="E115" s="31"/>
      <c r="F115" s="31"/>
      <c r="G115" s="31"/>
      <c r="H115" s="11"/>
      <c r="I115" s="11"/>
      <c r="J115" s="9"/>
      <c r="K115" s="11"/>
      <c r="L115" s="9"/>
      <c r="M115" s="12" t="str">
        <f t="shared" si="7"/>
        <v/>
      </c>
      <c r="N115" s="12" t="str">
        <f t="shared" si="8"/>
        <v/>
      </c>
      <c r="O115" s="8" t="str">
        <f t="shared" si="9"/>
        <v/>
      </c>
      <c r="P115" s="9"/>
      <c r="Q115" s="31"/>
      <c r="R115" s="8" t="str">
        <f t="shared" si="10"/>
        <v/>
      </c>
      <c r="S115" s="8" t="str">
        <f t="shared" si="11"/>
        <v/>
      </c>
      <c r="T115" s="8">
        <f>IF(S115="",0,IF(SUMPRODUCT(--(S$4:S115=S115))&gt;1,1,0))</f>
        <v>0</v>
      </c>
    </row>
    <row r="116" spans="1:20" x14ac:dyDescent="0.25">
      <c r="A116" s="8">
        <v>113</v>
      </c>
      <c r="B116" s="9"/>
      <c r="C116" s="33" t="str">
        <f t="shared" si="6"/>
        <v/>
      </c>
      <c r="D116" s="31"/>
      <c r="E116" s="31"/>
      <c r="F116" s="31"/>
      <c r="G116" s="31"/>
      <c r="H116" s="11"/>
      <c r="I116" s="11"/>
      <c r="J116" s="9"/>
      <c r="K116" s="11"/>
      <c r="L116" s="9"/>
      <c r="M116" s="12" t="str">
        <f t="shared" si="7"/>
        <v/>
      </c>
      <c r="N116" s="12" t="str">
        <f t="shared" si="8"/>
        <v/>
      </c>
      <c r="O116" s="8" t="str">
        <f t="shared" si="9"/>
        <v/>
      </c>
      <c r="P116" s="9"/>
      <c r="Q116" s="31"/>
      <c r="R116" s="8" t="str">
        <f t="shared" si="10"/>
        <v/>
      </c>
      <c r="S116" s="8" t="str">
        <f t="shared" si="11"/>
        <v/>
      </c>
      <c r="T116" s="8">
        <f>IF(S116="",0,IF(SUMPRODUCT(--(S$4:S116=S116))&gt;1,1,0))</f>
        <v>0</v>
      </c>
    </row>
    <row r="117" spans="1:20" x14ac:dyDescent="0.25">
      <c r="A117" s="8">
        <v>114</v>
      </c>
      <c r="B117" s="9"/>
      <c r="C117" s="33" t="str">
        <f t="shared" si="6"/>
        <v/>
      </c>
      <c r="D117" s="31"/>
      <c r="E117" s="31"/>
      <c r="F117" s="31"/>
      <c r="G117" s="31"/>
      <c r="H117" s="11"/>
      <c r="I117" s="11"/>
      <c r="J117" s="9"/>
      <c r="K117" s="11"/>
      <c r="L117" s="9"/>
      <c r="M117" s="12" t="str">
        <f t="shared" si="7"/>
        <v/>
      </c>
      <c r="N117" s="12" t="str">
        <f t="shared" si="8"/>
        <v/>
      </c>
      <c r="O117" s="8" t="str">
        <f t="shared" si="9"/>
        <v/>
      </c>
      <c r="P117" s="9"/>
      <c r="Q117" s="31"/>
      <c r="R117" s="8" t="str">
        <f t="shared" si="10"/>
        <v/>
      </c>
      <c r="S117" s="8" t="str">
        <f t="shared" si="11"/>
        <v/>
      </c>
      <c r="T117" s="8">
        <f>IF(S117="",0,IF(SUMPRODUCT(--(S$4:S117=S117))&gt;1,1,0))</f>
        <v>0</v>
      </c>
    </row>
    <row r="118" spans="1:20" x14ac:dyDescent="0.25">
      <c r="A118" s="8">
        <v>115</v>
      </c>
      <c r="B118" s="9"/>
      <c r="C118" s="33" t="str">
        <f t="shared" si="6"/>
        <v/>
      </c>
      <c r="D118" s="31"/>
      <c r="E118" s="31"/>
      <c r="F118" s="31"/>
      <c r="G118" s="31"/>
      <c r="H118" s="11"/>
      <c r="I118" s="11"/>
      <c r="J118" s="9"/>
      <c r="K118" s="11"/>
      <c r="L118" s="9"/>
      <c r="M118" s="12" t="str">
        <f t="shared" si="7"/>
        <v/>
      </c>
      <c r="N118" s="12" t="str">
        <f t="shared" si="8"/>
        <v/>
      </c>
      <c r="O118" s="8" t="str">
        <f t="shared" si="9"/>
        <v/>
      </c>
      <c r="P118" s="9"/>
      <c r="Q118" s="31"/>
      <c r="R118" s="8" t="str">
        <f t="shared" si="10"/>
        <v/>
      </c>
      <c r="S118" s="8" t="str">
        <f t="shared" si="11"/>
        <v/>
      </c>
      <c r="T118" s="8">
        <f>IF(S118="",0,IF(SUMPRODUCT(--(S$4:S118=S118))&gt;1,1,0))</f>
        <v>0</v>
      </c>
    </row>
    <row r="119" spans="1:20" x14ac:dyDescent="0.25">
      <c r="A119" s="8">
        <v>116</v>
      </c>
      <c r="B119" s="9"/>
      <c r="C119" s="33" t="str">
        <f t="shared" si="6"/>
        <v/>
      </c>
      <c r="D119" s="31"/>
      <c r="E119" s="31"/>
      <c r="F119" s="31"/>
      <c r="G119" s="31"/>
      <c r="H119" s="11"/>
      <c r="I119" s="11"/>
      <c r="J119" s="9"/>
      <c r="K119" s="11"/>
      <c r="L119" s="9"/>
      <c r="M119" s="12" t="str">
        <f t="shared" si="7"/>
        <v/>
      </c>
      <c r="N119" s="12" t="str">
        <f t="shared" si="8"/>
        <v/>
      </c>
      <c r="O119" s="8" t="str">
        <f t="shared" si="9"/>
        <v/>
      </c>
      <c r="P119" s="9"/>
      <c r="Q119" s="31"/>
      <c r="R119" s="8" t="str">
        <f t="shared" si="10"/>
        <v/>
      </c>
      <c r="S119" s="8" t="str">
        <f t="shared" si="11"/>
        <v/>
      </c>
      <c r="T119" s="8">
        <f>IF(S119="",0,IF(SUMPRODUCT(--(S$4:S119=S119))&gt;1,1,0))</f>
        <v>0</v>
      </c>
    </row>
    <row r="120" spans="1:20" x14ac:dyDescent="0.25">
      <c r="A120" s="8">
        <v>117</v>
      </c>
      <c r="B120" s="9"/>
      <c r="C120" s="33" t="str">
        <f t="shared" si="6"/>
        <v/>
      </c>
      <c r="D120" s="31"/>
      <c r="E120" s="31"/>
      <c r="F120" s="31"/>
      <c r="G120" s="31"/>
      <c r="H120" s="11"/>
      <c r="I120" s="11"/>
      <c r="J120" s="9"/>
      <c r="K120" s="11"/>
      <c r="L120" s="9"/>
      <c r="M120" s="12" t="str">
        <f t="shared" si="7"/>
        <v/>
      </c>
      <c r="N120" s="12" t="str">
        <f t="shared" si="8"/>
        <v/>
      </c>
      <c r="O120" s="8" t="str">
        <f t="shared" si="9"/>
        <v/>
      </c>
      <c r="P120" s="9"/>
      <c r="Q120" s="31"/>
      <c r="R120" s="8" t="str">
        <f t="shared" si="10"/>
        <v/>
      </c>
      <c r="S120" s="8" t="str">
        <f t="shared" si="11"/>
        <v/>
      </c>
      <c r="T120" s="8">
        <f>IF(S120="",0,IF(SUMPRODUCT(--(S$4:S120=S120))&gt;1,1,0))</f>
        <v>0</v>
      </c>
    </row>
    <row r="121" spans="1:20" x14ac:dyDescent="0.25">
      <c r="A121" s="8">
        <v>118</v>
      </c>
      <c r="B121" s="9"/>
      <c r="C121" s="33" t="str">
        <f t="shared" si="6"/>
        <v/>
      </c>
      <c r="D121" s="31"/>
      <c r="E121" s="31"/>
      <c r="F121" s="31"/>
      <c r="G121" s="31"/>
      <c r="H121" s="11"/>
      <c r="I121" s="11"/>
      <c r="J121" s="9"/>
      <c r="K121" s="11"/>
      <c r="L121" s="9"/>
      <c r="M121" s="12" t="str">
        <f t="shared" si="7"/>
        <v/>
      </c>
      <c r="N121" s="12" t="str">
        <f t="shared" si="8"/>
        <v/>
      </c>
      <c r="O121" s="8" t="str">
        <f t="shared" si="9"/>
        <v/>
      </c>
      <c r="P121" s="9"/>
      <c r="Q121" s="31"/>
      <c r="R121" s="8" t="str">
        <f t="shared" si="10"/>
        <v/>
      </c>
      <c r="S121" s="8" t="str">
        <f t="shared" si="11"/>
        <v/>
      </c>
      <c r="T121" s="8">
        <f>IF(S121="",0,IF(SUMPRODUCT(--(S$4:S121=S121))&gt;1,1,0))</f>
        <v>0</v>
      </c>
    </row>
    <row r="122" spans="1:20" x14ac:dyDescent="0.25">
      <c r="A122" s="8">
        <v>119</v>
      </c>
      <c r="B122" s="9"/>
      <c r="C122" s="33" t="str">
        <f t="shared" si="6"/>
        <v/>
      </c>
      <c r="D122" s="31"/>
      <c r="E122" s="31"/>
      <c r="F122" s="31"/>
      <c r="G122" s="31"/>
      <c r="H122" s="11"/>
      <c r="I122" s="11"/>
      <c r="J122" s="9"/>
      <c r="K122" s="11"/>
      <c r="L122" s="9"/>
      <c r="M122" s="12" t="str">
        <f t="shared" si="7"/>
        <v/>
      </c>
      <c r="N122" s="12" t="str">
        <f t="shared" si="8"/>
        <v/>
      </c>
      <c r="O122" s="8" t="str">
        <f t="shared" si="9"/>
        <v/>
      </c>
      <c r="P122" s="9"/>
      <c r="Q122" s="31"/>
      <c r="R122" s="8" t="str">
        <f t="shared" si="10"/>
        <v/>
      </c>
      <c r="S122" s="8" t="str">
        <f t="shared" si="11"/>
        <v/>
      </c>
      <c r="T122" s="8">
        <f>IF(S122="",0,IF(SUMPRODUCT(--(S$4:S122=S122))&gt;1,1,0))</f>
        <v>0</v>
      </c>
    </row>
    <row r="123" spans="1:20" x14ac:dyDescent="0.25">
      <c r="A123" s="8">
        <v>120</v>
      </c>
      <c r="B123" s="9"/>
      <c r="C123" s="33" t="str">
        <f t="shared" si="6"/>
        <v/>
      </c>
      <c r="D123" s="31"/>
      <c r="E123" s="31"/>
      <c r="F123" s="31"/>
      <c r="G123" s="31"/>
      <c r="H123" s="11"/>
      <c r="I123" s="11"/>
      <c r="J123" s="9"/>
      <c r="K123" s="11"/>
      <c r="L123" s="9"/>
      <c r="M123" s="12" t="str">
        <f t="shared" si="7"/>
        <v/>
      </c>
      <c r="N123" s="12" t="str">
        <f t="shared" si="8"/>
        <v/>
      </c>
      <c r="O123" s="8" t="str">
        <f t="shared" si="9"/>
        <v/>
      </c>
      <c r="P123" s="9"/>
      <c r="Q123" s="31"/>
      <c r="R123" s="8" t="str">
        <f t="shared" si="10"/>
        <v/>
      </c>
      <c r="S123" s="8" t="str">
        <f t="shared" si="11"/>
        <v/>
      </c>
      <c r="T123" s="8">
        <f>IF(S123="",0,IF(SUMPRODUCT(--(S$4:S123=S123))&gt;1,1,0))</f>
        <v>0</v>
      </c>
    </row>
    <row r="124" spans="1:20" x14ac:dyDescent="0.25">
      <c r="A124" s="8">
        <v>121</v>
      </c>
      <c r="B124" s="9"/>
      <c r="C124" s="33" t="str">
        <f t="shared" si="6"/>
        <v/>
      </c>
      <c r="D124" s="31"/>
      <c r="E124" s="31"/>
      <c r="F124" s="31"/>
      <c r="G124" s="31"/>
      <c r="H124" s="11"/>
      <c r="I124" s="11"/>
      <c r="J124" s="9"/>
      <c r="K124" s="11"/>
      <c r="L124" s="9"/>
      <c r="M124" s="12" t="str">
        <f t="shared" si="7"/>
        <v/>
      </c>
      <c r="N124" s="12" t="str">
        <f t="shared" si="8"/>
        <v/>
      </c>
      <c r="O124" s="8" t="str">
        <f t="shared" si="9"/>
        <v/>
      </c>
      <c r="P124" s="9"/>
      <c r="Q124" s="31"/>
      <c r="R124" s="8" t="str">
        <f t="shared" si="10"/>
        <v/>
      </c>
      <c r="S124" s="8" t="str">
        <f t="shared" si="11"/>
        <v/>
      </c>
      <c r="T124" s="8">
        <f>IF(S124="",0,IF(SUMPRODUCT(--(S$4:S124=S124))&gt;1,1,0))</f>
        <v>0</v>
      </c>
    </row>
    <row r="125" spans="1:20" x14ac:dyDescent="0.25">
      <c r="A125" s="8">
        <v>122</v>
      </c>
      <c r="B125" s="9"/>
      <c r="C125" s="33" t="str">
        <f t="shared" si="6"/>
        <v/>
      </c>
      <c r="D125" s="31"/>
      <c r="E125" s="31"/>
      <c r="F125" s="31"/>
      <c r="G125" s="31"/>
      <c r="H125" s="11"/>
      <c r="I125" s="11"/>
      <c r="J125" s="9"/>
      <c r="K125" s="11"/>
      <c r="L125" s="9"/>
      <c r="M125" s="12" t="str">
        <f t="shared" si="7"/>
        <v/>
      </c>
      <c r="N125" s="12" t="str">
        <f t="shared" si="8"/>
        <v/>
      </c>
      <c r="O125" s="8" t="str">
        <f t="shared" si="9"/>
        <v/>
      </c>
      <c r="P125" s="9"/>
      <c r="Q125" s="31"/>
      <c r="R125" s="8" t="str">
        <f t="shared" si="10"/>
        <v/>
      </c>
      <c r="S125" s="8" t="str">
        <f t="shared" si="11"/>
        <v/>
      </c>
      <c r="T125" s="8">
        <f>IF(S125="",0,IF(SUMPRODUCT(--(S$4:S125=S125))&gt;1,1,0))</f>
        <v>0</v>
      </c>
    </row>
    <row r="126" spans="1:20" x14ac:dyDescent="0.25">
      <c r="A126" s="8">
        <v>123</v>
      </c>
      <c r="B126" s="9"/>
      <c r="C126" s="33" t="str">
        <f t="shared" si="6"/>
        <v/>
      </c>
      <c r="D126" s="31"/>
      <c r="E126" s="31"/>
      <c r="F126" s="31"/>
      <c r="G126" s="31"/>
      <c r="H126" s="11"/>
      <c r="I126" s="11"/>
      <c r="J126" s="9"/>
      <c r="K126" s="11"/>
      <c r="L126" s="9"/>
      <c r="M126" s="12" t="str">
        <f t="shared" si="7"/>
        <v/>
      </c>
      <c r="N126" s="12" t="str">
        <f t="shared" si="8"/>
        <v/>
      </c>
      <c r="O126" s="8" t="str">
        <f t="shared" si="9"/>
        <v/>
      </c>
      <c r="P126" s="9"/>
      <c r="Q126" s="31"/>
      <c r="R126" s="8" t="str">
        <f t="shared" si="10"/>
        <v/>
      </c>
      <c r="S126" s="8" t="str">
        <f t="shared" si="11"/>
        <v/>
      </c>
      <c r="T126" s="8">
        <f>IF(S126="",0,IF(SUMPRODUCT(--(S$4:S126=S126))&gt;1,1,0))</f>
        <v>0</v>
      </c>
    </row>
    <row r="127" spans="1:20" x14ac:dyDescent="0.25">
      <c r="A127" s="8">
        <v>124</v>
      </c>
      <c r="B127" s="9"/>
      <c r="C127" s="33" t="str">
        <f t="shared" si="6"/>
        <v/>
      </c>
      <c r="D127" s="31"/>
      <c r="E127" s="31"/>
      <c r="F127" s="31"/>
      <c r="G127" s="31"/>
      <c r="H127" s="11"/>
      <c r="I127" s="11"/>
      <c r="J127" s="9"/>
      <c r="K127" s="11"/>
      <c r="L127" s="9"/>
      <c r="M127" s="12" t="str">
        <f t="shared" si="7"/>
        <v/>
      </c>
      <c r="N127" s="12" t="str">
        <f t="shared" si="8"/>
        <v/>
      </c>
      <c r="O127" s="8" t="str">
        <f t="shared" si="9"/>
        <v/>
      </c>
      <c r="P127" s="9"/>
      <c r="Q127" s="31"/>
      <c r="R127" s="8" t="str">
        <f t="shared" si="10"/>
        <v/>
      </c>
      <c r="S127" s="8" t="str">
        <f t="shared" si="11"/>
        <v/>
      </c>
      <c r="T127" s="8">
        <f>IF(S127="",0,IF(SUMPRODUCT(--(S$4:S127=S127))&gt;1,1,0))</f>
        <v>0</v>
      </c>
    </row>
    <row r="128" spans="1:20" x14ac:dyDescent="0.25">
      <c r="A128" s="8">
        <v>125</v>
      </c>
      <c r="B128" s="9"/>
      <c r="C128" s="33" t="str">
        <f t="shared" si="6"/>
        <v/>
      </c>
      <c r="D128" s="31"/>
      <c r="E128" s="31"/>
      <c r="F128" s="31"/>
      <c r="G128" s="31"/>
      <c r="H128" s="11"/>
      <c r="I128" s="11"/>
      <c r="J128" s="9"/>
      <c r="K128" s="11"/>
      <c r="L128" s="9"/>
      <c r="M128" s="12" t="str">
        <f t="shared" si="7"/>
        <v/>
      </c>
      <c r="N128" s="12" t="str">
        <f t="shared" si="8"/>
        <v/>
      </c>
      <c r="O128" s="8" t="str">
        <f t="shared" si="9"/>
        <v/>
      </c>
      <c r="P128" s="9"/>
      <c r="Q128" s="31"/>
      <c r="R128" s="8" t="str">
        <f t="shared" si="10"/>
        <v/>
      </c>
      <c r="S128" s="8" t="str">
        <f t="shared" si="11"/>
        <v/>
      </c>
      <c r="T128" s="8">
        <f>IF(S128="",0,IF(SUMPRODUCT(--(S$4:S128=S128))&gt;1,1,0))</f>
        <v>0</v>
      </c>
    </row>
    <row r="129" spans="1:20" x14ac:dyDescent="0.25">
      <c r="A129" s="8">
        <v>126</v>
      </c>
      <c r="B129" s="9"/>
      <c r="C129" s="33" t="str">
        <f t="shared" si="6"/>
        <v/>
      </c>
      <c r="D129" s="31"/>
      <c r="E129" s="31"/>
      <c r="F129" s="31"/>
      <c r="G129" s="31"/>
      <c r="H129" s="11"/>
      <c r="I129" s="11"/>
      <c r="J129" s="9"/>
      <c r="K129" s="11"/>
      <c r="L129" s="9"/>
      <c r="M129" s="12" t="str">
        <f t="shared" si="7"/>
        <v/>
      </c>
      <c r="N129" s="12" t="str">
        <f t="shared" si="8"/>
        <v/>
      </c>
      <c r="O129" s="8" t="str">
        <f t="shared" si="9"/>
        <v/>
      </c>
      <c r="P129" s="9"/>
      <c r="Q129" s="31"/>
      <c r="R129" s="8" t="str">
        <f t="shared" si="10"/>
        <v/>
      </c>
      <c r="S129" s="8" t="str">
        <f t="shared" si="11"/>
        <v/>
      </c>
      <c r="T129" s="8">
        <f>IF(S129="",0,IF(SUMPRODUCT(--(S$4:S129=S129))&gt;1,1,0))</f>
        <v>0</v>
      </c>
    </row>
    <row r="130" spans="1:20" x14ac:dyDescent="0.25">
      <c r="A130" s="8">
        <v>127</v>
      </c>
      <c r="B130" s="9"/>
      <c r="C130" s="33" t="str">
        <f t="shared" si="6"/>
        <v/>
      </c>
      <c r="D130" s="31"/>
      <c r="E130" s="31"/>
      <c r="F130" s="31"/>
      <c r="G130" s="31"/>
      <c r="H130" s="11"/>
      <c r="I130" s="11"/>
      <c r="J130" s="9"/>
      <c r="K130" s="11"/>
      <c r="L130" s="9"/>
      <c r="M130" s="12" t="str">
        <f t="shared" si="7"/>
        <v/>
      </c>
      <c r="N130" s="12" t="str">
        <f t="shared" si="8"/>
        <v/>
      </c>
      <c r="O130" s="8" t="str">
        <f t="shared" si="9"/>
        <v/>
      </c>
      <c r="P130" s="9"/>
      <c r="Q130" s="31"/>
      <c r="R130" s="8" t="str">
        <f t="shared" si="10"/>
        <v/>
      </c>
      <c r="S130" s="8" t="str">
        <f t="shared" si="11"/>
        <v/>
      </c>
      <c r="T130" s="8">
        <f>IF(S130="",0,IF(SUMPRODUCT(--(S$4:S130=S130))&gt;1,1,0))</f>
        <v>0</v>
      </c>
    </row>
    <row r="131" spans="1:20" x14ac:dyDescent="0.25">
      <c r="A131" s="8">
        <v>128</v>
      </c>
      <c r="B131" s="9"/>
      <c r="C131" s="33" t="str">
        <f t="shared" si="6"/>
        <v/>
      </c>
      <c r="D131" s="31"/>
      <c r="E131" s="31"/>
      <c r="F131" s="31"/>
      <c r="G131" s="31"/>
      <c r="H131" s="11"/>
      <c r="I131" s="11"/>
      <c r="J131" s="9"/>
      <c r="K131" s="11"/>
      <c r="L131" s="9"/>
      <c r="M131" s="12" t="str">
        <f t="shared" si="7"/>
        <v/>
      </c>
      <c r="N131" s="12" t="str">
        <f t="shared" si="8"/>
        <v/>
      </c>
      <c r="O131" s="8" t="str">
        <f t="shared" si="9"/>
        <v/>
      </c>
      <c r="P131" s="9"/>
      <c r="Q131" s="31"/>
      <c r="R131" s="8" t="str">
        <f t="shared" si="10"/>
        <v/>
      </c>
      <c r="S131" s="8" t="str">
        <f t="shared" si="11"/>
        <v/>
      </c>
      <c r="T131" s="8">
        <f>IF(S131="",0,IF(SUMPRODUCT(--(S$4:S131=S131))&gt;1,1,0))</f>
        <v>0</v>
      </c>
    </row>
    <row r="132" spans="1:20" x14ac:dyDescent="0.25">
      <c r="A132" s="8">
        <v>129</v>
      </c>
      <c r="B132" s="9"/>
      <c r="C132" s="33" t="str">
        <f t="shared" ref="C132:C195" si="12">IF(B132="","",IFERROR(INDEX(SpaceNames,MATCH(B132,SpaceCodes,0))&amp;"",""))</f>
        <v/>
      </c>
      <c r="D132" s="31"/>
      <c r="E132" s="31"/>
      <c r="F132" s="31"/>
      <c r="G132" s="31"/>
      <c r="H132" s="11"/>
      <c r="I132" s="11"/>
      <c r="J132" s="9"/>
      <c r="K132" s="11"/>
      <c r="L132" s="9"/>
      <c r="M132" s="12" t="str">
        <f t="shared" ref="M132:M195" si="13">IF(S132="","",IF(OR(L132="لا",T132=1),0,IF(K132&lt;&gt;"",K132*IF(J132="",1,J132),IF(AND(H132&lt;&gt;"",I132&lt;&gt;""),H132*I132*IF(J132="",1,J132),""))))</f>
        <v/>
      </c>
      <c r="N132" s="12" t="str">
        <f t="shared" ref="N132:N195" si="14">IF(OR(S132="",B132="",D132=""),"",SUMIFS(CL_Net,CL_Space,B132,CL_Mat,D132))</f>
        <v/>
      </c>
      <c r="O132" s="8" t="str">
        <f t="shared" ref="O132:O195" si="15">IF(D132="","",IFERROR(IF(INDEX(CeilUnit,MATCH(D132,CeilMat,0))="","م²",INDEX(CeilUnit,MATCH(D132,CeilMat,0))),"م²"))</f>
        <v/>
      </c>
      <c r="P132" s="9"/>
      <c r="Q132" s="31"/>
      <c r="R132" s="8" t="str">
        <f t="shared" ref="R132:R195" si="16">IF(S132="","",IF(T132=1,"تكرار — غير محتسب",IF(B132="","ناقص بيانات: كود الفراغ",IF(COUNTIF(SpaceCodes,B132)=0,"ناقص بيانات: الفراغ غير مسجل",IF(D132="","ناقص بيانات: الخامة",IF(AND(K132="",OR(H132="",I132="")),"ناقص قياس",IF(L132="لا","مستبعد من الحصر",IF(P132="نعم","يحتاج مراجعة","مكتمل"))))))))</f>
        <v/>
      </c>
      <c r="S132" s="8" t="str">
        <f t="shared" ref="S132:S195" si="17">IF(COUNTA(B132,D132:K132)=0,"",B132&amp;"|"&amp;D132&amp;"|"&amp;G132&amp;"|"&amp;H132&amp;"|"&amp;I132&amp;"|"&amp;K132)</f>
        <v/>
      </c>
      <c r="T132" s="8">
        <f>IF(S132="",0,IF(SUMPRODUCT(--(S$4:S132=S132))&gt;1,1,0))</f>
        <v>0</v>
      </c>
    </row>
    <row r="133" spans="1:20" x14ac:dyDescent="0.25">
      <c r="A133" s="8">
        <v>130</v>
      </c>
      <c r="B133" s="9"/>
      <c r="C133" s="33" t="str">
        <f t="shared" si="12"/>
        <v/>
      </c>
      <c r="D133" s="31"/>
      <c r="E133" s="31"/>
      <c r="F133" s="31"/>
      <c r="G133" s="31"/>
      <c r="H133" s="11"/>
      <c r="I133" s="11"/>
      <c r="J133" s="9"/>
      <c r="K133" s="11"/>
      <c r="L133" s="9"/>
      <c r="M133" s="12" t="str">
        <f t="shared" si="13"/>
        <v/>
      </c>
      <c r="N133" s="12" t="str">
        <f t="shared" si="14"/>
        <v/>
      </c>
      <c r="O133" s="8" t="str">
        <f t="shared" si="15"/>
        <v/>
      </c>
      <c r="P133" s="9"/>
      <c r="Q133" s="31"/>
      <c r="R133" s="8" t="str">
        <f t="shared" si="16"/>
        <v/>
      </c>
      <c r="S133" s="8" t="str">
        <f t="shared" si="17"/>
        <v/>
      </c>
      <c r="T133" s="8">
        <f>IF(S133="",0,IF(SUMPRODUCT(--(S$4:S133=S133))&gt;1,1,0))</f>
        <v>0</v>
      </c>
    </row>
    <row r="134" spans="1:20" x14ac:dyDescent="0.25">
      <c r="A134" s="8">
        <v>131</v>
      </c>
      <c r="B134" s="9"/>
      <c r="C134" s="33" t="str">
        <f t="shared" si="12"/>
        <v/>
      </c>
      <c r="D134" s="31"/>
      <c r="E134" s="31"/>
      <c r="F134" s="31"/>
      <c r="G134" s="31"/>
      <c r="H134" s="11"/>
      <c r="I134" s="11"/>
      <c r="J134" s="9"/>
      <c r="K134" s="11"/>
      <c r="L134" s="9"/>
      <c r="M134" s="12" t="str">
        <f t="shared" si="13"/>
        <v/>
      </c>
      <c r="N134" s="12" t="str">
        <f t="shared" si="14"/>
        <v/>
      </c>
      <c r="O134" s="8" t="str">
        <f t="shared" si="15"/>
        <v/>
      </c>
      <c r="P134" s="9"/>
      <c r="Q134" s="31"/>
      <c r="R134" s="8" t="str">
        <f t="shared" si="16"/>
        <v/>
      </c>
      <c r="S134" s="8" t="str">
        <f t="shared" si="17"/>
        <v/>
      </c>
      <c r="T134" s="8">
        <f>IF(S134="",0,IF(SUMPRODUCT(--(S$4:S134=S134))&gt;1,1,0))</f>
        <v>0</v>
      </c>
    </row>
    <row r="135" spans="1:20" x14ac:dyDescent="0.25">
      <c r="A135" s="8">
        <v>132</v>
      </c>
      <c r="B135" s="9"/>
      <c r="C135" s="33" t="str">
        <f t="shared" si="12"/>
        <v/>
      </c>
      <c r="D135" s="31"/>
      <c r="E135" s="31"/>
      <c r="F135" s="31"/>
      <c r="G135" s="31"/>
      <c r="H135" s="11"/>
      <c r="I135" s="11"/>
      <c r="J135" s="9"/>
      <c r="K135" s="11"/>
      <c r="L135" s="9"/>
      <c r="M135" s="12" t="str">
        <f t="shared" si="13"/>
        <v/>
      </c>
      <c r="N135" s="12" t="str">
        <f t="shared" si="14"/>
        <v/>
      </c>
      <c r="O135" s="8" t="str">
        <f t="shared" si="15"/>
        <v/>
      </c>
      <c r="P135" s="9"/>
      <c r="Q135" s="31"/>
      <c r="R135" s="8" t="str">
        <f t="shared" si="16"/>
        <v/>
      </c>
      <c r="S135" s="8" t="str">
        <f t="shared" si="17"/>
        <v/>
      </c>
      <c r="T135" s="8">
        <f>IF(S135="",0,IF(SUMPRODUCT(--(S$4:S135=S135))&gt;1,1,0))</f>
        <v>0</v>
      </c>
    </row>
    <row r="136" spans="1:20" x14ac:dyDescent="0.25">
      <c r="A136" s="8">
        <v>133</v>
      </c>
      <c r="B136" s="9"/>
      <c r="C136" s="33" t="str">
        <f t="shared" si="12"/>
        <v/>
      </c>
      <c r="D136" s="31"/>
      <c r="E136" s="31"/>
      <c r="F136" s="31"/>
      <c r="G136" s="31"/>
      <c r="H136" s="11"/>
      <c r="I136" s="11"/>
      <c r="J136" s="9"/>
      <c r="K136" s="11"/>
      <c r="L136" s="9"/>
      <c r="M136" s="12" t="str">
        <f t="shared" si="13"/>
        <v/>
      </c>
      <c r="N136" s="12" t="str">
        <f t="shared" si="14"/>
        <v/>
      </c>
      <c r="O136" s="8" t="str">
        <f t="shared" si="15"/>
        <v/>
      </c>
      <c r="P136" s="9"/>
      <c r="Q136" s="31"/>
      <c r="R136" s="8" t="str">
        <f t="shared" si="16"/>
        <v/>
      </c>
      <c r="S136" s="8" t="str">
        <f t="shared" si="17"/>
        <v/>
      </c>
      <c r="T136" s="8">
        <f>IF(S136="",0,IF(SUMPRODUCT(--(S$4:S136=S136))&gt;1,1,0))</f>
        <v>0</v>
      </c>
    </row>
    <row r="137" spans="1:20" x14ac:dyDescent="0.25">
      <c r="A137" s="8">
        <v>134</v>
      </c>
      <c r="B137" s="9"/>
      <c r="C137" s="33" t="str">
        <f t="shared" si="12"/>
        <v/>
      </c>
      <c r="D137" s="31"/>
      <c r="E137" s="31"/>
      <c r="F137" s="31"/>
      <c r="G137" s="31"/>
      <c r="H137" s="11"/>
      <c r="I137" s="11"/>
      <c r="J137" s="9"/>
      <c r="K137" s="11"/>
      <c r="L137" s="9"/>
      <c r="M137" s="12" t="str">
        <f t="shared" si="13"/>
        <v/>
      </c>
      <c r="N137" s="12" t="str">
        <f t="shared" si="14"/>
        <v/>
      </c>
      <c r="O137" s="8" t="str">
        <f t="shared" si="15"/>
        <v/>
      </c>
      <c r="P137" s="9"/>
      <c r="Q137" s="31"/>
      <c r="R137" s="8" t="str">
        <f t="shared" si="16"/>
        <v/>
      </c>
      <c r="S137" s="8" t="str">
        <f t="shared" si="17"/>
        <v/>
      </c>
      <c r="T137" s="8">
        <f>IF(S137="",0,IF(SUMPRODUCT(--(S$4:S137=S137))&gt;1,1,0))</f>
        <v>0</v>
      </c>
    </row>
    <row r="138" spans="1:20" x14ac:dyDescent="0.25">
      <c r="A138" s="8">
        <v>135</v>
      </c>
      <c r="B138" s="9"/>
      <c r="C138" s="33" t="str">
        <f t="shared" si="12"/>
        <v/>
      </c>
      <c r="D138" s="31"/>
      <c r="E138" s="31"/>
      <c r="F138" s="31"/>
      <c r="G138" s="31"/>
      <c r="H138" s="11"/>
      <c r="I138" s="11"/>
      <c r="J138" s="9"/>
      <c r="K138" s="11"/>
      <c r="L138" s="9"/>
      <c r="M138" s="12" t="str">
        <f t="shared" si="13"/>
        <v/>
      </c>
      <c r="N138" s="12" t="str">
        <f t="shared" si="14"/>
        <v/>
      </c>
      <c r="O138" s="8" t="str">
        <f t="shared" si="15"/>
        <v/>
      </c>
      <c r="P138" s="9"/>
      <c r="Q138" s="31"/>
      <c r="R138" s="8" t="str">
        <f t="shared" si="16"/>
        <v/>
      </c>
      <c r="S138" s="8" t="str">
        <f t="shared" si="17"/>
        <v/>
      </c>
      <c r="T138" s="8">
        <f>IF(S138="",0,IF(SUMPRODUCT(--(S$4:S138=S138))&gt;1,1,0))</f>
        <v>0</v>
      </c>
    </row>
    <row r="139" spans="1:20" x14ac:dyDescent="0.25">
      <c r="A139" s="8">
        <v>136</v>
      </c>
      <c r="B139" s="9"/>
      <c r="C139" s="33" t="str">
        <f t="shared" si="12"/>
        <v/>
      </c>
      <c r="D139" s="31"/>
      <c r="E139" s="31"/>
      <c r="F139" s="31"/>
      <c r="G139" s="31"/>
      <c r="H139" s="11"/>
      <c r="I139" s="11"/>
      <c r="J139" s="9"/>
      <c r="K139" s="11"/>
      <c r="L139" s="9"/>
      <c r="M139" s="12" t="str">
        <f t="shared" si="13"/>
        <v/>
      </c>
      <c r="N139" s="12" t="str">
        <f t="shared" si="14"/>
        <v/>
      </c>
      <c r="O139" s="8" t="str">
        <f t="shared" si="15"/>
        <v/>
      </c>
      <c r="P139" s="9"/>
      <c r="Q139" s="31"/>
      <c r="R139" s="8" t="str">
        <f t="shared" si="16"/>
        <v/>
      </c>
      <c r="S139" s="8" t="str">
        <f t="shared" si="17"/>
        <v/>
      </c>
      <c r="T139" s="8">
        <f>IF(S139="",0,IF(SUMPRODUCT(--(S$4:S139=S139))&gt;1,1,0))</f>
        <v>0</v>
      </c>
    </row>
    <row r="140" spans="1:20" x14ac:dyDescent="0.25">
      <c r="A140" s="8">
        <v>137</v>
      </c>
      <c r="B140" s="9"/>
      <c r="C140" s="33" t="str">
        <f t="shared" si="12"/>
        <v/>
      </c>
      <c r="D140" s="31"/>
      <c r="E140" s="31"/>
      <c r="F140" s="31"/>
      <c r="G140" s="31"/>
      <c r="H140" s="11"/>
      <c r="I140" s="11"/>
      <c r="J140" s="9"/>
      <c r="K140" s="11"/>
      <c r="L140" s="9"/>
      <c r="M140" s="12" t="str">
        <f t="shared" si="13"/>
        <v/>
      </c>
      <c r="N140" s="12" t="str">
        <f t="shared" si="14"/>
        <v/>
      </c>
      <c r="O140" s="8" t="str">
        <f t="shared" si="15"/>
        <v/>
      </c>
      <c r="P140" s="9"/>
      <c r="Q140" s="31"/>
      <c r="R140" s="8" t="str">
        <f t="shared" si="16"/>
        <v/>
      </c>
      <c r="S140" s="8" t="str">
        <f t="shared" si="17"/>
        <v/>
      </c>
      <c r="T140" s="8">
        <f>IF(S140="",0,IF(SUMPRODUCT(--(S$4:S140=S140))&gt;1,1,0))</f>
        <v>0</v>
      </c>
    </row>
    <row r="141" spans="1:20" x14ac:dyDescent="0.25">
      <c r="A141" s="8">
        <v>138</v>
      </c>
      <c r="B141" s="9"/>
      <c r="C141" s="33" t="str">
        <f t="shared" si="12"/>
        <v/>
      </c>
      <c r="D141" s="31"/>
      <c r="E141" s="31"/>
      <c r="F141" s="31"/>
      <c r="G141" s="31"/>
      <c r="H141" s="11"/>
      <c r="I141" s="11"/>
      <c r="J141" s="9"/>
      <c r="K141" s="11"/>
      <c r="L141" s="9"/>
      <c r="M141" s="12" t="str">
        <f t="shared" si="13"/>
        <v/>
      </c>
      <c r="N141" s="12" t="str">
        <f t="shared" si="14"/>
        <v/>
      </c>
      <c r="O141" s="8" t="str">
        <f t="shared" si="15"/>
        <v/>
      </c>
      <c r="P141" s="9"/>
      <c r="Q141" s="31"/>
      <c r="R141" s="8" t="str">
        <f t="shared" si="16"/>
        <v/>
      </c>
      <c r="S141" s="8" t="str">
        <f t="shared" si="17"/>
        <v/>
      </c>
      <c r="T141" s="8">
        <f>IF(S141="",0,IF(SUMPRODUCT(--(S$4:S141=S141))&gt;1,1,0))</f>
        <v>0</v>
      </c>
    </row>
    <row r="142" spans="1:20" x14ac:dyDescent="0.25">
      <c r="A142" s="8">
        <v>139</v>
      </c>
      <c r="B142" s="9"/>
      <c r="C142" s="33" t="str">
        <f t="shared" si="12"/>
        <v/>
      </c>
      <c r="D142" s="31"/>
      <c r="E142" s="31"/>
      <c r="F142" s="31"/>
      <c r="G142" s="31"/>
      <c r="H142" s="11"/>
      <c r="I142" s="11"/>
      <c r="J142" s="9"/>
      <c r="K142" s="11"/>
      <c r="L142" s="9"/>
      <c r="M142" s="12" t="str">
        <f t="shared" si="13"/>
        <v/>
      </c>
      <c r="N142" s="12" t="str">
        <f t="shared" si="14"/>
        <v/>
      </c>
      <c r="O142" s="8" t="str">
        <f t="shared" si="15"/>
        <v/>
      </c>
      <c r="P142" s="9"/>
      <c r="Q142" s="31"/>
      <c r="R142" s="8" t="str">
        <f t="shared" si="16"/>
        <v/>
      </c>
      <c r="S142" s="8" t="str">
        <f t="shared" si="17"/>
        <v/>
      </c>
      <c r="T142" s="8">
        <f>IF(S142="",0,IF(SUMPRODUCT(--(S$4:S142=S142))&gt;1,1,0))</f>
        <v>0</v>
      </c>
    </row>
    <row r="143" spans="1:20" x14ac:dyDescent="0.25">
      <c r="A143" s="8">
        <v>140</v>
      </c>
      <c r="B143" s="9"/>
      <c r="C143" s="33" t="str">
        <f t="shared" si="12"/>
        <v/>
      </c>
      <c r="D143" s="31"/>
      <c r="E143" s="31"/>
      <c r="F143" s="31"/>
      <c r="G143" s="31"/>
      <c r="H143" s="11"/>
      <c r="I143" s="11"/>
      <c r="J143" s="9"/>
      <c r="K143" s="11"/>
      <c r="L143" s="9"/>
      <c r="M143" s="12" t="str">
        <f t="shared" si="13"/>
        <v/>
      </c>
      <c r="N143" s="12" t="str">
        <f t="shared" si="14"/>
        <v/>
      </c>
      <c r="O143" s="8" t="str">
        <f t="shared" si="15"/>
        <v/>
      </c>
      <c r="P143" s="9"/>
      <c r="Q143" s="31"/>
      <c r="R143" s="8" t="str">
        <f t="shared" si="16"/>
        <v/>
      </c>
      <c r="S143" s="8" t="str">
        <f t="shared" si="17"/>
        <v/>
      </c>
      <c r="T143" s="8">
        <f>IF(S143="",0,IF(SUMPRODUCT(--(S$4:S143=S143))&gt;1,1,0))</f>
        <v>0</v>
      </c>
    </row>
    <row r="144" spans="1:20" x14ac:dyDescent="0.25">
      <c r="A144" s="8">
        <v>141</v>
      </c>
      <c r="B144" s="9"/>
      <c r="C144" s="33" t="str">
        <f t="shared" si="12"/>
        <v/>
      </c>
      <c r="D144" s="31"/>
      <c r="E144" s="31"/>
      <c r="F144" s="31"/>
      <c r="G144" s="31"/>
      <c r="H144" s="11"/>
      <c r="I144" s="11"/>
      <c r="J144" s="9"/>
      <c r="K144" s="11"/>
      <c r="L144" s="9"/>
      <c r="M144" s="12" t="str">
        <f t="shared" si="13"/>
        <v/>
      </c>
      <c r="N144" s="12" t="str">
        <f t="shared" si="14"/>
        <v/>
      </c>
      <c r="O144" s="8" t="str">
        <f t="shared" si="15"/>
        <v/>
      </c>
      <c r="P144" s="9"/>
      <c r="Q144" s="31"/>
      <c r="R144" s="8" t="str">
        <f t="shared" si="16"/>
        <v/>
      </c>
      <c r="S144" s="8" t="str">
        <f t="shared" si="17"/>
        <v/>
      </c>
      <c r="T144" s="8">
        <f>IF(S144="",0,IF(SUMPRODUCT(--(S$4:S144=S144))&gt;1,1,0))</f>
        <v>0</v>
      </c>
    </row>
    <row r="145" spans="1:20" x14ac:dyDescent="0.25">
      <c r="A145" s="8">
        <v>142</v>
      </c>
      <c r="B145" s="9"/>
      <c r="C145" s="33" t="str">
        <f t="shared" si="12"/>
        <v/>
      </c>
      <c r="D145" s="31"/>
      <c r="E145" s="31"/>
      <c r="F145" s="31"/>
      <c r="G145" s="31"/>
      <c r="H145" s="11"/>
      <c r="I145" s="11"/>
      <c r="J145" s="9"/>
      <c r="K145" s="11"/>
      <c r="L145" s="9"/>
      <c r="M145" s="12" t="str">
        <f t="shared" si="13"/>
        <v/>
      </c>
      <c r="N145" s="12" t="str">
        <f t="shared" si="14"/>
        <v/>
      </c>
      <c r="O145" s="8" t="str">
        <f t="shared" si="15"/>
        <v/>
      </c>
      <c r="P145" s="9"/>
      <c r="Q145" s="31"/>
      <c r="R145" s="8" t="str">
        <f t="shared" si="16"/>
        <v/>
      </c>
      <c r="S145" s="8" t="str">
        <f t="shared" si="17"/>
        <v/>
      </c>
      <c r="T145" s="8">
        <f>IF(S145="",0,IF(SUMPRODUCT(--(S$4:S145=S145))&gt;1,1,0))</f>
        <v>0</v>
      </c>
    </row>
    <row r="146" spans="1:20" x14ac:dyDescent="0.25">
      <c r="A146" s="8">
        <v>143</v>
      </c>
      <c r="B146" s="9"/>
      <c r="C146" s="33" t="str">
        <f t="shared" si="12"/>
        <v/>
      </c>
      <c r="D146" s="31"/>
      <c r="E146" s="31"/>
      <c r="F146" s="31"/>
      <c r="G146" s="31"/>
      <c r="H146" s="11"/>
      <c r="I146" s="11"/>
      <c r="J146" s="9"/>
      <c r="K146" s="11"/>
      <c r="L146" s="9"/>
      <c r="M146" s="12" t="str">
        <f t="shared" si="13"/>
        <v/>
      </c>
      <c r="N146" s="12" t="str">
        <f t="shared" si="14"/>
        <v/>
      </c>
      <c r="O146" s="8" t="str">
        <f t="shared" si="15"/>
        <v/>
      </c>
      <c r="P146" s="9"/>
      <c r="Q146" s="31"/>
      <c r="R146" s="8" t="str">
        <f t="shared" si="16"/>
        <v/>
      </c>
      <c r="S146" s="8" t="str">
        <f t="shared" si="17"/>
        <v/>
      </c>
      <c r="T146" s="8">
        <f>IF(S146="",0,IF(SUMPRODUCT(--(S$4:S146=S146))&gt;1,1,0))</f>
        <v>0</v>
      </c>
    </row>
    <row r="147" spans="1:20" x14ac:dyDescent="0.25">
      <c r="A147" s="8">
        <v>144</v>
      </c>
      <c r="B147" s="9"/>
      <c r="C147" s="33" t="str">
        <f t="shared" si="12"/>
        <v/>
      </c>
      <c r="D147" s="31"/>
      <c r="E147" s="31"/>
      <c r="F147" s="31"/>
      <c r="G147" s="31"/>
      <c r="H147" s="11"/>
      <c r="I147" s="11"/>
      <c r="J147" s="9"/>
      <c r="K147" s="11"/>
      <c r="L147" s="9"/>
      <c r="M147" s="12" t="str">
        <f t="shared" si="13"/>
        <v/>
      </c>
      <c r="N147" s="12" t="str">
        <f t="shared" si="14"/>
        <v/>
      </c>
      <c r="O147" s="8" t="str">
        <f t="shared" si="15"/>
        <v/>
      </c>
      <c r="P147" s="9"/>
      <c r="Q147" s="31"/>
      <c r="R147" s="8" t="str">
        <f t="shared" si="16"/>
        <v/>
      </c>
      <c r="S147" s="8" t="str">
        <f t="shared" si="17"/>
        <v/>
      </c>
      <c r="T147" s="8">
        <f>IF(S147="",0,IF(SUMPRODUCT(--(S$4:S147=S147))&gt;1,1,0))</f>
        <v>0</v>
      </c>
    </row>
    <row r="148" spans="1:20" x14ac:dyDescent="0.25">
      <c r="A148" s="8">
        <v>145</v>
      </c>
      <c r="B148" s="9"/>
      <c r="C148" s="33" t="str">
        <f t="shared" si="12"/>
        <v/>
      </c>
      <c r="D148" s="31"/>
      <c r="E148" s="31"/>
      <c r="F148" s="31"/>
      <c r="G148" s="31"/>
      <c r="H148" s="11"/>
      <c r="I148" s="11"/>
      <c r="J148" s="9"/>
      <c r="K148" s="11"/>
      <c r="L148" s="9"/>
      <c r="M148" s="12" t="str">
        <f t="shared" si="13"/>
        <v/>
      </c>
      <c r="N148" s="12" t="str">
        <f t="shared" si="14"/>
        <v/>
      </c>
      <c r="O148" s="8" t="str">
        <f t="shared" si="15"/>
        <v/>
      </c>
      <c r="P148" s="9"/>
      <c r="Q148" s="31"/>
      <c r="R148" s="8" t="str">
        <f t="shared" si="16"/>
        <v/>
      </c>
      <c r="S148" s="8" t="str">
        <f t="shared" si="17"/>
        <v/>
      </c>
      <c r="T148" s="8">
        <f>IF(S148="",0,IF(SUMPRODUCT(--(S$4:S148=S148))&gt;1,1,0))</f>
        <v>0</v>
      </c>
    </row>
    <row r="149" spans="1:20" x14ac:dyDescent="0.25">
      <c r="A149" s="8">
        <v>146</v>
      </c>
      <c r="B149" s="9"/>
      <c r="C149" s="33" t="str">
        <f t="shared" si="12"/>
        <v/>
      </c>
      <c r="D149" s="31"/>
      <c r="E149" s="31"/>
      <c r="F149" s="31"/>
      <c r="G149" s="31"/>
      <c r="H149" s="11"/>
      <c r="I149" s="11"/>
      <c r="J149" s="9"/>
      <c r="K149" s="11"/>
      <c r="L149" s="9"/>
      <c r="M149" s="12" t="str">
        <f t="shared" si="13"/>
        <v/>
      </c>
      <c r="N149" s="12" t="str">
        <f t="shared" si="14"/>
        <v/>
      </c>
      <c r="O149" s="8" t="str">
        <f t="shared" si="15"/>
        <v/>
      </c>
      <c r="P149" s="9"/>
      <c r="Q149" s="31"/>
      <c r="R149" s="8" t="str">
        <f t="shared" si="16"/>
        <v/>
      </c>
      <c r="S149" s="8" t="str">
        <f t="shared" si="17"/>
        <v/>
      </c>
      <c r="T149" s="8">
        <f>IF(S149="",0,IF(SUMPRODUCT(--(S$4:S149=S149))&gt;1,1,0))</f>
        <v>0</v>
      </c>
    </row>
    <row r="150" spans="1:20" x14ac:dyDescent="0.25">
      <c r="A150" s="8">
        <v>147</v>
      </c>
      <c r="B150" s="9"/>
      <c r="C150" s="33" t="str">
        <f t="shared" si="12"/>
        <v/>
      </c>
      <c r="D150" s="31"/>
      <c r="E150" s="31"/>
      <c r="F150" s="31"/>
      <c r="G150" s="31"/>
      <c r="H150" s="11"/>
      <c r="I150" s="11"/>
      <c r="J150" s="9"/>
      <c r="K150" s="11"/>
      <c r="L150" s="9"/>
      <c r="M150" s="12" t="str">
        <f t="shared" si="13"/>
        <v/>
      </c>
      <c r="N150" s="12" t="str">
        <f t="shared" si="14"/>
        <v/>
      </c>
      <c r="O150" s="8" t="str">
        <f t="shared" si="15"/>
        <v/>
      </c>
      <c r="P150" s="9"/>
      <c r="Q150" s="31"/>
      <c r="R150" s="8" t="str">
        <f t="shared" si="16"/>
        <v/>
      </c>
      <c r="S150" s="8" t="str">
        <f t="shared" si="17"/>
        <v/>
      </c>
      <c r="T150" s="8">
        <f>IF(S150="",0,IF(SUMPRODUCT(--(S$4:S150=S150))&gt;1,1,0))</f>
        <v>0</v>
      </c>
    </row>
    <row r="151" spans="1:20" x14ac:dyDescent="0.25">
      <c r="A151" s="8">
        <v>148</v>
      </c>
      <c r="B151" s="9"/>
      <c r="C151" s="33" t="str">
        <f t="shared" si="12"/>
        <v/>
      </c>
      <c r="D151" s="31"/>
      <c r="E151" s="31"/>
      <c r="F151" s="31"/>
      <c r="G151" s="31"/>
      <c r="H151" s="11"/>
      <c r="I151" s="11"/>
      <c r="J151" s="9"/>
      <c r="K151" s="11"/>
      <c r="L151" s="9"/>
      <c r="M151" s="12" t="str">
        <f t="shared" si="13"/>
        <v/>
      </c>
      <c r="N151" s="12" t="str">
        <f t="shared" si="14"/>
        <v/>
      </c>
      <c r="O151" s="8" t="str">
        <f t="shared" si="15"/>
        <v/>
      </c>
      <c r="P151" s="9"/>
      <c r="Q151" s="31"/>
      <c r="R151" s="8" t="str">
        <f t="shared" si="16"/>
        <v/>
      </c>
      <c r="S151" s="8" t="str">
        <f t="shared" si="17"/>
        <v/>
      </c>
      <c r="T151" s="8">
        <f>IF(S151="",0,IF(SUMPRODUCT(--(S$4:S151=S151))&gt;1,1,0))</f>
        <v>0</v>
      </c>
    </row>
    <row r="152" spans="1:20" x14ac:dyDescent="0.25">
      <c r="A152" s="8">
        <v>149</v>
      </c>
      <c r="B152" s="9"/>
      <c r="C152" s="33" t="str">
        <f t="shared" si="12"/>
        <v/>
      </c>
      <c r="D152" s="31"/>
      <c r="E152" s="31"/>
      <c r="F152" s="31"/>
      <c r="G152" s="31"/>
      <c r="H152" s="11"/>
      <c r="I152" s="11"/>
      <c r="J152" s="9"/>
      <c r="K152" s="11"/>
      <c r="L152" s="9"/>
      <c r="M152" s="12" t="str">
        <f t="shared" si="13"/>
        <v/>
      </c>
      <c r="N152" s="12" t="str">
        <f t="shared" si="14"/>
        <v/>
      </c>
      <c r="O152" s="8" t="str">
        <f t="shared" si="15"/>
        <v/>
      </c>
      <c r="P152" s="9"/>
      <c r="Q152" s="31"/>
      <c r="R152" s="8" t="str">
        <f t="shared" si="16"/>
        <v/>
      </c>
      <c r="S152" s="8" t="str">
        <f t="shared" si="17"/>
        <v/>
      </c>
      <c r="T152" s="8">
        <f>IF(S152="",0,IF(SUMPRODUCT(--(S$4:S152=S152))&gt;1,1,0))</f>
        <v>0</v>
      </c>
    </row>
    <row r="153" spans="1:20" x14ac:dyDescent="0.25">
      <c r="A153" s="8">
        <v>150</v>
      </c>
      <c r="B153" s="9"/>
      <c r="C153" s="33" t="str">
        <f t="shared" si="12"/>
        <v/>
      </c>
      <c r="D153" s="31"/>
      <c r="E153" s="31"/>
      <c r="F153" s="31"/>
      <c r="G153" s="31"/>
      <c r="H153" s="11"/>
      <c r="I153" s="11"/>
      <c r="J153" s="9"/>
      <c r="K153" s="11"/>
      <c r="L153" s="9"/>
      <c r="M153" s="12" t="str">
        <f t="shared" si="13"/>
        <v/>
      </c>
      <c r="N153" s="12" t="str">
        <f t="shared" si="14"/>
        <v/>
      </c>
      <c r="O153" s="8" t="str">
        <f t="shared" si="15"/>
        <v/>
      </c>
      <c r="P153" s="9"/>
      <c r="Q153" s="31"/>
      <c r="R153" s="8" t="str">
        <f t="shared" si="16"/>
        <v/>
      </c>
      <c r="S153" s="8" t="str">
        <f t="shared" si="17"/>
        <v/>
      </c>
      <c r="T153" s="8">
        <f>IF(S153="",0,IF(SUMPRODUCT(--(S$4:S153=S153))&gt;1,1,0))</f>
        <v>0</v>
      </c>
    </row>
    <row r="154" spans="1:20" x14ac:dyDescent="0.25">
      <c r="A154" s="8">
        <v>151</v>
      </c>
      <c r="B154" s="9"/>
      <c r="C154" s="33" t="str">
        <f t="shared" si="12"/>
        <v/>
      </c>
      <c r="D154" s="31"/>
      <c r="E154" s="31"/>
      <c r="F154" s="31"/>
      <c r="G154" s="31"/>
      <c r="H154" s="11"/>
      <c r="I154" s="11"/>
      <c r="J154" s="9"/>
      <c r="K154" s="11"/>
      <c r="L154" s="9"/>
      <c r="M154" s="12" t="str">
        <f t="shared" si="13"/>
        <v/>
      </c>
      <c r="N154" s="12" t="str">
        <f t="shared" si="14"/>
        <v/>
      </c>
      <c r="O154" s="8" t="str">
        <f t="shared" si="15"/>
        <v/>
      </c>
      <c r="P154" s="9"/>
      <c r="Q154" s="31"/>
      <c r="R154" s="8" t="str">
        <f t="shared" si="16"/>
        <v/>
      </c>
      <c r="S154" s="8" t="str">
        <f t="shared" si="17"/>
        <v/>
      </c>
      <c r="T154" s="8">
        <f>IF(S154="",0,IF(SUMPRODUCT(--(S$4:S154=S154))&gt;1,1,0))</f>
        <v>0</v>
      </c>
    </row>
    <row r="155" spans="1:20" x14ac:dyDescent="0.25">
      <c r="A155" s="8">
        <v>152</v>
      </c>
      <c r="B155" s="9"/>
      <c r="C155" s="33" t="str">
        <f t="shared" si="12"/>
        <v/>
      </c>
      <c r="D155" s="31"/>
      <c r="E155" s="31"/>
      <c r="F155" s="31"/>
      <c r="G155" s="31"/>
      <c r="H155" s="11"/>
      <c r="I155" s="11"/>
      <c r="J155" s="9"/>
      <c r="K155" s="11"/>
      <c r="L155" s="9"/>
      <c r="M155" s="12" t="str">
        <f t="shared" si="13"/>
        <v/>
      </c>
      <c r="N155" s="12" t="str">
        <f t="shared" si="14"/>
        <v/>
      </c>
      <c r="O155" s="8" t="str">
        <f t="shared" si="15"/>
        <v/>
      </c>
      <c r="P155" s="9"/>
      <c r="Q155" s="31"/>
      <c r="R155" s="8" t="str">
        <f t="shared" si="16"/>
        <v/>
      </c>
      <c r="S155" s="8" t="str">
        <f t="shared" si="17"/>
        <v/>
      </c>
      <c r="T155" s="8">
        <f>IF(S155="",0,IF(SUMPRODUCT(--(S$4:S155=S155))&gt;1,1,0))</f>
        <v>0</v>
      </c>
    </row>
    <row r="156" spans="1:20" x14ac:dyDescent="0.25">
      <c r="A156" s="8">
        <v>153</v>
      </c>
      <c r="B156" s="9"/>
      <c r="C156" s="33" t="str">
        <f t="shared" si="12"/>
        <v/>
      </c>
      <c r="D156" s="31"/>
      <c r="E156" s="31"/>
      <c r="F156" s="31"/>
      <c r="G156" s="31"/>
      <c r="H156" s="11"/>
      <c r="I156" s="11"/>
      <c r="J156" s="9"/>
      <c r="K156" s="11"/>
      <c r="L156" s="9"/>
      <c r="M156" s="12" t="str">
        <f t="shared" si="13"/>
        <v/>
      </c>
      <c r="N156" s="12" t="str">
        <f t="shared" si="14"/>
        <v/>
      </c>
      <c r="O156" s="8" t="str">
        <f t="shared" si="15"/>
        <v/>
      </c>
      <c r="P156" s="9"/>
      <c r="Q156" s="31"/>
      <c r="R156" s="8" t="str">
        <f t="shared" si="16"/>
        <v/>
      </c>
      <c r="S156" s="8" t="str">
        <f t="shared" si="17"/>
        <v/>
      </c>
      <c r="T156" s="8">
        <f>IF(S156="",0,IF(SUMPRODUCT(--(S$4:S156=S156))&gt;1,1,0))</f>
        <v>0</v>
      </c>
    </row>
    <row r="157" spans="1:20" x14ac:dyDescent="0.25">
      <c r="A157" s="8">
        <v>154</v>
      </c>
      <c r="B157" s="9"/>
      <c r="C157" s="33" t="str">
        <f t="shared" si="12"/>
        <v/>
      </c>
      <c r="D157" s="31"/>
      <c r="E157" s="31"/>
      <c r="F157" s="31"/>
      <c r="G157" s="31"/>
      <c r="H157" s="11"/>
      <c r="I157" s="11"/>
      <c r="J157" s="9"/>
      <c r="K157" s="11"/>
      <c r="L157" s="9"/>
      <c r="M157" s="12" t="str">
        <f t="shared" si="13"/>
        <v/>
      </c>
      <c r="N157" s="12" t="str">
        <f t="shared" si="14"/>
        <v/>
      </c>
      <c r="O157" s="8" t="str">
        <f t="shared" si="15"/>
        <v/>
      </c>
      <c r="P157" s="9"/>
      <c r="Q157" s="31"/>
      <c r="R157" s="8" t="str">
        <f t="shared" si="16"/>
        <v/>
      </c>
      <c r="S157" s="8" t="str">
        <f t="shared" si="17"/>
        <v/>
      </c>
      <c r="T157" s="8">
        <f>IF(S157="",0,IF(SUMPRODUCT(--(S$4:S157=S157))&gt;1,1,0))</f>
        <v>0</v>
      </c>
    </row>
    <row r="158" spans="1:20" x14ac:dyDescent="0.25">
      <c r="A158" s="8">
        <v>155</v>
      </c>
      <c r="B158" s="9"/>
      <c r="C158" s="33" t="str">
        <f t="shared" si="12"/>
        <v/>
      </c>
      <c r="D158" s="31"/>
      <c r="E158" s="31"/>
      <c r="F158" s="31"/>
      <c r="G158" s="31"/>
      <c r="H158" s="11"/>
      <c r="I158" s="11"/>
      <c r="J158" s="9"/>
      <c r="K158" s="11"/>
      <c r="L158" s="9"/>
      <c r="M158" s="12" t="str">
        <f t="shared" si="13"/>
        <v/>
      </c>
      <c r="N158" s="12" t="str">
        <f t="shared" si="14"/>
        <v/>
      </c>
      <c r="O158" s="8" t="str">
        <f t="shared" si="15"/>
        <v/>
      </c>
      <c r="P158" s="9"/>
      <c r="Q158" s="31"/>
      <c r="R158" s="8" t="str">
        <f t="shared" si="16"/>
        <v/>
      </c>
      <c r="S158" s="8" t="str">
        <f t="shared" si="17"/>
        <v/>
      </c>
      <c r="T158" s="8">
        <f>IF(S158="",0,IF(SUMPRODUCT(--(S$4:S158=S158))&gt;1,1,0))</f>
        <v>0</v>
      </c>
    </row>
    <row r="159" spans="1:20" x14ac:dyDescent="0.25">
      <c r="A159" s="8">
        <v>156</v>
      </c>
      <c r="B159" s="9"/>
      <c r="C159" s="33" t="str">
        <f t="shared" si="12"/>
        <v/>
      </c>
      <c r="D159" s="31"/>
      <c r="E159" s="31"/>
      <c r="F159" s="31"/>
      <c r="G159" s="31"/>
      <c r="H159" s="11"/>
      <c r="I159" s="11"/>
      <c r="J159" s="9"/>
      <c r="K159" s="11"/>
      <c r="L159" s="9"/>
      <c r="M159" s="12" t="str">
        <f t="shared" si="13"/>
        <v/>
      </c>
      <c r="N159" s="12" t="str">
        <f t="shared" si="14"/>
        <v/>
      </c>
      <c r="O159" s="8" t="str">
        <f t="shared" si="15"/>
        <v/>
      </c>
      <c r="P159" s="9"/>
      <c r="Q159" s="31"/>
      <c r="R159" s="8" t="str">
        <f t="shared" si="16"/>
        <v/>
      </c>
      <c r="S159" s="8" t="str">
        <f t="shared" si="17"/>
        <v/>
      </c>
      <c r="T159" s="8">
        <f>IF(S159="",0,IF(SUMPRODUCT(--(S$4:S159=S159))&gt;1,1,0))</f>
        <v>0</v>
      </c>
    </row>
    <row r="160" spans="1:20" x14ac:dyDescent="0.25">
      <c r="A160" s="8">
        <v>157</v>
      </c>
      <c r="B160" s="9"/>
      <c r="C160" s="33" t="str">
        <f t="shared" si="12"/>
        <v/>
      </c>
      <c r="D160" s="31"/>
      <c r="E160" s="31"/>
      <c r="F160" s="31"/>
      <c r="G160" s="31"/>
      <c r="H160" s="11"/>
      <c r="I160" s="11"/>
      <c r="J160" s="9"/>
      <c r="K160" s="11"/>
      <c r="L160" s="9"/>
      <c r="M160" s="12" t="str">
        <f t="shared" si="13"/>
        <v/>
      </c>
      <c r="N160" s="12" t="str">
        <f t="shared" si="14"/>
        <v/>
      </c>
      <c r="O160" s="8" t="str">
        <f t="shared" si="15"/>
        <v/>
      </c>
      <c r="P160" s="9"/>
      <c r="Q160" s="31"/>
      <c r="R160" s="8" t="str">
        <f t="shared" si="16"/>
        <v/>
      </c>
      <c r="S160" s="8" t="str">
        <f t="shared" si="17"/>
        <v/>
      </c>
      <c r="T160" s="8">
        <f>IF(S160="",0,IF(SUMPRODUCT(--(S$4:S160=S160))&gt;1,1,0))</f>
        <v>0</v>
      </c>
    </row>
    <row r="161" spans="1:20" x14ac:dyDescent="0.25">
      <c r="A161" s="8">
        <v>158</v>
      </c>
      <c r="B161" s="9"/>
      <c r="C161" s="33" t="str">
        <f t="shared" si="12"/>
        <v/>
      </c>
      <c r="D161" s="31"/>
      <c r="E161" s="31"/>
      <c r="F161" s="31"/>
      <c r="G161" s="31"/>
      <c r="H161" s="11"/>
      <c r="I161" s="11"/>
      <c r="J161" s="9"/>
      <c r="K161" s="11"/>
      <c r="L161" s="9"/>
      <c r="M161" s="12" t="str">
        <f t="shared" si="13"/>
        <v/>
      </c>
      <c r="N161" s="12" t="str">
        <f t="shared" si="14"/>
        <v/>
      </c>
      <c r="O161" s="8" t="str">
        <f t="shared" si="15"/>
        <v/>
      </c>
      <c r="P161" s="9"/>
      <c r="Q161" s="31"/>
      <c r="R161" s="8" t="str">
        <f t="shared" si="16"/>
        <v/>
      </c>
      <c r="S161" s="8" t="str">
        <f t="shared" si="17"/>
        <v/>
      </c>
      <c r="T161" s="8">
        <f>IF(S161="",0,IF(SUMPRODUCT(--(S$4:S161=S161))&gt;1,1,0))</f>
        <v>0</v>
      </c>
    </row>
    <row r="162" spans="1:20" x14ac:dyDescent="0.25">
      <c r="A162" s="8">
        <v>159</v>
      </c>
      <c r="B162" s="9"/>
      <c r="C162" s="33" t="str">
        <f t="shared" si="12"/>
        <v/>
      </c>
      <c r="D162" s="31"/>
      <c r="E162" s="31"/>
      <c r="F162" s="31"/>
      <c r="G162" s="31"/>
      <c r="H162" s="11"/>
      <c r="I162" s="11"/>
      <c r="J162" s="9"/>
      <c r="K162" s="11"/>
      <c r="L162" s="9"/>
      <c r="M162" s="12" t="str">
        <f t="shared" si="13"/>
        <v/>
      </c>
      <c r="N162" s="12" t="str">
        <f t="shared" si="14"/>
        <v/>
      </c>
      <c r="O162" s="8" t="str">
        <f t="shared" si="15"/>
        <v/>
      </c>
      <c r="P162" s="9"/>
      <c r="Q162" s="31"/>
      <c r="R162" s="8" t="str">
        <f t="shared" si="16"/>
        <v/>
      </c>
      <c r="S162" s="8" t="str">
        <f t="shared" si="17"/>
        <v/>
      </c>
      <c r="T162" s="8">
        <f>IF(S162="",0,IF(SUMPRODUCT(--(S$4:S162=S162))&gt;1,1,0))</f>
        <v>0</v>
      </c>
    </row>
    <row r="163" spans="1:20" x14ac:dyDescent="0.25">
      <c r="A163" s="8">
        <v>160</v>
      </c>
      <c r="B163" s="9"/>
      <c r="C163" s="33" t="str">
        <f t="shared" si="12"/>
        <v/>
      </c>
      <c r="D163" s="31"/>
      <c r="E163" s="31"/>
      <c r="F163" s="31"/>
      <c r="G163" s="31"/>
      <c r="H163" s="11"/>
      <c r="I163" s="11"/>
      <c r="J163" s="9"/>
      <c r="K163" s="11"/>
      <c r="L163" s="9"/>
      <c r="M163" s="12" t="str">
        <f t="shared" si="13"/>
        <v/>
      </c>
      <c r="N163" s="12" t="str">
        <f t="shared" si="14"/>
        <v/>
      </c>
      <c r="O163" s="8" t="str">
        <f t="shared" si="15"/>
        <v/>
      </c>
      <c r="P163" s="9"/>
      <c r="Q163" s="31"/>
      <c r="R163" s="8" t="str">
        <f t="shared" si="16"/>
        <v/>
      </c>
      <c r="S163" s="8" t="str">
        <f t="shared" si="17"/>
        <v/>
      </c>
      <c r="T163" s="8">
        <f>IF(S163="",0,IF(SUMPRODUCT(--(S$4:S163=S163))&gt;1,1,0))</f>
        <v>0</v>
      </c>
    </row>
    <row r="164" spans="1:20" x14ac:dyDescent="0.25">
      <c r="A164" s="8">
        <v>161</v>
      </c>
      <c r="B164" s="9"/>
      <c r="C164" s="33" t="str">
        <f t="shared" si="12"/>
        <v/>
      </c>
      <c r="D164" s="31"/>
      <c r="E164" s="31"/>
      <c r="F164" s="31"/>
      <c r="G164" s="31"/>
      <c r="H164" s="11"/>
      <c r="I164" s="11"/>
      <c r="J164" s="9"/>
      <c r="K164" s="11"/>
      <c r="L164" s="9"/>
      <c r="M164" s="12" t="str">
        <f t="shared" si="13"/>
        <v/>
      </c>
      <c r="N164" s="12" t="str">
        <f t="shared" si="14"/>
        <v/>
      </c>
      <c r="O164" s="8" t="str">
        <f t="shared" si="15"/>
        <v/>
      </c>
      <c r="P164" s="9"/>
      <c r="Q164" s="31"/>
      <c r="R164" s="8" t="str">
        <f t="shared" si="16"/>
        <v/>
      </c>
      <c r="S164" s="8" t="str">
        <f t="shared" si="17"/>
        <v/>
      </c>
      <c r="T164" s="8">
        <f>IF(S164="",0,IF(SUMPRODUCT(--(S$4:S164=S164))&gt;1,1,0))</f>
        <v>0</v>
      </c>
    </row>
    <row r="165" spans="1:20" x14ac:dyDescent="0.25">
      <c r="A165" s="8">
        <v>162</v>
      </c>
      <c r="B165" s="9"/>
      <c r="C165" s="33" t="str">
        <f t="shared" si="12"/>
        <v/>
      </c>
      <c r="D165" s="31"/>
      <c r="E165" s="31"/>
      <c r="F165" s="31"/>
      <c r="G165" s="31"/>
      <c r="H165" s="11"/>
      <c r="I165" s="11"/>
      <c r="J165" s="9"/>
      <c r="K165" s="11"/>
      <c r="L165" s="9"/>
      <c r="M165" s="12" t="str">
        <f t="shared" si="13"/>
        <v/>
      </c>
      <c r="N165" s="12" t="str">
        <f t="shared" si="14"/>
        <v/>
      </c>
      <c r="O165" s="8" t="str">
        <f t="shared" si="15"/>
        <v/>
      </c>
      <c r="P165" s="9"/>
      <c r="Q165" s="31"/>
      <c r="R165" s="8" t="str">
        <f t="shared" si="16"/>
        <v/>
      </c>
      <c r="S165" s="8" t="str">
        <f t="shared" si="17"/>
        <v/>
      </c>
      <c r="T165" s="8">
        <f>IF(S165="",0,IF(SUMPRODUCT(--(S$4:S165=S165))&gt;1,1,0))</f>
        <v>0</v>
      </c>
    </row>
    <row r="166" spans="1:20" x14ac:dyDescent="0.25">
      <c r="A166" s="8">
        <v>163</v>
      </c>
      <c r="B166" s="9"/>
      <c r="C166" s="33" t="str">
        <f t="shared" si="12"/>
        <v/>
      </c>
      <c r="D166" s="31"/>
      <c r="E166" s="31"/>
      <c r="F166" s="31"/>
      <c r="G166" s="31"/>
      <c r="H166" s="11"/>
      <c r="I166" s="11"/>
      <c r="J166" s="9"/>
      <c r="K166" s="11"/>
      <c r="L166" s="9"/>
      <c r="M166" s="12" t="str">
        <f t="shared" si="13"/>
        <v/>
      </c>
      <c r="N166" s="12" t="str">
        <f t="shared" si="14"/>
        <v/>
      </c>
      <c r="O166" s="8" t="str">
        <f t="shared" si="15"/>
        <v/>
      </c>
      <c r="P166" s="9"/>
      <c r="Q166" s="31"/>
      <c r="R166" s="8" t="str">
        <f t="shared" si="16"/>
        <v/>
      </c>
      <c r="S166" s="8" t="str">
        <f t="shared" si="17"/>
        <v/>
      </c>
      <c r="T166" s="8">
        <f>IF(S166="",0,IF(SUMPRODUCT(--(S$4:S166=S166))&gt;1,1,0))</f>
        <v>0</v>
      </c>
    </row>
    <row r="167" spans="1:20" x14ac:dyDescent="0.25">
      <c r="A167" s="8">
        <v>164</v>
      </c>
      <c r="B167" s="9"/>
      <c r="C167" s="33" t="str">
        <f t="shared" si="12"/>
        <v/>
      </c>
      <c r="D167" s="31"/>
      <c r="E167" s="31"/>
      <c r="F167" s="31"/>
      <c r="G167" s="31"/>
      <c r="H167" s="11"/>
      <c r="I167" s="11"/>
      <c r="J167" s="9"/>
      <c r="K167" s="11"/>
      <c r="L167" s="9"/>
      <c r="M167" s="12" t="str">
        <f t="shared" si="13"/>
        <v/>
      </c>
      <c r="N167" s="12" t="str">
        <f t="shared" si="14"/>
        <v/>
      </c>
      <c r="O167" s="8" t="str">
        <f t="shared" si="15"/>
        <v/>
      </c>
      <c r="P167" s="9"/>
      <c r="Q167" s="31"/>
      <c r="R167" s="8" t="str">
        <f t="shared" si="16"/>
        <v/>
      </c>
      <c r="S167" s="8" t="str">
        <f t="shared" si="17"/>
        <v/>
      </c>
      <c r="T167" s="8">
        <f>IF(S167="",0,IF(SUMPRODUCT(--(S$4:S167=S167))&gt;1,1,0))</f>
        <v>0</v>
      </c>
    </row>
    <row r="168" spans="1:20" x14ac:dyDescent="0.25">
      <c r="A168" s="8">
        <v>165</v>
      </c>
      <c r="B168" s="9"/>
      <c r="C168" s="33" t="str">
        <f t="shared" si="12"/>
        <v/>
      </c>
      <c r="D168" s="31"/>
      <c r="E168" s="31"/>
      <c r="F168" s="31"/>
      <c r="G168" s="31"/>
      <c r="H168" s="11"/>
      <c r="I168" s="11"/>
      <c r="J168" s="9"/>
      <c r="K168" s="11"/>
      <c r="L168" s="9"/>
      <c r="M168" s="12" t="str">
        <f t="shared" si="13"/>
        <v/>
      </c>
      <c r="N168" s="12" t="str">
        <f t="shared" si="14"/>
        <v/>
      </c>
      <c r="O168" s="8" t="str">
        <f t="shared" si="15"/>
        <v/>
      </c>
      <c r="P168" s="9"/>
      <c r="Q168" s="31"/>
      <c r="R168" s="8" t="str">
        <f t="shared" si="16"/>
        <v/>
      </c>
      <c r="S168" s="8" t="str">
        <f t="shared" si="17"/>
        <v/>
      </c>
      <c r="T168" s="8">
        <f>IF(S168="",0,IF(SUMPRODUCT(--(S$4:S168=S168))&gt;1,1,0))</f>
        <v>0</v>
      </c>
    </row>
    <row r="169" spans="1:20" x14ac:dyDescent="0.25">
      <c r="A169" s="8">
        <v>166</v>
      </c>
      <c r="B169" s="9"/>
      <c r="C169" s="33" t="str">
        <f t="shared" si="12"/>
        <v/>
      </c>
      <c r="D169" s="31"/>
      <c r="E169" s="31"/>
      <c r="F169" s="31"/>
      <c r="G169" s="31"/>
      <c r="H169" s="11"/>
      <c r="I169" s="11"/>
      <c r="J169" s="9"/>
      <c r="K169" s="11"/>
      <c r="L169" s="9"/>
      <c r="M169" s="12" t="str">
        <f t="shared" si="13"/>
        <v/>
      </c>
      <c r="N169" s="12" t="str">
        <f t="shared" si="14"/>
        <v/>
      </c>
      <c r="O169" s="8" t="str">
        <f t="shared" si="15"/>
        <v/>
      </c>
      <c r="P169" s="9"/>
      <c r="Q169" s="31"/>
      <c r="R169" s="8" t="str">
        <f t="shared" si="16"/>
        <v/>
      </c>
      <c r="S169" s="8" t="str">
        <f t="shared" si="17"/>
        <v/>
      </c>
      <c r="T169" s="8">
        <f>IF(S169="",0,IF(SUMPRODUCT(--(S$4:S169=S169))&gt;1,1,0))</f>
        <v>0</v>
      </c>
    </row>
    <row r="170" spans="1:20" x14ac:dyDescent="0.25">
      <c r="A170" s="8">
        <v>167</v>
      </c>
      <c r="B170" s="9"/>
      <c r="C170" s="33" t="str">
        <f t="shared" si="12"/>
        <v/>
      </c>
      <c r="D170" s="31"/>
      <c r="E170" s="31"/>
      <c r="F170" s="31"/>
      <c r="G170" s="31"/>
      <c r="H170" s="11"/>
      <c r="I170" s="11"/>
      <c r="J170" s="9"/>
      <c r="K170" s="11"/>
      <c r="L170" s="9"/>
      <c r="M170" s="12" t="str">
        <f t="shared" si="13"/>
        <v/>
      </c>
      <c r="N170" s="12" t="str">
        <f t="shared" si="14"/>
        <v/>
      </c>
      <c r="O170" s="8" t="str">
        <f t="shared" si="15"/>
        <v/>
      </c>
      <c r="P170" s="9"/>
      <c r="Q170" s="31"/>
      <c r="R170" s="8" t="str">
        <f t="shared" si="16"/>
        <v/>
      </c>
      <c r="S170" s="8" t="str">
        <f t="shared" si="17"/>
        <v/>
      </c>
      <c r="T170" s="8">
        <f>IF(S170="",0,IF(SUMPRODUCT(--(S$4:S170=S170))&gt;1,1,0))</f>
        <v>0</v>
      </c>
    </row>
    <row r="171" spans="1:20" x14ac:dyDescent="0.25">
      <c r="A171" s="8">
        <v>168</v>
      </c>
      <c r="B171" s="9"/>
      <c r="C171" s="33" t="str">
        <f t="shared" si="12"/>
        <v/>
      </c>
      <c r="D171" s="31"/>
      <c r="E171" s="31"/>
      <c r="F171" s="31"/>
      <c r="G171" s="31"/>
      <c r="H171" s="11"/>
      <c r="I171" s="11"/>
      <c r="J171" s="9"/>
      <c r="K171" s="11"/>
      <c r="L171" s="9"/>
      <c r="M171" s="12" t="str">
        <f t="shared" si="13"/>
        <v/>
      </c>
      <c r="N171" s="12" t="str">
        <f t="shared" si="14"/>
        <v/>
      </c>
      <c r="O171" s="8" t="str">
        <f t="shared" si="15"/>
        <v/>
      </c>
      <c r="P171" s="9"/>
      <c r="Q171" s="31"/>
      <c r="R171" s="8" t="str">
        <f t="shared" si="16"/>
        <v/>
      </c>
      <c r="S171" s="8" t="str">
        <f t="shared" si="17"/>
        <v/>
      </c>
      <c r="T171" s="8">
        <f>IF(S171="",0,IF(SUMPRODUCT(--(S$4:S171=S171))&gt;1,1,0))</f>
        <v>0</v>
      </c>
    </row>
    <row r="172" spans="1:20" x14ac:dyDescent="0.25">
      <c r="A172" s="8">
        <v>169</v>
      </c>
      <c r="B172" s="9"/>
      <c r="C172" s="33" t="str">
        <f t="shared" si="12"/>
        <v/>
      </c>
      <c r="D172" s="31"/>
      <c r="E172" s="31"/>
      <c r="F172" s="31"/>
      <c r="G172" s="31"/>
      <c r="H172" s="11"/>
      <c r="I172" s="11"/>
      <c r="J172" s="9"/>
      <c r="K172" s="11"/>
      <c r="L172" s="9"/>
      <c r="M172" s="12" t="str">
        <f t="shared" si="13"/>
        <v/>
      </c>
      <c r="N172" s="12" t="str">
        <f t="shared" si="14"/>
        <v/>
      </c>
      <c r="O172" s="8" t="str">
        <f t="shared" si="15"/>
        <v/>
      </c>
      <c r="P172" s="9"/>
      <c r="Q172" s="31"/>
      <c r="R172" s="8" t="str">
        <f t="shared" si="16"/>
        <v/>
      </c>
      <c r="S172" s="8" t="str">
        <f t="shared" si="17"/>
        <v/>
      </c>
      <c r="T172" s="8">
        <f>IF(S172="",0,IF(SUMPRODUCT(--(S$4:S172=S172))&gt;1,1,0))</f>
        <v>0</v>
      </c>
    </row>
    <row r="173" spans="1:20" x14ac:dyDescent="0.25">
      <c r="A173" s="8">
        <v>170</v>
      </c>
      <c r="B173" s="9"/>
      <c r="C173" s="33" t="str">
        <f t="shared" si="12"/>
        <v/>
      </c>
      <c r="D173" s="31"/>
      <c r="E173" s="31"/>
      <c r="F173" s="31"/>
      <c r="G173" s="31"/>
      <c r="H173" s="11"/>
      <c r="I173" s="11"/>
      <c r="J173" s="9"/>
      <c r="K173" s="11"/>
      <c r="L173" s="9"/>
      <c r="M173" s="12" t="str">
        <f t="shared" si="13"/>
        <v/>
      </c>
      <c r="N173" s="12" t="str">
        <f t="shared" si="14"/>
        <v/>
      </c>
      <c r="O173" s="8" t="str">
        <f t="shared" si="15"/>
        <v/>
      </c>
      <c r="P173" s="9"/>
      <c r="Q173" s="31"/>
      <c r="R173" s="8" t="str">
        <f t="shared" si="16"/>
        <v/>
      </c>
      <c r="S173" s="8" t="str">
        <f t="shared" si="17"/>
        <v/>
      </c>
      <c r="T173" s="8">
        <f>IF(S173="",0,IF(SUMPRODUCT(--(S$4:S173=S173))&gt;1,1,0))</f>
        <v>0</v>
      </c>
    </row>
    <row r="174" spans="1:20" x14ac:dyDescent="0.25">
      <c r="A174" s="8">
        <v>171</v>
      </c>
      <c r="B174" s="9"/>
      <c r="C174" s="33" t="str">
        <f t="shared" si="12"/>
        <v/>
      </c>
      <c r="D174" s="31"/>
      <c r="E174" s="31"/>
      <c r="F174" s="31"/>
      <c r="G174" s="31"/>
      <c r="H174" s="11"/>
      <c r="I174" s="11"/>
      <c r="J174" s="9"/>
      <c r="K174" s="11"/>
      <c r="L174" s="9"/>
      <c r="M174" s="12" t="str">
        <f t="shared" si="13"/>
        <v/>
      </c>
      <c r="N174" s="12" t="str">
        <f t="shared" si="14"/>
        <v/>
      </c>
      <c r="O174" s="8" t="str">
        <f t="shared" si="15"/>
        <v/>
      </c>
      <c r="P174" s="9"/>
      <c r="Q174" s="31"/>
      <c r="R174" s="8" t="str">
        <f t="shared" si="16"/>
        <v/>
      </c>
      <c r="S174" s="8" t="str">
        <f t="shared" si="17"/>
        <v/>
      </c>
      <c r="T174" s="8">
        <f>IF(S174="",0,IF(SUMPRODUCT(--(S$4:S174=S174))&gt;1,1,0))</f>
        <v>0</v>
      </c>
    </row>
    <row r="175" spans="1:20" x14ac:dyDescent="0.25">
      <c r="A175" s="8">
        <v>172</v>
      </c>
      <c r="B175" s="9"/>
      <c r="C175" s="33" t="str">
        <f t="shared" si="12"/>
        <v/>
      </c>
      <c r="D175" s="31"/>
      <c r="E175" s="31"/>
      <c r="F175" s="31"/>
      <c r="G175" s="31"/>
      <c r="H175" s="11"/>
      <c r="I175" s="11"/>
      <c r="J175" s="9"/>
      <c r="K175" s="11"/>
      <c r="L175" s="9"/>
      <c r="M175" s="12" t="str">
        <f t="shared" si="13"/>
        <v/>
      </c>
      <c r="N175" s="12" t="str">
        <f t="shared" si="14"/>
        <v/>
      </c>
      <c r="O175" s="8" t="str">
        <f t="shared" si="15"/>
        <v/>
      </c>
      <c r="P175" s="9"/>
      <c r="Q175" s="31"/>
      <c r="R175" s="8" t="str">
        <f t="shared" si="16"/>
        <v/>
      </c>
      <c r="S175" s="8" t="str">
        <f t="shared" si="17"/>
        <v/>
      </c>
      <c r="T175" s="8">
        <f>IF(S175="",0,IF(SUMPRODUCT(--(S$4:S175=S175))&gt;1,1,0))</f>
        <v>0</v>
      </c>
    </row>
    <row r="176" spans="1:20" x14ac:dyDescent="0.25">
      <c r="A176" s="8">
        <v>173</v>
      </c>
      <c r="B176" s="9"/>
      <c r="C176" s="33" t="str">
        <f t="shared" si="12"/>
        <v/>
      </c>
      <c r="D176" s="31"/>
      <c r="E176" s="31"/>
      <c r="F176" s="31"/>
      <c r="G176" s="31"/>
      <c r="H176" s="11"/>
      <c r="I176" s="11"/>
      <c r="J176" s="9"/>
      <c r="K176" s="11"/>
      <c r="L176" s="9"/>
      <c r="M176" s="12" t="str">
        <f t="shared" si="13"/>
        <v/>
      </c>
      <c r="N176" s="12" t="str">
        <f t="shared" si="14"/>
        <v/>
      </c>
      <c r="O176" s="8" t="str">
        <f t="shared" si="15"/>
        <v/>
      </c>
      <c r="P176" s="9"/>
      <c r="Q176" s="31"/>
      <c r="R176" s="8" t="str">
        <f t="shared" si="16"/>
        <v/>
      </c>
      <c r="S176" s="8" t="str">
        <f t="shared" si="17"/>
        <v/>
      </c>
      <c r="T176" s="8">
        <f>IF(S176="",0,IF(SUMPRODUCT(--(S$4:S176=S176))&gt;1,1,0))</f>
        <v>0</v>
      </c>
    </row>
    <row r="177" spans="1:20" x14ac:dyDescent="0.25">
      <c r="A177" s="8">
        <v>174</v>
      </c>
      <c r="B177" s="9"/>
      <c r="C177" s="33" t="str">
        <f t="shared" si="12"/>
        <v/>
      </c>
      <c r="D177" s="31"/>
      <c r="E177" s="31"/>
      <c r="F177" s="31"/>
      <c r="G177" s="31"/>
      <c r="H177" s="11"/>
      <c r="I177" s="11"/>
      <c r="J177" s="9"/>
      <c r="K177" s="11"/>
      <c r="L177" s="9"/>
      <c r="M177" s="12" t="str">
        <f t="shared" si="13"/>
        <v/>
      </c>
      <c r="N177" s="12" t="str">
        <f t="shared" si="14"/>
        <v/>
      </c>
      <c r="O177" s="8" t="str">
        <f t="shared" si="15"/>
        <v/>
      </c>
      <c r="P177" s="9"/>
      <c r="Q177" s="31"/>
      <c r="R177" s="8" t="str">
        <f t="shared" si="16"/>
        <v/>
      </c>
      <c r="S177" s="8" t="str">
        <f t="shared" si="17"/>
        <v/>
      </c>
      <c r="T177" s="8">
        <f>IF(S177="",0,IF(SUMPRODUCT(--(S$4:S177=S177))&gt;1,1,0))</f>
        <v>0</v>
      </c>
    </row>
    <row r="178" spans="1:20" x14ac:dyDescent="0.25">
      <c r="A178" s="8">
        <v>175</v>
      </c>
      <c r="B178" s="9"/>
      <c r="C178" s="33" t="str">
        <f t="shared" si="12"/>
        <v/>
      </c>
      <c r="D178" s="31"/>
      <c r="E178" s="31"/>
      <c r="F178" s="31"/>
      <c r="G178" s="31"/>
      <c r="H178" s="11"/>
      <c r="I178" s="11"/>
      <c r="J178" s="9"/>
      <c r="K178" s="11"/>
      <c r="L178" s="9"/>
      <c r="M178" s="12" t="str">
        <f t="shared" si="13"/>
        <v/>
      </c>
      <c r="N178" s="12" t="str">
        <f t="shared" si="14"/>
        <v/>
      </c>
      <c r="O178" s="8" t="str">
        <f t="shared" si="15"/>
        <v/>
      </c>
      <c r="P178" s="9"/>
      <c r="Q178" s="31"/>
      <c r="R178" s="8" t="str">
        <f t="shared" si="16"/>
        <v/>
      </c>
      <c r="S178" s="8" t="str">
        <f t="shared" si="17"/>
        <v/>
      </c>
      <c r="T178" s="8">
        <f>IF(S178="",0,IF(SUMPRODUCT(--(S$4:S178=S178))&gt;1,1,0))</f>
        <v>0</v>
      </c>
    </row>
    <row r="179" spans="1:20" x14ac:dyDescent="0.25">
      <c r="A179" s="8">
        <v>176</v>
      </c>
      <c r="B179" s="9"/>
      <c r="C179" s="33" t="str">
        <f t="shared" si="12"/>
        <v/>
      </c>
      <c r="D179" s="31"/>
      <c r="E179" s="31"/>
      <c r="F179" s="31"/>
      <c r="G179" s="31"/>
      <c r="H179" s="11"/>
      <c r="I179" s="11"/>
      <c r="J179" s="9"/>
      <c r="K179" s="11"/>
      <c r="L179" s="9"/>
      <c r="M179" s="12" t="str">
        <f t="shared" si="13"/>
        <v/>
      </c>
      <c r="N179" s="12" t="str">
        <f t="shared" si="14"/>
        <v/>
      </c>
      <c r="O179" s="8" t="str">
        <f t="shared" si="15"/>
        <v/>
      </c>
      <c r="P179" s="9"/>
      <c r="Q179" s="31"/>
      <c r="R179" s="8" t="str">
        <f t="shared" si="16"/>
        <v/>
      </c>
      <c r="S179" s="8" t="str">
        <f t="shared" si="17"/>
        <v/>
      </c>
      <c r="T179" s="8">
        <f>IF(S179="",0,IF(SUMPRODUCT(--(S$4:S179=S179))&gt;1,1,0))</f>
        <v>0</v>
      </c>
    </row>
    <row r="180" spans="1:20" x14ac:dyDescent="0.25">
      <c r="A180" s="8">
        <v>177</v>
      </c>
      <c r="B180" s="9"/>
      <c r="C180" s="33" t="str">
        <f t="shared" si="12"/>
        <v/>
      </c>
      <c r="D180" s="31"/>
      <c r="E180" s="31"/>
      <c r="F180" s="31"/>
      <c r="G180" s="31"/>
      <c r="H180" s="11"/>
      <c r="I180" s="11"/>
      <c r="J180" s="9"/>
      <c r="K180" s="11"/>
      <c r="L180" s="9"/>
      <c r="M180" s="12" t="str">
        <f t="shared" si="13"/>
        <v/>
      </c>
      <c r="N180" s="12" t="str">
        <f t="shared" si="14"/>
        <v/>
      </c>
      <c r="O180" s="8" t="str">
        <f t="shared" si="15"/>
        <v/>
      </c>
      <c r="P180" s="9"/>
      <c r="Q180" s="31"/>
      <c r="R180" s="8" t="str">
        <f t="shared" si="16"/>
        <v/>
      </c>
      <c r="S180" s="8" t="str">
        <f t="shared" si="17"/>
        <v/>
      </c>
      <c r="T180" s="8">
        <f>IF(S180="",0,IF(SUMPRODUCT(--(S$4:S180=S180))&gt;1,1,0))</f>
        <v>0</v>
      </c>
    </row>
    <row r="181" spans="1:20" x14ac:dyDescent="0.25">
      <c r="A181" s="8">
        <v>178</v>
      </c>
      <c r="B181" s="9"/>
      <c r="C181" s="33" t="str">
        <f t="shared" si="12"/>
        <v/>
      </c>
      <c r="D181" s="31"/>
      <c r="E181" s="31"/>
      <c r="F181" s="31"/>
      <c r="G181" s="31"/>
      <c r="H181" s="11"/>
      <c r="I181" s="11"/>
      <c r="J181" s="9"/>
      <c r="K181" s="11"/>
      <c r="L181" s="9"/>
      <c r="M181" s="12" t="str">
        <f t="shared" si="13"/>
        <v/>
      </c>
      <c r="N181" s="12" t="str">
        <f t="shared" si="14"/>
        <v/>
      </c>
      <c r="O181" s="8" t="str">
        <f t="shared" si="15"/>
        <v/>
      </c>
      <c r="P181" s="9"/>
      <c r="Q181" s="31"/>
      <c r="R181" s="8" t="str">
        <f t="shared" si="16"/>
        <v/>
      </c>
      <c r="S181" s="8" t="str">
        <f t="shared" si="17"/>
        <v/>
      </c>
      <c r="T181" s="8">
        <f>IF(S181="",0,IF(SUMPRODUCT(--(S$4:S181=S181))&gt;1,1,0))</f>
        <v>0</v>
      </c>
    </row>
    <row r="182" spans="1:20" x14ac:dyDescent="0.25">
      <c r="A182" s="8">
        <v>179</v>
      </c>
      <c r="B182" s="9"/>
      <c r="C182" s="33" t="str">
        <f t="shared" si="12"/>
        <v/>
      </c>
      <c r="D182" s="31"/>
      <c r="E182" s="31"/>
      <c r="F182" s="31"/>
      <c r="G182" s="31"/>
      <c r="H182" s="11"/>
      <c r="I182" s="11"/>
      <c r="J182" s="9"/>
      <c r="K182" s="11"/>
      <c r="L182" s="9"/>
      <c r="M182" s="12" t="str">
        <f t="shared" si="13"/>
        <v/>
      </c>
      <c r="N182" s="12" t="str">
        <f t="shared" si="14"/>
        <v/>
      </c>
      <c r="O182" s="8" t="str">
        <f t="shared" si="15"/>
        <v/>
      </c>
      <c r="P182" s="9"/>
      <c r="Q182" s="31"/>
      <c r="R182" s="8" t="str">
        <f t="shared" si="16"/>
        <v/>
      </c>
      <c r="S182" s="8" t="str">
        <f t="shared" si="17"/>
        <v/>
      </c>
      <c r="T182" s="8">
        <f>IF(S182="",0,IF(SUMPRODUCT(--(S$4:S182=S182))&gt;1,1,0))</f>
        <v>0</v>
      </c>
    </row>
    <row r="183" spans="1:20" x14ac:dyDescent="0.25">
      <c r="A183" s="8">
        <v>180</v>
      </c>
      <c r="B183" s="9"/>
      <c r="C183" s="33" t="str">
        <f t="shared" si="12"/>
        <v/>
      </c>
      <c r="D183" s="31"/>
      <c r="E183" s="31"/>
      <c r="F183" s="31"/>
      <c r="G183" s="31"/>
      <c r="H183" s="11"/>
      <c r="I183" s="11"/>
      <c r="J183" s="9"/>
      <c r="K183" s="11"/>
      <c r="L183" s="9"/>
      <c r="M183" s="12" t="str">
        <f t="shared" si="13"/>
        <v/>
      </c>
      <c r="N183" s="12" t="str">
        <f t="shared" si="14"/>
        <v/>
      </c>
      <c r="O183" s="8" t="str">
        <f t="shared" si="15"/>
        <v/>
      </c>
      <c r="P183" s="9"/>
      <c r="Q183" s="31"/>
      <c r="R183" s="8" t="str">
        <f t="shared" si="16"/>
        <v/>
      </c>
      <c r="S183" s="8" t="str">
        <f t="shared" si="17"/>
        <v/>
      </c>
      <c r="T183" s="8">
        <f>IF(S183="",0,IF(SUMPRODUCT(--(S$4:S183=S183))&gt;1,1,0))</f>
        <v>0</v>
      </c>
    </row>
    <row r="184" spans="1:20" x14ac:dyDescent="0.25">
      <c r="A184" s="8">
        <v>181</v>
      </c>
      <c r="B184" s="9"/>
      <c r="C184" s="33" t="str">
        <f t="shared" si="12"/>
        <v/>
      </c>
      <c r="D184" s="31"/>
      <c r="E184" s="31"/>
      <c r="F184" s="31"/>
      <c r="G184" s="31"/>
      <c r="H184" s="11"/>
      <c r="I184" s="11"/>
      <c r="J184" s="9"/>
      <c r="K184" s="11"/>
      <c r="L184" s="9"/>
      <c r="M184" s="12" t="str">
        <f t="shared" si="13"/>
        <v/>
      </c>
      <c r="N184" s="12" t="str">
        <f t="shared" si="14"/>
        <v/>
      </c>
      <c r="O184" s="8" t="str">
        <f t="shared" si="15"/>
        <v/>
      </c>
      <c r="P184" s="9"/>
      <c r="Q184" s="31"/>
      <c r="R184" s="8" t="str">
        <f t="shared" si="16"/>
        <v/>
      </c>
      <c r="S184" s="8" t="str">
        <f t="shared" si="17"/>
        <v/>
      </c>
      <c r="T184" s="8">
        <f>IF(S184="",0,IF(SUMPRODUCT(--(S$4:S184=S184))&gt;1,1,0))</f>
        <v>0</v>
      </c>
    </row>
    <row r="185" spans="1:20" x14ac:dyDescent="0.25">
      <c r="A185" s="8">
        <v>182</v>
      </c>
      <c r="B185" s="9"/>
      <c r="C185" s="33" t="str">
        <f t="shared" si="12"/>
        <v/>
      </c>
      <c r="D185" s="31"/>
      <c r="E185" s="31"/>
      <c r="F185" s="31"/>
      <c r="G185" s="31"/>
      <c r="H185" s="11"/>
      <c r="I185" s="11"/>
      <c r="J185" s="9"/>
      <c r="K185" s="11"/>
      <c r="L185" s="9"/>
      <c r="M185" s="12" t="str">
        <f t="shared" si="13"/>
        <v/>
      </c>
      <c r="N185" s="12" t="str">
        <f t="shared" si="14"/>
        <v/>
      </c>
      <c r="O185" s="8" t="str">
        <f t="shared" si="15"/>
        <v/>
      </c>
      <c r="P185" s="9"/>
      <c r="Q185" s="31"/>
      <c r="R185" s="8" t="str">
        <f t="shared" si="16"/>
        <v/>
      </c>
      <c r="S185" s="8" t="str">
        <f t="shared" si="17"/>
        <v/>
      </c>
      <c r="T185" s="8">
        <f>IF(S185="",0,IF(SUMPRODUCT(--(S$4:S185=S185))&gt;1,1,0))</f>
        <v>0</v>
      </c>
    </row>
    <row r="186" spans="1:20" x14ac:dyDescent="0.25">
      <c r="A186" s="8">
        <v>183</v>
      </c>
      <c r="B186" s="9"/>
      <c r="C186" s="33" t="str">
        <f t="shared" si="12"/>
        <v/>
      </c>
      <c r="D186" s="31"/>
      <c r="E186" s="31"/>
      <c r="F186" s="31"/>
      <c r="G186" s="31"/>
      <c r="H186" s="11"/>
      <c r="I186" s="11"/>
      <c r="J186" s="9"/>
      <c r="K186" s="11"/>
      <c r="L186" s="9"/>
      <c r="M186" s="12" t="str">
        <f t="shared" si="13"/>
        <v/>
      </c>
      <c r="N186" s="12" t="str">
        <f t="shared" si="14"/>
        <v/>
      </c>
      <c r="O186" s="8" t="str">
        <f t="shared" si="15"/>
        <v/>
      </c>
      <c r="P186" s="9"/>
      <c r="Q186" s="31"/>
      <c r="R186" s="8" t="str">
        <f t="shared" si="16"/>
        <v/>
      </c>
      <c r="S186" s="8" t="str">
        <f t="shared" si="17"/>
        <v/>
      </c>
      <c r="T186" s="8">
        <f>IF(S186="",0,IF(SUMPRODUCT(--(S$4:S186=S186))&gt;1,1,0))</f>
        <v>0</v>
      </c>
    </row>
    <row r="187" spans="1:20" x14ac:dyDescent="0.25">
      <c r="A187" s="8">
        <v>184</v>
      </c>
      <c r="B187" s="9"/>
      <c r="C187" s="33" t="str">
        <f t="shared" si="12"/>
        <v/>
      </c>
      <c r="D187" s="31"/>
      <c r="E187" s="31"/>
      <c r="F187" s="31"/>
      <c r="G187" s="31"/>
      <c r="H187" s="11"/>
      <c r="I187" s="11"/>
      <c r="J187" s="9"/>
      <c r="K187" s="11"/>
      <c r="L187" s="9"/>
      <c r="M187" s="12" t="str">
        <f t="shared" si="13"/>
        <v/>
      </c>
      <c r="N187" s="12" t="str">
        <f t="shared" si="14"/>
        <v/>
      </c>
      <c r="O187" s="8" t="str">
        <f t="shared" si="15"/>
        <v/>
      </c>
      <c r="P187" s="9"/>
      <c r="Q187" s="31"/>
      <c r="R187" s="8" t="str">
        <f t="shared" si="16"/>
        <v/>
      </c>
      <c r="S187" s="8" t="str">
        <f t="shared" si="17"/>
        <v/>
      </c>
      <c r="T187" s="8">
        <f>IF(S187="",0,IF(SUMPRODUCT(--(S$4:S187=S187))&gt;1,1,0))</f>
        <v>0</v>
      </c>
    </row>
    <row r="188" spans="1:20" x14ac:dyDescent="0.25">
      <c r="A188" s="8">
        <v>185</v>
      </c>
      <c r="B188" s="9"/>
      <c r="C188" s="33" t="str">
        <f t="shared" si="12"/>
        <v/>
      </c>
      <c r="D188" s="31"/>
      <c r="E188" s="31"/>
      <c r="F188" s="31"/>
      <c r="G188" s="31"/>
      <c r="H188" s="11"/>
      <c r="I188" s="11"/>
      <c r="J188" s="9"/>
      <c r="K188" s="11"/>
      <c r="L188" s="9"/>
      <c r="M188" s="12" t="str">
        <f t="shared" si="13"/>
        <v/>
      </c>
      <c r="N188" s="12" t="str">
        <f t="shared" si="14"/>
        <v/>
      </c>
      <c r="O188" s="8" t="str">
        <f t="shared" si="15"/>
        <v/>
      </c>
      <c r="P188" s="9"/>
      <c r="Q188" s="31"/>
      <c r="R188" s="8" t="str">
        <f t="shared" si="16"/>
        <v/>
      </c>
      <c r="S188" s="8" t="str">
        <f t="shared" si="17"/>
        <v/>
      </c>
      <c r="T188" s="8">
        <f>IF(S188="",0,IF(SUMPRODUCT(--(S$4:S188=S188))&gt;1,1,0))</f>
        <v>0</v>
      </c>
    </row>
    <row r="189" spans="1:20" x14ac:dyDescent="0.25">
      <c r="A189" s="8">
        <v>186</v>
      </c>
      <c r="B189" s="9"/>
      <c r="C189" s="33" t="str">
        <f t="shared" si="12"/>
        <v/>
      </c>
      <c r="D189" s="31"/>
      <c r="E189" s="31"/>
      <c r="F189" s="31"/>
      <c r="G189" s="31"/>
      <c r="H189" s="11"/>
      <c r="I189" s="11"/>
      <c r="J189" s="9"/>
      <c r="K189" s="11"/>
      <c r="L189" s="9"/>
      <c r="M189" s="12" t="str">
        <f t="shared" si="13"/>
        <v/>
      </c>
      <c r="N189" s="12" t="str">
        <f t="shared" si="14"/>
        <v/>
      </c>
      <c r="O189" s="8" t="str">
        <f t="shared" si="15"/>
        <v/>
      </c>
      <c r="P189" s="9"/>
      <c r="Q189" s="31"/>
      <c r="R189" s="8" t="str">
        <f t="shared" si="16"/>
        <v/>
      </c>
      <c r="S189" s="8" t="str">
        <f t="shared" si="17"/>
        <v/>
      </c>
      <c r="T189" s="8">
        <f>IF(S189="",0,IF(SUMPRODUCT(--(S$4:S189=S189))&gt;1,1,0))</f>
        <v>0</v>
      </c>
    </row>
    <row r="190" spans="1:20" x14ac:dyDescent="0.25">
      <c r="A190" s="8">
        <v>187</v>
      </c>
      <c r="B190" s="9"/>
      <c r="C190" s="33" t="str">
        <f t="shared" si="12"/>
        <v/>
      </c>
      <c r="D190" s="31"/>
      <c r="E190" s="31"/>
      <c r="F190" s="31"/>
      <c r="G190" s="31"/>
      <c r="H190" s="11"/>
      <c r="I190" s="11"/>
      <c r="J190" s="9"/>
      <c r="K190" s="11"/>
      <c r="L190" s="9"/>
      <c r="M190" s="12" t="str">
        <f t="shared" si="13"/>
        <v/>
      </c>
      <c r="N190" s="12" t="str">
        <f t="shared" si="14"/>
        <v/>
      </c>
      <c r="O190" s="8" t="str">
        <f t="shared" si="15"/>
        <v/>
      </c>
      <c r="P190" s="9"/>
      <c r="Q190" s="31"/>
      <c r="R190" s="8" t="str">
        <f t="shared" si="16"/>
        <v/>
      </c>
      <c r="S190" s="8" t="str">
        <f t="shared" si="17"/>
        <v/>
      </c>
      <c r="T190" s="8">
        <f>IF(S190="",0,IF(SUMPRODUCT(--(S$4:S190=S190))&gt;1,1,0))</f>
        <v>0</v>
      </c>
    </row>
    <row r="191" spans="1:20" x14ac:dyDescent="0.25">
      <c r="A191" s="8">
        <v>188</v>
      </c>
      <c r="B191" s="9"/>
      <c r="C191" s="33" t="str">
        <f t="shared" si="12"/>
        <v/>
      </c>
      <c r="D191" s="31"/>
      <c r="E191" s="31"/>
      <c r="F191" s="31"/>
      <c r="G191" s="31"/>
      <c r="H191" s="11"/>
      <c r="I191" s="11"/>
      <c r="J191" s="9"/>
      <c r="K191" s="11"/>
      <c r="L191" s="9"/>
      <c r="M191" s="12" t="str">
        <f t="shared" si="13"/>
        <v/>
      </c>
      <c r="N191" s="12" t="str">
        <f t="shared" si="14"/>
        <v/>
      </c>
      <c r="O191" s="8" t="str">
        <f t="shared" si="15"/>
        <v/>
      </c>
      <c r="P191" s="9"/>
      <c r="Q191" s="31"/>
      <c r="R191" s="8" t="str">
        <f t="shared" si="16"/>
        <v/>
      </c>
      <c r="S191" s="8" t="str">
        <f t="shared" si="17"/>
        <v/>
      </c>
      <c r="T191" s="8">
        <f>IF(S191="",0,IF(SUMPRODUCT(--(S$4:S191=S191))&gt;1,1,0))</f>
        <v>0</v>
      </c>
    </row>
    <row r="192" spans="1:20" x14ac:dyDescent="0.25">
      <c r="A192" s="8">
        <v>189</v>
      </c>
      <c r="B192" s="9"/>
      <c r="C192" s="33" t="str">
        <f t="shared" si="12"/>
        <v/>
      </c>
      <c r="D192" s="31"/>
      <c r="E192" s="31"/>
      <c r="F192" s="31"/>
      <c r="G192" s="31"/>
      <c r="H192" s="11"/>
      <c r="I192" s="11"/>
      <c r="J192" s="9"/>
      <c r="K192" s="11"/>
      <c r="L192" s="9"/>
      <c r="M192" s="12" t="str">
        <f t="shared" si="13"/>
        <v/>
      </c>
      <c r="N192" s="12" t="str">
        <f t="shared" si="14"/>
        <v/>
      </c>
      <c r="O192" s="8" t="str">
        <f t="shared" si="15"/>
        <v/>
      </c>
      <c r="P192" s="9"/>
      <c r="Q192" s="31"/>
      <c r="R192" s="8" t="str">
        <f t="shared" si="16"/>
        <v/>
      </c>
      <c r="S192" s="8" t="str">
        <f t="shared" si="17"/>
        <v/>
      </c>
      <c r="T192" s="8">
        <f>IF(S192="",0,IF(SUMPRODUCT(--(S$4:S192=S192))&gt;1,1,0))</f>
        <v>0</v>
      </c>
    </row>
    <row r="193" spans="1:20" x14ac:dyDescent="0.25">
      <c r="A193" s="8">
        <v>190</v>
      </c>
      <c r="B193" s="9"/>
      <c r="C193" s="33" t="str">
        <f t="shared" si="12"/>
        <v/>
      </c>
      <c r="D193" s="31"/>
      <c r="E193" s="31"/>
      <c r="F193" s="31"/>
      <c r="G193" s="31"/>
      <c r="H193" s="11"/>
      <c r="I193" s="11"/>
      <c r="J193" s="9"/>
      <c r="K193" s="11"/>
      <c r="L193" s="9"/>
      <c r="M193" s="12" t="str">
        <f t="shared" si="13"/>
        <v/>
      </c>
      <c r="N193" s="12" t="str">
        <f t="shared" si="14"/>
        <v/>
      </c>
      <c r="O193" s="8" t="str">
        <f t="shared" si="15"/>
        <v/>
      </c>
      <c r="P193" s="9"/>
      <c r="Q193" s="31"/>
      <c r="R193" s="8" t="str">
        <f t="shared" si="16"/>
        <v/>
      </c>
      <c r="S193" s="8" t="str">
        <f t="shared" si="17"/>
        <v/>
      </c>
      <c r="T193" s="8">
        <f>IF(S193="",0,IF(SUMPRODUCT(--(S$4:S193=S193))&gt;1,1,0))</f>
        <v>0</v>
      </c>
    </row>
    <row r="194" spans="1:20" x14ac:dyDescent="0.25">
      <c r="A194" s="8">
        <v>191</v>
      </c>
      <c r="B194" s="9"/>
      <c r="C194" s="33" t="str">
        <f t="shared" si="12"/>
        <v/>
      </c>
      <c r="D194" s="31"/>
      <c r="E194" s="31"/>
      <c r="F194" s="31"/>
      <c r="G194" s="31"/>
      <c r="H194" s="11"/>
      <c r="I194" s="11"/>
      <c r="J194" s="9"/>
      <c r="K194" s="11"/>
      <c r="L194" s="9"/>
      <c r="M194" s="12" t="str">
        <f t="shared" si="13"/>
        <v/>
      </c>
      <c r="N194" s="12" t="str">
        <f t="shared" si="14"/>
        <v/>
      </c>
      <c r="O194" s="8" t="str">
        <f t="shared" si="15"/>
        <v/>
      </c>
      <c r="P194" s="9"/>
      <c r="Q194" s="31"/>
      <c r="R194" s="8" t="str">
        <f t="shared" si="16"/>
        <v/>
      </c>
      <c r="S194" s="8" t="str">
        <f t="shared" si="17"/>
        <v/>
      </c>
      <c r="T194" s="8">
        <f>IF(S194="",0,IF(SUMPRODUCT(--(S$4:S194=S194))&gt;1,1,0))</f>
        <v>0</v>
      </c>
    </row>
    <row r="195" spans="1:20" x14ac:dyDescent="0.25">
      <c r="A195" s="8">
        <v>192</v>
      </c>
      <c r="B195" s="9"/>
      <c r="C195" s="33" t="str">
        <f t="shared" si="12"/>
        <v/>
      </c>
      <c r="D195" s="31"/>
      <c r="E195" s="31"/>
      <c r="F195" s="31"/>
      <c r="G195" s="31"/>
      <c r="H195" s="11"/>
      <c r="I195" s="11"/>
      <c r="J195" s="9"/>
      <c r="K195" s="11"/>
      <c r="L195" s="9"/>
      <c r="M195" s="12" t="str">
        <f t="shared" si="13"/>
        <v/>
      </c>
      <c r="N195" s="12" t="str">
        <f t="shared" si="14"/>
        <v/>
      </c>
      <c r="O195" s="8" t="str">
        <f t="shared" si="15"/>
        <v/>
      </c>
      <c r="P195" s="9"/>
      <c r="Q195" s="31"/>
      <c r="R195" s="8" t="str">
        <f t="shared" si="16"/>
        <v/>
      </c>
      <c r="S195" s="8" t="str">
        <f t="shared" si="17"/>
        <v/>
      </c>
      <c r="T195" s="8">
        <f>IF(S195="",0,IF(SUMPRODUCT(--(S$4:S195=S195))&gt;1,1,0))</f>
        <v>0</v>
      </c>
    </row>
    <row r="196" spans="1:20" x14ac:dyDescent="0.25">
      <c r="A196" s="8">
        <v>193</v>
      </c>
      <c r="B196" s="9"/>
      <c r="C196" s="33" t="str">
        <f t="shared" ref="C196:C259" si="18">IF(B196="","",IFERROR(INDEX(SpaceNames,MATCH(B196,SpaceCodes,0))&amp;"",""))</f>
        <v/>
      </c>
      <c r="D196" s="31"/>
      <c r="E196" s="31"/>
      <c r="F196" s="31"/>
      <c r="G196" s="31"/>
      <c r="H196" s="11"/>
      <c r="I196" s="11"/>
      <c r="J196" s="9"/>
      <c r="K196" s="11"/>
      <c r="L196" s="9"/>
      <c r="M196" s="12" t="str">
        <f t="shared" ref="M196:M259" si="19">IF(S196="","",IF(OR(L196="لا",T196=1),0,IF(K196&lt;&gt;"",K196*IF(J196="",1,J196),IF(AND(H196&lt;&gt;"",I196&lt;&gt;""),H196*I196*IF(J196="",1,J196),""))))</f>
        <v/>
      </c>
      <c r="N196" s="12" t="str">
        <f t="shared" ref="N196:N259" si="20">IF(OR(S196="",B196="",D196=""),"",SUMIFS(CL_Net,CL_Space,B196,CL_Mat,D196))</f>
        <v/>
      </c>
      <c r="O196" s="8" t="str">
        <f t="shared" ref="O196:O259" si="21">IF(D196="","",IFERROR(IF(INDEX(CeilUnit,MATCH(D196,CeilMat,0))="","م²",INDEX(CeilUnit,MATCH(D196,CeilMat,0))),"م²"))</f>
        <v/>
      </c>
      <c r="P196" s="9"/>
      <c r="Q196" s="31"/>
      <c r="R196" s="8" t="str">
        <f t="shared" ref="R196:R259" si="22">IF(S196="","",IF(T196=1,"تكرار — غير محتسب",IF(B196="","ناقص بيانات: كود الفراغ",IF(COUNTIF(SpaceCodes,B196)=0,"ناقص بيانات: الفراغ غير مسجل",IF(D196="","ناقص بيانات: الخامة",IF(AND(K196="",OR(H196="",I196="")),"ناقص قياس",IF(L196="لا","مستبعد من الحصر",IF(P196="نعم","يحتاج مراجعة","مكتمل"))))))))</f>
        <v/>
      </c>
      <c r="S196" s="8" t="str">
        <f t="shared" ref="S196:S259" si="23">IF(COUNTA(B196,D196:K196)=0,"",B196&amp;"|"&amp;D196&amp;"|"&amp;G196&amp;"|"&amp;H196&amp;"|"&amp;I196&amp;"|"&amp;K196)</f>
        <v/>
      </c>
      <c r="T196" s="8">
        <f>IF(S196="",0,IF(SUMPRODUCT(--(S$4:S196=S196))&gt;1,1,0))</f>
        <v>0</v>
      </c>
    </row>
    <row r="197" spans="1:20" x14ac:dyDescent="0.25">
      <c r="A197" s="8">
        <v>194</v>
      </c>
      <c r="B197" s="9"/>
      <c r="C197" s="33" t="str">
        <f t="shared" si="18"/>
        <v/>
      </c>
      <c r="D197" s="31"/>
      <c r="E197" s="31"/>
      <c r="F197" s="31"/>
      <c r="G197" s="31"/>
      <c r="H197" s="11"/>
      <c r="I197" s="11"/>
      <c r="J197" s="9"/>
      <c r="K197" s="11"/>
      <c r="L197" s="9"/>
      <c r="M197" s="12" t="str">
        <f t="shared" si="19"/>
        <v/>
      </c>
      <c r="N197" s="12" t="str">
        <f t="shared" si="20"/>
        <v/>
      </c>
      <c r="O197" s="8" t="str">
        <f t="shared" si="21"/>
        <v/>
      </c>
      <c r="P197" s="9"/>
      <c r="Q197" s="31"/>
      <c r="R197" s="8" t="str">
        <f t="shared" si="22"/>
        <v/>
      </c>
      <c r="S197" s="8" t="str">
        <f t="shared" si="23"/>
        <v/>
      </c>
      <c r="T197" s="8">
        <f>IF(S197="",0,IF(SUMPRODUCT(--(S$4:S197=S197))&gt;1,1,0))</f>
        <v>0</v>
      </c>
    </row>
    <row r="198" spans="1:20" x14ac:dyDescent="0.25">
      <c r="A198" s="8">
        <v>195</v>
      </c>
      <c r="B198" s="9"/>
      <c r="C198" s="33" t="str">
        <f t="shared" si="18"/>
        <v/>
      </c>
      <c r="D198" s="31"/>
      <c r="E198" s="31"/>
      <c r="F198" s="31"/>
      <c r="G198" s="31"/>
      <c r="H198" s="11"/>
      <c r="I198" s="11"/>
      <c r="J198" s="9"/>
      <c r="K198" s="11"/>
      <c r="L198" s="9"/>
      <c r="M198" s="12" t="str">
        <f t="shared" si="19"/>
        <v/>
      </c>
      <c r="N198" s="12" t="str">
        <f t="shared" si="20"/>
        <v/>
      </c>
      <c r="O198" s="8" t="str">
        <f t="shared" si="21"/>
        <v/>
      </c>
      <c r="P198" s="9"/>
      <c r="Q198" s="31"/>
      <c r="R198" s="8" t="str">
        <f t="shared" si="22"/>
        <v/>
      </c>
      <c r="S198" s="8" t="str">
        <f t="shared" si="23"/>
        <v/>
      </c>
      <c r="T198" s="8">
        <f>IF(S198="",0,IF(SUMPRODUCT(--(S$4:S198=S198))&gt;1,1,0))</f>
        <v>0</v>
      </c>
    </row>
    <row r="199" spans="1:20" x14ac:dyDescent="0.25">
      <c r="A199" s="8">
        <v>196</v>
      </c>
      <c r="B199" s="9"/>
      <c r="C199" s="33" t="str">
        <f t="shared" si="18"/>
        <v/>
      </c>
      <c r="D199" s="31"/>
      <c r="E199" s="31"/>
      <c r="F199" s="31"/>
      <c r="G199" s="31"/>
      <c r="H199" s="11"/>
      <c r="I199" s="11"/>
      <c r="J199" s="9"/>
      <c r="K199" s="11"/>
      <c r="L199" s="9"/>
      <c r="M199" s="12" t="str">
        <f t="shared" si="19"/>
        <v/>
      </c>
      <c r="N199" s="12" t="str">
        <f t="shared" si="20"/>
        <v/>
      </c>
      <c r="O199" s="8" t="str">
        <f t="shared" si="21"/>
        <v/>
      </c>
      <c r="P199" s="9"/>
      <c r="Q199" s="31"/>
      <c r="R199" s="8" t="str">
        <f t="shared" si="22"/>
        <v/>
      </c>
      <c r="S199" s="8" t="str">
        <f t="shared" si="23"/>
        <v/>
      </c>
      <c r="T199" s="8">
        <f>IF(S199="",0,IF(SUMPRODUCT(--(S$4:S199=S199))&gt;1,1,0))</f>
        <v>0</v>
      </c>
    </row>
    <row r="200" spans="1:20" x14ac:dyDescent="0.25">
      <c r="A200" s="8">
        <v>197</v>
      </c>
      <c r="B200" s="9"/>
      <c r="C200" s="33" t="str">
        <f t="shared" si="18"/>
        <v/>
      </c>
      <c r="D200" s="31"/>
      <c r="E200" s="31"/>
      <c r="F200" s="31"/>
      <c r="G200" s="31"/>
      <c r="H200" s="11"/>
      <c r="I200" s="11"/>
      <c r="J200" s="9"/>
      <c r="K200" s="11"/>
      <c r="L200" s="9"/>
      <c r="M200" s="12" t="str">
        <f t="shared" si="19"/>
        <v/>
      </c>
      <c r="N200" s="12" t="str">
        <f t="shared" si="20"/>
        <v/>
      </c>
      <c r="O200" s="8" t="str">
        <f t="shared" si="21"/>
        <v/>
      </c>
      <c r="P200" s="9"/>
      <c r="Q200" s="31"/>
      <c r="R200" s="8" t="str">
        <f t="shared" si="22"/>
        <v/>
      </c>
      <c r="S200" s="8" t="str">
        <f t="shared" si="23"/>
        <v/>
      </c>
      <c r="T200" s="8">
        <f>IF(S200="",0,IF(SUMPRODUCT(--(S$4:S200=S200))&gt;1,1,0))</f>
        <v>0</v>
      </c>
    </row>
    <row r="201" spans="1:20" x14ac:dyDescent="0.25">
      <c r="A201" s="8">
        <v>198</v>
      </c>
      <c r="B201" s="9"/>
      <c r="C201" s="33" t="str">
        <f t="shared" si="18"/>
        <v/>
      </c>
      <c r="D201" s="31"/>
      <c r="E201" s="31"/>
      <c r="F201" s="31"/>
      <c r="G201" s="31"/>
      <c r="H201" s="11"/>
      <c r="I201" s="11"/>
      <c r="J201" s="9"/>
      <c r="K201" s="11"/>
      <c r="L201" s="9"/>
      <c r="M201" s="12" t="str">
        <f t="shared" si="19"/>
        <v/>
      </c>
      <c r="N201" s="12" t="str">
        <f t="shared" si="20"/>
        <v/>
      </c>
      <c r="O201" s="8" t="str">
        <f t="shared" si="21"/>
        <v/>
      </c>
      <c r="P201" s="9"/>
      <c r="Q201" s="31"/>
      <c r="R201" s="8" t="str">
        <f t="shared" si="22"/>
        <v/>
      </c>
      <c r="S201" s="8" t="str">
        <f t="shared" si="23"/>
        <v/>
      </c>
      <c r="T201" s="8">
        <f>IF(S201="",0,IF(SUMPRODUCT(--(S$4:S201=S201))&gt;1,1,0))</f>
        <v>0</v>
      </c>
    </row>
    <row r="202" spans="1:20" x14ac:dyDescent="0.25">
      <c r="A202" s="8">
        <v>199</v>
      </c>
      <c r="B202" s="9"/>
      <c r="C202" s="33" t="str">
        <f t="shared" si="18"/>
        <v/>
      </c>
      <c r="D202" s="31"/>
      <c r="E202" s="31"/>
      <c r="F202" s="31"/>
      <c r="G202" s="31"/>
      <c r="H202" s="11"/>
      <c r="I202" s="11"/>
      <c r="J202" s="9"/>
      <c r="K202" s="11"/>
      <c r="L202" s="9"/>
      <c r="M202" s="12" t="str">
        <f t="shared" si="19"/>
        <v/>
      </c>
      <c r="N202" s="12" t="str">
        <f t="shared" si="20"/>
        <v/>
      </c>
      <c r="O202" s="8" t="str">
        <f t="shared" si="21"/>
        <v/>
      </c>
      <c r="P202" s="9"/>
      <c r="Q202" s="31"/>
      <c r="R202" s="8" t="str">
        <f t="shared" si="22"/>
        <v/>
      </c>
      <c r="S202" s="8" t="str">
        <f t="shared" si="23"/>
        <v/>
      </c>
      <c r="T202" s="8">
        <f>IF(S202="",0,IF(SUMPRODUCT(--(S$4:S202=S202))&gt;1,1,0))</f>
        <v>0</v>
      </c>
    </row>
    <row r="203" spans="1:20" x14ac:dyDescent="0.25">
      <c r="A203" s="8">
        <v>200</v>
      </c>
      <c r="B203" s="9"/>
      <c r="C203" s="33" t="str">
        <f t="shared" si="18"/>
        <v/>
      </c>
      <c r="D203" s="31"/>
      <c r="E203" s="31"/>
      <c r="F203" s="31"/>
      <c r="G203" s="31"/>
      <c r="H203" s="11"/>
      <c r="I203" s="11"/>
      <c r="J203" s="9"/>
      <c r="K203" s="11"/>
      <c r="L203" s="9"/>
      <c r="M203" s="12" t="str">
        <f t="shared" si="19"/>
        <v/>
      </c>
      <c r="N203" s="12" t="str">
        <f t="shared" si="20"/>
        <v/>
      </c>
      <c r="O203" s="8" t="str">
        <f t="shared" si="21"/>
        <v/>
      </c>
      <c r="P203" s="9"/>
      <c r="Q203" s="31"/>
      <c r="R203" s="8" t="str">
        <f t="shared" si="22"/>
        <v/>
      </c>
      <c r="S203" s="8" t="str">
        <f t="shared" si="23"/>
        <v/>
      </c>
      <c r="T203" s="8">
        <f>IF(S203="",0,IF(SUMPRODUCT(--(S$4:S203=S203))&gt;1,1,0))</f>
        <v>0</v>
      </c>
    </row>
    <row r="204" spans="1:20" x14ac:dyDescent="0.25">
      <c r="A204" s="8">
        <v>201</v>
      </c>
      <c r="B204" s="9"/>
      <c r="C204" s="33" t="str">
        <f t="shared" si="18"/>
        <v/>
      </c>
      <c r="D204" s="31"/>
      <c r="E204" s="31"/>
      <c r="F204" s="31"/>
      <c r="G204" s="31"/>
      <c r="H204" s="11"/>
      <c r="I204" s="11"/>
      <c r="J204" s="9"/>
      <c r="K204" s="11"/>
      <c r="L204" s="9"/>
      <c r="M204" s="12" t="str">
        <f t="shared" si="19"/>
        <v/>
      </c>
      <c r="N204" s="12" t="str">
        <f t="shared" si="20"/>
        <v/>
      </c>
      <c r="O204" s="8" t="str">
        <f t="shared" si="21"/>
        <v/>
      </c>
      <c r="P204" s="9"/>
      <c r="Q204" s="31"/>
      <c r="R204" s="8" t="str">
        <f t="shared" si="22"/>
        <v/>
      </c>
      <c r="S204" s="8" t="str">
        <f t="shared" si="23"/>
        <v/>
      </c>
      <c r="T204" s="8">
        <f>IF(S204="",0,IF(SUMPRODUCT(--(S$4:S204=S204))&gt;1,1,0))</f>
        <v>0</v>
      </c>
    </row>
    <row r="205" spans="1:20" x14ac:dyDescent="0.25">
      <c r="A205" s="8">
        <v>202</v>
      </c>
      <c r="B205" s="9"/>
      <c r="C205" s="33" t="str">
        <f t="shared" si="18"/>
        <v/>
      </c>
      <c r="D205" s="31"/>
      <c r="E205" s="31"/>
      <c r="F205" s="31"/>
      <c r="G205" s="31"/>
      <c r="H205" s="11"/>
      <c r="I205" s="11"/>
      <c r="J205" s="9"/>
      <c r="K205" s="11"/>
      <c r="L205" s="9"/>
      <c r="M205" s="12" t="str">
        <f t="shared" si="19"/>
        <v/>
      </c>
      <c r="N205" s="12" t="str">
        <f t="shared" si="20"/>
        <v/>
      </c>
      <c r="O205" s="8" t="str">
        <f t="shared" si="21"/>
        <v/>
      </c>
      <c r="P205" s="9"/>
      <c r="Q205" s="31"/>
      <c r="R205" s="8" t="str">
        <f t="shared" si="22"/>
        <v/>
      </c>
      <c r="S205" s="8" t="str">
        <f t="shared" si="23"/>
        <v/>
      </c>
      <c r="T205" s="8">
        <f>IF(S205="",0,IF(SUMPRODUCT(--(S$4:S205=S205))&gt;1,1,0))</f>
        <v>0</v>
      </c>
    </row>
    <row r="206" spans="1:20" x14ac:dyDescent="0.25">
      <c r="A206" s="8">
        <v>203</v>
      </c>
      <c r="B206" s="9"/>
      <c r="C206" s="33" t="str">
        <f t="shared" si="18"/>
        <v/>
      </c>
      <c r="D206" s="31"/>
      <c r="E206" s="31"/>
      <c r="F206" s="31"/>
      <c r="G206" s="31"/>
      <c r="H206" s="11"/>
      <c r="I206" s="11"/>
      <c r="J206" s="9"/>
      <c r="K206" s="11"/>
      <c r="L206" s="9"/>
      <c r="M206" s="12" t="str">
        <f t="shared" si="19"/>
        <v/>
      </c>
      <c r="N206" s="12" t="str">
        <f t="shared" si="20"/>
        <v/>
      </c>
      <c r="O206" s="8" t="str">
        <f t="shared" si="21"/>
        <v/>
      </c>
      <c r="P206" s="9"/>
      <c r="Q206" s="31"/>
      <c r="R206" s="8" t="str">
        <f t="shared" si="22"/>
        <v/>
      </c>
      <c r="S206" s="8" t="str">
        <f t="shared" si="23"/>
        <v/>
      </c>
      <c r="T206" s="8">
        <f>IF(S206="",0,IF(SUMPRODUCT(--(S$4:S206=S206))&gt;1,1,0))</f>
        <v>0</v>
      </c>
    </row>
    <row r="207" spans="1:20" x14ac:dyDescent="0.25">
      <c r="A207" s="8">
        <v>204</v>
      </c>
      <c r="B207" s="9"/>
      <c r="C207" s="33" t="str">
        <f t="shared" si="18"/>
        <v/>
      </c>
      <c r="D207" s="31"/>
      <c r="E207" s="31"/>
      <c r="F207" s="31"/>
      <c r="G207" s="31"/>
      <c r="H207" s="11"/>
      <c r="I207" s="11"/>
      <c r="J207" s="9"/>
      <c r="K207" s="11"/>
      <c r="L207" s="9"/>
      <c r="M207" s="12" t="str">
        <f t="shared" si="19"/>
        <v/>
      </c>
      <c r="N207" s="12" t="str">
        <f t="shared" si="20"/>
        <v/>
      </c>
      <c r="O207" s="8" t="str">
        <f t="shared" si="21"/>
        <v/>
      </c>
      <c r="P207" s="9"/>
      <c r="Q207" s="31"/>
      <c r="R207" s="8" t="str">
        <f t="shared" si="22"/>
        <v/>
      </c>
      <c r="S207" s="8" t="str">
        <f t="shared" si="23"/>
        <v/>
      </c>
      <c r="T207" s="8">
        <f>IF(S207="",0,IF(SUMPRODUCT(--(S$4:S207=S207))&gt;1,1,0))</f>
        <v>0</v>
      </c>
    </row>
    <row r="208" spans="1:20" x14ac:dyDescent="0.25">
      <c r="A208" s="8">
        <v>205</v>
      </c>
      <c r="B208" s="9"/>
      <c r="C208" s="33" t="str">
        <f t="shared" si="18"/>
        <v/>
      </c>
      <c r="D208" s="31"/>
      <c r="E208" s="31"/>
      <c r="F208" s="31"/>
      <c r="G208" s="31"/>
      <c r="H208" s="11"/>
      <c r="I208" s="11"/>
      <c r="J208" s="9"/>
      <c r="K208" s="11"/>
      <c r="L208" s="9"/>
      <c r="M208" s="12" t="str">
        <f t="shared" si="19"/>
        <v/>
      </c>
      <c r="N208" s="12" t="str">
        <f t="shared" si="20"/>
        <v/>
      </c>
      <c r="O208" s="8" t="str">
        <f t="shared" si="21"/>
        <v/>
      </c>
      <c r="P208" s="9"/>
      <c r="Q208" s="31"/>
      <c r="R208" s="8" t="str">
        <f t="shared" si="22"/>
        <v/>
      </c>
      <c r="S208" s="8" t="str">
        <f t="shared" si="23"/>
        <v/>
      </c>
      <c r="T208" s="8">
        <f>IF(S208="",0,IF(SUMPRODUCT(--(S$4:S208=S208))&gt;1,1,0))</f>
        <v>0</v>
      </c>
    </row>
    <row r="209" spans="1:20" x14ac:dyDescent="0.25">
      <c r="A209" s="8">
        <v>206</v>
      </c>
      <c r="B209" s="9"/>
      <c r="C209" s="33" t="str">
        <f t="shared" si="18"/>
        <v/>
      </c>
      <c r="D209" s="31"/>
      <c r="E209" s="31"/>
      <c r="F209" s="31"/>
      <c r="G209" s="31"/>
      <c r="H209" s="11"/>
      <c r="I209" s="11"/>
      <c r="J209" s="9"/>
      <c r="K209" s="11"/>
      <c r="L209" s="9"/>
      <c r="M209" s="12" t="str">
        <f t="shared" si="19"/>
        <v/>
      </c>
      <c r="N209" s="12" t="str">
        <f t="shared" si="20"/>
        <v/>
      </c>
      <c r="O209" s="8" t="str">
        <f t="shared" si="21"/>
        <v/>
      </c>
      <c r="P209" s="9"/>
      <c r="Q209" s="31"/>
      <c r="R209" s="8" t="str">
        <f t="shared" si="22"/>
        <v/>
      </c>
      <c r="S209" s="8" t="str">
        <f t="shared" si="23"/>
        <v/>
      </c>
      <c r="T209" s="8">
        <f>IF(S209="",0,IF(SUMPRODUCT(--(S$4:S209=S209))&gt;1,1,0))</f>
        <v>0</v>
      </c>
    </row>
    <row r="210" spans="1:20" x14ac:dyDescent="0.25">
      <c r="A210" s="8">
        <v>207</v>
      </c>
      <c r="B210" s="9"/>
      <c r="C210" s="33" t="str">
        <f t="shared" si="18"/>
        <v/>
      </c>
      <c r="D210" s="31"/>
      <c r="E210" s="31"/>
      <c r="F210" s="31"/>
      <c r="G210" s="31"/>
      <c r="H210" s="11"/>
      <c r="I210" s="11"/>
      <c r="J210" s="9"/>
      <c r="K210" s="11"/>
      <c r="L210" s="9"/>
      <c r="M210" s="12" t="str">
        <f t="shared" si="19"/>
        <v/>
      </c>
      <c r="N210" s="12" t="str">
        <f t="shared" si="20"/>
        <v/>
      </c>
      <c r="O210" s="8" t="str">
        <f t="shared" si="21"/>
        <v/>
      </c>
      <c r="P210" s="9"/>
      <c r="Q210" s="31"/>
      <c r="R210" s="8" t="str">
        <f t="shared" si="22"/>
        <v/>
      </c>
      <c r="S210" s="8" t="str">
        <f t="shared" si="23"/>
        <v/>
      </c>
      <c r="T210" s="8">
        <f>IF(S210="",0,IF(SUMPRODUCT(--(S$4:S210=S210))&gt;1,1,0))</f>
        <v>0</v>
      </c>
    </row>
    <row r="211" spans="1:20" x14ac:dyDescent="0.25">
      <c r="A211" s="8">
        <v>208</v>
      </c>
      <c r="B211" s="9"/>
      <c r="C211" s="33" t="str">
        <f t="shared" si="18"/>
        <v/>
      </c>
      <c r="D211" s="31"/>
      <c r="E211" s="31"/>
      <c r="F211" s="31"/>
      <c r="G211" s="31"/>
      <c r="H211" s="11"/>
      <c r="I211" s="11"/>
      <c r="J211" s="9"/>
      <c r="K211" s="11"/>
      <c r="L211" s="9"/>
      <c r="M211" s="12" t="str">
        <f t="shared" si="19"/>
        <v/>
      </c>
      <c r="N211" s="12" t="str">
        <f t="shared" si="20"/>
        <v/>
      </c>
      <c r="O211" s="8" t="str">
        <f t="shared" si="21"/>
        <v/>
      </c>
      <c r="P211" s="9"/>
      <c r="Q211" s="31"/>
      <c r="R211" s="8" t="str">
        <f t="shared" si="22"/>
        <v/>
      </c>
      <c r="S211" s="8" t="str">
        <f t="shared" si="23"/>
        <v/>
      </c>
      <c r="T211" s="8">
        <f>IF(S211="",0,IF(SUMPRODUCT(--(S$4:S211=S211))&gt;1,1,0))</f>
        <v>0</v>
      </c>
    </row>
    <row r="212" spans="1:20" x14ac:dyDescent="0.25">
      <c r="A212" s="8">
        <v>209</v>
      </c>
      <c r="B212" s="9"/>
      <c r="C212" s="33" t="str">
        <f t="shared" si="18"/>
        <v/>
      </c>
      <c r="D212" s="31"/>
      <c r="E212" s="31"/>
      <c r="F212" s="31"/>
      <c r="G212" s="31"/>
      <c r="H212" s="11"/>
      <c r="I212" s="11"/>
      <c r="J212" s="9"/>
      <c r="K212" s="11"/>
      <c r="L212" s="9"/>
      <c r="M212" s="12" t="str">
        <f t="shared" si="19"/>
        <v/>
      </c>
      <c r="N212" s="12" t="str">
        <f t="shared" si="20"/>
        <v/>
      </c>
      <c r="O212" s="8" t="str">
        <f t="shared" si="21"/>
        <v/>
      </c>
      <c r="P212" s="9"/>
      <c r="Q212" s="31"/>
      <c r="R212" s="8" t="str">
        <f t="shared" si="22"/>
        <v/>
      </c>
      <c r="S212" s="8" t="str">
        <f t="shared" si="23"/>
        <v/>
      </c>
      <c r="T212" s="8">
        <f>IF(S212="",0,IF(SUMPRODUCT(--(S$4:S212=S212))&gt;1,1,0))</f>
        <v>0</v>
      </c>
    </row>
    <row r="213" spans="1:20" x14ac:dyDescent="0.25">
      <c r="A213" s="8">
        <v>210</v>
      </c>
      <c r="B213" s="9"/>
      <c r="C213" s="33" t="str">
        <f t="shared" si="18"/>
        <v/>
      </c>
      <c r="D213" s="31"/>
      <c r="E213" s="31"/>
      <c r="F213" s="31"/>
      <c r="G213" s="31"/>
      <c r="H213" s="11"/>
      <c r="I213" s="11"/>
      <c r="J213" s="9"/>
      <c r="K213" s="11"/>
      <c r="L213" s="9"/>
      <c r="M213" s="12" t="str">
        <f t="shared" si="19"/>
        <v/>
      </c>
      <c r="N213" s="12" t="str">
        <f t="shared" si="20"/>
        <v/>
      </c>
      <c r="O213" s="8" t="str">
        <f t="shared" si="21"/>
        <v/>
      </c>
      <c r="P213" s="9"/>
      <c r="Q213" s="31"/>
      <c r="R213" s="8" t="str">
        <f t="shared" si="22"/>
        <v/>
      </c>
      <c r="S213" s="8" t="str">
        <f t="shared" si="23"/>
        <v/>
      </c>
      <c r="T213" s="8">
        <f>IF(S213="",0,IF(SUMPRODUCT(--(S$4:S213=S213))&gt;1,1,0))</f>
        <v>0</v>
      </c>
    </row>
    <row r="214" spans="1:20" x14ac:dyDescent="0.25">
      <c r="A214" s="8">
        <v>211</v>
      </c>
      <c r="B214" s="9"/>
      <c r="C214" s="33" t="str">
        <f t="shared" si="18"/>
        <v/>
      </c>
      <c r="D214" s="31"/>
      <c r="E214" s="31"/>
      <c r="F214" s="31"/>
      <c r="G214" s="31"/>
      <c r="H214" s="11"/>
      <c r="I214" s="11"/>
      <c r="J214" s="9"/>
      <c r="K214" s="11"/>
      <c r="L214" s="9"/>
      <c r="M214" s="12" t="str">
        <f t="shared" si="19"/>
        <v/>
      </c>
      <c r="N214" s="12" t="str">
        <f t="shared" si="20"/>
        <v/>
      </c>
      <c r="O214" s="8" t="str">
        <f t="shared" si="21"/>
        <v/>
      </c>
      <c r="P214" s="9"/>
      <c r="Q214" s="31"/>
      <c r="R214" s="8" t="str">
        <f t="shared" si="22"/>
        <v/>
      </c>
      <c r="S214" s="8" t="str">
        <f t="shared" si="23"/>
        <v/>
      </c>
      <c r="T214" s="8">
        <f>IF(S214="",0,IF(SUMPRODUCT(--(S$4:S214=S214))&gt;1,1,0))</f>
        <v>0</v>
      </c>
    </row>
    <row r="215" spans="1:20" x14ac:dyDescent="0.25">
      <c r="A215" s="8">
        <v>212</v>
      </c>
      <c r="B215" s="9"/>
      <c r="C215" s="33" t="str">
        <f t="shared" si="18"/>
        <v/>
      </c>
      <c r="D215" s="31"/>
      <c r="E215" s="31"/>
      <c r="F215" s="31"/>
      <c r="G215" s="31"/>
      <c r="H215" s="11"/>
      <c r="I215" s="11"/>
      <c r="J215" s="9"/>
      <c r="K215" s="11"/>
      <c r="L215" s="9"/>
      <c r="M215" s="12" t="str">
        <f t="shared" si="19"/>
        <v/>
      </c>
      <c r="N215" s="12" t="str">
        <f t="shared" si="20"/>
        <v/>
      </c>
      <c r="O215" s="8" t="str">
        <f t="shared" si="21"/>
        <v/>
      </c>
      <c r="P215" s="9"/>
      <c r="Q215" s="31"/>
      <c r="R215" s="8" t="str">
        <f t="shared" si="22"/>
        <v/>
      </c>
      <c r="S215" s="8" t="str">
        <f t="shared" si="23"/>
        <v/>
      </c>
      <c r="T215" s="8">
        <f>IF(S215="",0,IF(SUMPRODUCT(--(S$4:S215=S215))&gt;1,1,0))</f>
        <v>0</v>
      </c>
    </row>
    <row r="216" spans="1:20" x14ac:dyDescent="0.25">
      <c r="A216" s="8">
        <v>213</v>
      </c>
      <c r="B216" s="9"/>
      <c r="C216" s="33" t="str">
        <f t="shared" si="18"/>
        <v/>
      </c>
      <c r="D216" s="31"/>
      <c r="E216" s="31"/>
      <c r="F216" s="31"/>
      <c r="G216" s="31"/>
      <c r="H216" s="11"/>
      <c r="I216" s="11"/>
      <c r="J216" s="9"/>
      <c r="K216" s="11"/>
      <c r="L216" s="9"/>
      <c r="M216" s="12" t="str">
        <f t="shared" si="19"/>
        <v/>
      </c>
      <c r="N216" s="12" t="str">
        <f t="shared" si="20"/>
        <v/>
      </c>
      <c r="O216" s="8" t="str">
        <f t="shared" si="21"/>
        <v/>
      </c>
      <c r="P216" s="9"/>
      <c r="Q216" s="31"/>
      <c r="R216" s="8" t="str">
        <f t="shared" si="22"/>
        <v/>
      </c>
      <c r="S216" s="8" t="str">
        <f t="shared" si="23"/>
        <v/>
      </c>
      <c r="T216" s="8">
        <f>IF(S216="",0,IF(SUMPRODUCT(--(S$4:S216=S216))&gt;1,1,0))</f>
        <v>0</v>
      </c>
    </row>
    <row r="217" spans="1:20" x14ac:dyDescent="0.25">
      <c r="A217" s="8">
        <v>214</v>
      </c>
      <c r="B217" s="9"/>
      <c r="C217" s="33" t="str">
        <f t="shared" si="18"/>
        <v/>
      </c>
      <c r="D217" s="31"/>
      <c r="E217" s="31"/>
      <c r="F217" s="31"/>
      <c r="G217" s="31"/>
      <c r="H217" s="11"/>
      <c r="I217" s="11"/>
      <c r="J217" s="9"/>
      <c r="K217" s="11"/>
      <c r="L217" s="9"/>
      <c r="M217" s="12" t="str">
        <f t="shared" si="19"/>
        <v/>
      </c>
      <c r="N217" s="12" t="str">
        <f t="shared" si="20"/>
        <v/>
      </c>
      <c r="O217" s="8" t="str">
        <f t="shared" si="21"/>
        <v/>
      </c>
      <c r="P217" s="9"/>
      <c r="Q217" s="31"/>
      <c r="R217" s="8" t="str">
        <f t="shared" si="22"/>
        <v/>
      </c>
      <c r="S217" s="8" t="str">
        <f t="shared" si="23"/>
        <v/>
      </c>
      <c r="T217" s="8">
        <f>IF(S217="",0,IF(SUMPRODUCT(--(S$4:S217=S217))&gt;1,1,0))</f>
        <v>0</v>
      </c>
    </row>
    <row r="218" spans="1:20" x14ac:dyDescent="0.25">
      <c r="A218" s="8">
        <v>215</v>
      </c>
      <c r="B218" s="9"/>
      <c r="C218" s="33" t="str">
        <f t="shared" si="18"/>
        <v/>
      </c>
      <c r="D218" s="31"/>
      <c r="E218" s="31"/>
      <c r="F218" s="31"/>
      <c r="G218" s="31"/>
      <c r="H218" s="11"/>
      <c r="I218" s="11"/>
      <c r="J218" s="9"/>
      <c r="K218" s="11"/>
      <c r="L218" s="9"/>
      <c r="M218" s="12" t="str">
        <f t="shared" si="19"/>
        <v/>
      </c>
      <c r="N218" s="12" t="str">
        <f t="shared" si="20"/>
        <v/>
      </c>
      <c r="O218" s="8" t="str">
        <f t="shared" si="21"/>
        <v/>
      </c>
      <c r="P218" s="9"/>
      <c r="Q218" s="31"/>
      <c r="R218" s="8" t="str">
        <f t="shared" si="22"/>
        <v/>
      </c>
      <c r="S218" s="8" t="str">
        <f t="shared" si="23"/>
        <v/>
      </c>
      <c r="T218" s="8">
        <f>IF(S218="",0,IF(SUMPRODUCT(--(S$4:S218=S218))&gt;1,1,0))</f>
        <v>0</v>
      </c>
    </row>
    <row r="219" spans="1:20" x14ac:dyDescent="0.25">
      <c r="A219" s="8">
        <v>216</v>
      </c>
      <c r="B219" s="9"/>
      <c r="C219" s="33" t="str">
        <f t="shared" si="18"/>
        <v/>
      </c>
      <c r="D219" s="31"/>
      <c r="E219" s="31"/>
      <c r="F219" s="31"/>
      <c r="G219" s="31"/>
      <c r="H219" s="11"/>
      <c r="I219" s="11"/>
      <c r="J219" s="9"/>
      <c r="K219" s="11"/>
      <c r="L219" s="9"/>
      <c r="M219" s="12" t="str">
        <f t="shared" si="19"/>
        <v/>
      </c>
      <c r="N219" s="12" t="str">
        <f t="shared" si="20"/>
        <v/>
      </c>
      <c r="O219" s="8" t="str">
        <f t="shared" si="21"/>
        <v/>
      </c>
      <c r="P219" s="9"/>
      <c r="Q219" s="31"/>
      <c r="R219" s="8" t="str">
        <f t="shared" si="22"/>
        <v/>
      </c>
      <c r="S219" s="8" t="str">
        <f t="shared" si="23"/>
        <v/>
      </c>
      <c r="T219" s="8">
        <f>IF(S219="",0,IF(SUMPRODUCT(--(S$4:S219=S219))&gt;1,1,0))</f>
        <v>0</v>
      </c>
    </row>
    <row r="220" spans="1:20" x14ac:dyDescent="0.25">
      <c r="A220" s="8">
        <v>217</v>
      </c>
      <c r="B220" s="9"/>
      <c r="C220" s="33" t="str">
        <f t="shared" si="18"/>
        <v/>
      </c>
      <c r="D220" s="31"/>
      <c r="E220" s="31"/>
      <c r="F220" s="31"/>
      <c r="G220" s="31"/>
      <c r="H220" s="11"/>
      <c r="I220" s="11"/>
      <c r="J220" s="9"/>
      <c r="K220" s="11"/>
      <c r="L220" s="9"/>
      <c r="M220" s="12" t="str">
        <f t="shared" si="19"/>
        <v/>
      </c>
      <c r="N220" s="12" t="str">
        <f t="shared" si="20"/>
        <v/>
      </c>
      <c r="O220" s="8" t="str">
        <f t="shared" si="21"/>
        <v/>
      </c>
      <c r="P220" s="9"/>
      <c r="Q220" s="31"/>
      <c r="R220" s="8" t="str">
        <f t="shared" si="22"/>
        <v/>
      </c>
      <c r="S220" s="8" t="str">
        <f t="shared" si="23"/>
        <v/>
      </c>
      <c r="T220" s="8">
        <f>IF(S220="",0,IF(SUMPRODUCT(--(S$4:S220=S220))&gt;1,1,0))</f>
        <v>0</v>
      </c>
    </row>
    <row r="221" spans="1:20" x14ac:dyDescent="0.25">
      <c r="A221" s="8">
        <v>218</v>
      </c>
      <c r="B221" s="9"/>
      <c r="C221" s="33" t="str">
        <f t="shared" si="18"/>
        <v/>
      </c>
      <c r="D221" s="31"/>
      <c r="E221" s="31"/>
      <c r="F221" s="31"/>
      <c r="G221" s="31"/>
      <c r="H221" s="11"/>
      <c r="I221" s="11"/>
      <c r="J221" s="9"/>
      <c r="K221" s="11"/>
      <c r="L221" s="9"/>
      <c r="M221" s="12" t="str">
        <f t="shared" si="19"/>
        <v/>
      </c>
      <c r="N221" s="12" t="str">
        <f t="shared" si="20"/>
        <v/>
      </c>
      <c r="O221" s="8" t="str">
        <f t="shared" si="21"/>
        <v/>
      </c>
      <c r="P221" s="9"/>
      <c r="Q221" s="31"/>
      <c r="R221" s="8" t="str">
        <f t="shared" si="22"/>
        <v/>
      </c>
      <c r="S221" s="8" t="str">
        <f t="shared" si="23"/>
        <v/>
      </c>
      <c r="T221" s="8">
        <f>IF(S221="",0,IF(SUMPRODUCT(--(S$4:S221=S221))&gt;1,1,0))</f>
        <v>0</v>
      </c>
    </row>
    <row r="222" spans="1:20" x14ac:dyDescent="0.25">
      <c r="A222" s="8">
        <v>219</v>
      </c>
      <c r="B222" s="9"/>
      <c r="C222" s="33" t="str">
        <f t="shared" si="18"/>
        <v/>
      </c>
      <c r="D222" s="31"/>
      <c r="E222" s="31"/>
      <c r="F222" s="31"/>
      <c r="G222" s="31"/>
      <c r="H222" s="11"/>
      <c r="I222" s="11"/>
      <c r="J222" s="9"/>
      <c r="K222" s="11"/>
      <c r="L222" s="9"/>
      <c r="M222" s="12" t="str">
        <f t="shared" si="19"/>
        <v/>
      </c>
      <c r="N222" s="12" t="str">
        <f t="shared" si="20"/>
        <v/>
      </c>
      <c r="O222" s="8" t="str">
        <f t="shared" si="21"/>
        <v/>
      </c>
      <c r="P222" s="9"/>
      <c r="Q222" s="31"/>
      <c r="R222" s="8" t="str">
        <f t="shared" si="22"/>
        <v/>
      </c>
      <c r="S222" s="8" t="str">
        <f t="shared" si="23"/>
        <v/>
      </c>
      <c r="T222" s="8">
        <f>IF(S222="",0,IF(SUMPRODUCT(--(S$4:S222=S222))&gt;1,1,0))</f>
        <v>0</v>
      </c>
    </row>
    <row r="223" spans="1:20" x14ac:dyDescent="0.25">
      <c r="A223" s="8">
        <v>220</v>
      </c>
      <c r="B223" s="9"/>
      <c r="C223" s="33" t="str">
        <f t="shared" si="18"/>
        <v/>
      </c>
      <c r="D223" s="31"/>
      <c r="E223" s="31"/>
      <c r="F223" s="31"/>
      <c r="G223" s="31"/>
      <c r="H223" s="11"/>
      <c r="I223" s="11"/>
      <c r="J223" s="9"/>
      <c r="K223" s="11"/>
      <c r="L223" s="9"/>
      <c r="M223" s="12" t="str">
        <f t="shared" si="19"/>
        <v/>
      </c>
      <c r="N223" s="12" t="str">
        <f t="shared" si="20"/>
        <v/>
      </c>
      <c r="O223" s="8" t="str">
        <f t="shared" si="21"/>
        <v/>
      </c>
      <c r="P223" s="9"/>
      <c r="Q223" s="31"/>
      <c r="R223" s="8" t="str">
        <f t="shared" si="22"/>
        <v/>
      </c>
      <c r="S223" s="8" t="str">
        <f t="shared" si="23"/>
        <v/>
      </c>
      <c r="T223" s="8">
        <f>IF(S223="",0,IF(SUMPRODUCT(--(S$4:S223=S223))&gt;1,1,0))</f>
        <v>0</v>
      </c>
    </row>
    <row r="224" spans="1:20" x14ac:dyDescent="0.25">
      <c r="A224" s="8">
        <v>221</v>
      </c>
      <c r="B224" s="9"/>
      <c r="C224" s="33" t="str">
        <f t="shared" si="18"/>
        <v/>
      </c>
      <c r="D224" s="31"/>
      <c r="E224" s="31"/>
      <c r="F224" s="31"/>
      <c r="G224" s="31"/>
      <c r="H224" s="11"/>
      <c r="I224" s="11"/>
      <c r="J224" s="9"/>
      <c r="K224" s="11"/>
      <c r="L224" s="9"/>
      <c r="M224" s="12" t="str">
        <f t="shared" si="19"/>
        <v/>
      </c>
      <c r="N224" s="12" t="str">
        <f t="shared" si="20"/>
        <v/>
      </c>
      <c r="O224" s="8" t="str">
        <f t="shared" si="21"/>
        <v/>
      </c>
      <c r="P224" s="9"/>
      <c r="Q224" s="31"/>
      <c r="R224" s="8" t="str">
        <f t="shared" si="22"/>
        <v/>
      </c>
      <c r="S224" s="8" t="str">
        <f t="shared" si="23"/>
        <v/>
      </c>
      <c r="T224" s="8">
        <f>IF(S224="",0,IF(SUMPRODUCT(--(S$4:S224=S224))&gt;1,1,0))</f>
        <v>0</v>
      </c>
    </row>
    <row r="225" spans="1:20" x14ac:dyDescent="0.25">
      <c r="A225" s="8">
        <v>222</v>
      </c>
      <c r="B225" s="9"/>
      <c r="C225" s="33" t="str">
        <f t="shared" si="18"/>
        <v/>
      </c>
      <c r="D225" s="31"/>
      <c r="E225" s="31"/>
      <c r="F225" s="31"/>
      <c r="G225" s="31"/>
      <c r="H225" s="11"/>
      <c r="I225" s="11"/>
      <c r="J225" s="9"/>
      <c r="K225" s="11"/>
      <c r="L225" s="9"/>
      <c r="M225" s="12" t="str">
        <f t="shared" si="19"/>
        <v/>
      </c>
      <c r="N225" s="12" t="str">
        <f t="shared" si="20"/>
        <v/>
      </c>
      <c r="O225" s="8" t="str">
        <f t="shared" si="21"/>
        <v/>
      </c>
      <c r="P225" s="9"/>
      <c r="Q225" s="31"/>
      <c r="R225" s="8" t="str">
        <f t="shared" si="22"/>
        <v/>
      </c>
      <c r="S225" s="8" t="str">
        <f t="shared" si="23"/>
        <v/>
      </c>
      <c r="T225" s="8">
        <f>IF(S225="",0,IF(SUMPRODUCT(--(S$4:S225=S225))&gt;1,1,0))</f>
        <v>0</v>
      </c>
    </row>
    <row r="226" spans="1:20" x14ac:dyDescent="0.25">
      <c r="A226" s="8">
        <v>223</v>
      </c>
      <c r="B226" s="9"/>
      <c r="C226" s="33" t="str">
        <f t="shared" si="18"/>
        <v/>
      </c>
      <c r="D226" s="31"/>
      <c r="E226" s="31"/>
      <c r="F226" s="31"/>
      <c r="G226" s="31"/>
      <c r="H226" s="11"/>
      <c r="I226" s="11"/>
      <c r="J226" s="9"/>
      <c r="K226" s="11"/>
      <c r="L226" s="9"/>
      <c r="M226" s="12" t="str">
        <f t="shared" si="19"/>
        <v/>
      </c>
      <c r="N226" s="12" t="str">
        <f t="shared" si="20"/>
        <v/>
      </c>
      <c r="O226" s="8" t="str">
        <f t="shared" si="21"/>
        <v/>
      </c>
      <c r="P226" s="9"/>
      <c r="Q226" s="31"/>
      <c r="R226" s="8" t="str">
        <f t="shared" si="22"/>
        <v/>
      </c>
      <c r="S226" s="8" t="str">
        <f t="shared" si="23"/>
        <v/>
      </c>
      <c r="T226" s="8">
        <f>IF(S226="",0,IF(SUMPRODUCT(--(S$4:S226=S226))&gt;1,1,0))</f>
        <v>0</v>
      </c>
    </row>
    <row r="227" spans="1:20" x14ac:dyDescent="0.25">
      <c r="A227" s="8">
        <v>224</v>
      </c>
      <c r="B227" s="9"/>
      <c r="C227" s="33" t="str">
        <f t="shared" si="18"/>
        <v/>
      </c>
      <c r="D227" s="31"/>
      <c r="E227" s="31"/>
      <c r="F227" s="31"/>
      <c r="G227" s="31"/>
      <c r="H227" s="11"/>
      <c r="I227" s="11"/>
      <c r="J227" s="9"/>
      <c r="K227" s="11"/>
      <c r="L227" s="9"/>
      <c r="M227" s="12" t="str">
        <f t="shared" si="19"/>
        <v/>
      </c>
      <c r="N227" s="12" t="str">
        <f t="shared" si="20"/>
        <v/>
      </c>
      <c r="O227" s="8" t="str">
        <f t="shared" si="21"/>
        <v/>
      </c>
      <c r="P227" s="9"/>
      <c r="Q227" s="31"/>
      <c r="R227" s="8" t="str">
        <f t="shared" si="22"/>
        <v/>
      </c>
      <c r="S227" s="8" t="str">
        <f t="shared" si="23"/>
        <v/>
      </c>
      <c r="T227" s="8">
        <f>IF(S227="",0,IF(SUMPRODUCT(--(S$4:S227=S227))&gt;1,1,0))</f>
        <v>0</v>
      </c>
    </row>
    <row r="228" spans="1:20" x14ac:dyDescent="0.25">
      <c r="A228" s="8">
        <v>225</v>
      </c>
      <c r="B228" s="9"/>
      <c r="C228" s="33" t="str">
        <f t="shared" si="18"/>
        <v/>
      </c>
      <c r="D228" s="31"/>
      <c r="E228" s="31"/>
      <c r="F228" s="31"/>
      <c r="G228" s="31"/>
      <c r="H228" s="11"/>
      <c r="I228" s="11"/>
      <c r="J228" s="9"/>
      <c r="K228" s="11"/>
      <c r="L228" s="9"/>
      <c r="M228" s="12" t="str">
        <f t="shared" si="19"/>
        <v/>
      </c>
      <c r="N228" s="12" t="str">
        <f t="shared" si="20"/>
        <v/>
      </c>
      <c r="O228" s="8" t="str">
        <f t="shared" si="21"/>
        <v/>
      </c>
      <c r="P228" s="9"/>
      <c r="Q228" s="31"/>
      <c r="R228" s="8" t="str">
        <f t="shared" si="22"/>
        <v/>
      </c>
      <c r="S228" s="8" t="str">
        <f t="shared" si="23"/>
        <v/>
      </c>
      <c r="T228" s="8">
        <f>IF(S228="",0,IF(SUMPRODUCT(--(S$4:S228=S228))&gt;1,1,0))</f>
        <v>0</v>
      </c>
    </row>
    <row r="229" spans="1:20" x14ac:dyDescent="0.25">
      <c r="A229" s="8">
        <v>226</v>
      </c>
      <c r="B229" s="9"/>
      <c r="C229" s="33" t="str">
        <f t="shared" si="18"/>
        <v/>
      </c>
      <c r="D229" s="31"/>
      <c r="E229" s="31"/>
      <c r="F229" s="31"/>
      <c r="G229" s="31"/>
      <c r="H229" s="11"/>
      <c r="I229" s="11"/>
      <c r="J229" s="9"/>
      <c r="K229" s="11"/>
      <c r="L229" s="9"/>
      <c r="M229" s="12" t="str">
        <f t="shared" si="19"/>
        <v/>
      </c>
      <c r="N229" s="12" t="str">
        <f t="shared" si="20"/>
        <v/>
      </c>
      <c r="O229" s="8" t="str">
        <f t="shared" si="21"/>
        <v/>
      </c>
      <c r="P229" s="9"/>
      <c r="Q229" s="31"/>
      <c r="R229" s="8" t="str">
        <f t="shared" si="22"/>
        <v/>
      </c>
      <c r="S229" s="8" t="str">
        <f t="shared" si="23"/>
        <v/>
      </c>
      <c r="T229" s="8">
        <f>IF(S229="",0,IF(SUMPRODUCT(--(S$4:S229=S229))&gt;1,1,0))</f>
        <v>0</v>
      </c>
    </row>
    <row r="230" spans="1:20" x14ac:dyDescent="0.25">
      <c r="A230" s="8">
        <v>227</v>
      </c>
      <c r="B230" s="9"/>
      <c r="C230" s="33" t="str">
        <f t="shared" si="18"/>
        <v/>
      </c>
      <c r="D230" s="31"/>
      <c r="E230" s="31"/>
      <c r="F230" s="31"/>
      <c r="G230" s="31"/>
      <c r="H230" s="11"/>
      <c r="I230" s="11"/>
      <c r="J230" s="9"/>
      <c r="K230" s="11"/>
      <c r="L230" s="9"/>
      <c r="M230" s="12" t="str">
        <f t="shared" si="19"/>
        <v/>
      </c>
      <c r="N230" s="12" t="str">
        <f t="shared" si="20"/>
        <v/>
      </c>
      <c r="O230" s="8" t="str">
        <f t="shared" si="21"/>
        <v/>
      </c>
      <c r="P230" s="9"/>
      <c r="Q230" s="31"/>
      <c r="R230" s="8" t="str">
        <f t="shared" si="22"/>
        <v/>
      </c>
      <c r="S230" s="8" t="str">
        <f t="shared" si="23"/>
        <v/>
      </c>
      <c r="T230" s="8">
        <f>IF(S230="",0,IF(SUMPRODUCT(--(S$4:S230=S230))&gt;1,1,0))</f>
        <v>0</v>
      </c>
    </row>
    <row r="231" spans="1:20" x14ac:dyDescent="0.25">
      <c r="A231" s="8">
        <v>228</v>
      </c>
      <c r="B231" s="9"/>
      <c r="C231" s="33" t="str">
        <f t="shared" si="18"/>
        <v/>
      </c>
      <c r="D231" s="31"/>
      <c r="E231" s="31"/>
      <c r="F231" s="31"/>
      <c r="G231" s="31"/>
      <c r="H231" s="11"/>
      <c r="I231" s="11"/>
      <c r="J231" s="9"/>
      <c r="K231" s="11"/>
      <c r="L231" s="9"/>
      <c r="M231" s="12" t="str">
        <f t="shared" si="19"/>
        <v/>
      </c>
      <c r="N231" s="12" t="str">
        <f t="shared" si="20"/>
        <v/>
      </c>
      <c r="O231" s="8" t="str">
        <f t="shared" si="21"/>
        <v/>
      </c>
      <c r="P231" s="9"/>
      <c r="Q231" s="31"/>
      <c r="R231" s="8" t="str">
        <f t="shared" si="22"/>
        <v/>
      </c>
      <c r="S231" s="8" t="str">
        <f t="shared" si="23"/>
        <v/>
      </c>
      <c r="T231" s="8">
        <f>IF(S231="",0,IF(SUMPRODUCT(--(S$4:S231=S231))&gt;1,1,0))</f>
        <v>0</v>
      </c>
    </row>
    <row r="232" spans="1:20" x14ac:dyDescent="0.25">
      <c r="A232" s="8">
        <v>229</v>
      </c>
      <c r="B232" s="9"/>
      <c r="C232" s="33" t="str">
        <f t="shared" si="18"/>
        <v/>
      </c>
      <c r="D232" s="31"/>
      <c r="E232" s="31"/>
      <c r="F232" s="31"/>
      <c r="G232" s="31"/>
      <c r="H232" s="11"/>
      <c r="I232" s="11"/>
      <c r="J232" s="9"/>
      <c r="K232" s="11"/>
      <c r="L232" s="9"/>
      <c r="M232" s="12" t="str">
        <f t="shared" si="19"/>
        <v/>
      </c>
      <c r="N232" s="12" t="str">
        <f t="shared" si="20"/>
        <v/>
      </c>
      <c r="O232" s="8" t="str">
        <f t="shared" si="21"/>
        <v/>
      </c>
      <c r="P232" s="9"/>
      <c r="Q232" s="31"/>
      <c r="R232" s="8" t="str">
        <f t="shared" si="22"/>
        <v/>
      </c>
      <c r="S232" s="8" t="str">
        <f t="shared" si="23"/>
        <v/>
      </c>
      <c r="T232" s="8">
        <f>IF(S232="",0,IF(SUMPRODUCT(--(S$4:S232=S232))&gt;1,1,0))</f>
        <v>0</v>
      </c>
    </row>
    <row r="233" spans="1:20" x14ac:dyDescent="0.25">
      <c r="A233" s="8">
        <v>230</v>
      </c>
      <c r="B233" s="9"/>
      <c r="C233" s="33" t="str">
        <f t="shared" si="18"/>
        <v/>
      </c>
      <c r="D233" s="31"/>
      <c r="E233" s="31"/>
      <c r="F233" s="31"/>
      <c r="G233" s="31"/>
      <c r="H233" s="11"/>
      <c r="I233" s="11"/>
      <c r="J233" s="9"/>
      <c r="K233" s="11"/>
      <c r="L233" s="9"/>
      <c r="M233" s="12" t="str">
        <f t="shared" si="19"/>
        <v/>
      </c>
      <c r="N233" s="12" t="str">
        <f t="shared" si="20"/>
        <v/>
      </c>
      <c r="O233" s="8" t="str">
        <f t="shared" si="21"/>
        <v/>
      </c>
      <c r="P233" s="9"/>
      <c r="Q233" s="31"/>
      <c r="R233" s="8" t="str">
        <f t="shared" si="22"/>
        <v/>
      </c>
      <c r="S233" s="8" t="str">
        <f t="shared" si="23"/>
        <v/>
      </c>
      <c r="T233" s="8">
        <f>IF(S233="",0,IF(SUMPRODUCT(--(S$4:S233=S233))&gt;1,1,0))</f>
        <v>0</v>
      </c>
    </row>
    <row r="234" spans="1:20" x14ac:dyDescent="0.25">
      <c r="A234" s="8">
        <v>231</v>
      </c>
      <c r="B234" s="9"/>
      <c r="C234" s="33" t="str">
        <f t="shared" si="18"/>
        <v/>
      </c>
      <c r="D234" s="31"/>
      <c r="E234" s="31"/>
      <c r="F234" s="31"/>
      <c r="G234" s="31"/>
      <c r="H234" s="11"/>
      <c r="I234" s="11"/>
      <c r="J234" s="9"/>
      <c r="K234" s="11"/>
      <c r="L234" s="9"/>
      <c r="M234" s="12" t="str">
        <f t="shared" si="19"/>
        <v/>
      </c>
      <c r="N234" s="12" t="str">
        <f t="shared" si="20"/>
        <v/>
      </c>
      <c r="O234" s="8" t="str">
        <f t="shared" si="21"/>
        <v/>
      </c>
      <c r="P234" s="9"/>
      <c r="Q234" s="31"/>
      <c r="R234" s="8" t="str">
        <f t="shared" si="22"/>
        <v/>
      </c>
      <c r="S234" s="8" t="str">
        <f t="shared" si="23"/>
        <v/>
      </c>
      <c r="T234" s="8">
        <f>IF(S234="",0,IF(SUMPRODUCT(--(S$4:S234=S234))&gt;1,1,0))</f>
        <v>0</v>
      </c>
    </row>
    <row r="235" spans="1:20" x14ac:dyDescent="0.25">
      <c r="A235" s="8">
        <v>232</v>
      </c>
      <c r="B235" s="9"/>
      <c r="C235" s="33" t="str">
        <f t="shared" si="18"/>
        <v/>
      </c>
      <c r="D235" s="31"/>
      <c r="E235" s="31"/>
      <c r="F235" s="31"/>
      <c r="G235" s="31"/>
      <c r="H235" s="11"/>
      <c r="I235" s="11"/>
      <c r="J235" s="9"/>
      <c r="K235" s="11"/>
      <c r="L235" s="9"/>
      <c r="M235" s="12" t="str">
        <f t="shared" si="19"/>
        <v/>
      </c>
      <c r="N235" s="12" t="str">
        <f t="shared" si="20"/>
        <v/>
      </c>
      <c r="O235" s="8" t="str">
        <f t="shared" si="21"/>
        <v/>
      </c>
      <c r="P235" s="9"/>
      <c r="Q235" s="31"/>
      <c r="R235" s="8" t="str">
        <f t="shared" si="22"/>
        <v/>
      </c>
      <c r="S235" s="8" t="str">
        <f t="shared" si="23"/>
        <v/>
      </c>
      <c r="T235" s="8">
        <f>IF(S235="",0,IF(SUMPRODUCT(--(S$4:S235=S235))&gt;1,1,0))</f>
        <v>0</v>
      </c>
    </row>
    <row r="236" spans="1:20" x14ac:dyDescent="0.25">
      <c r="A236" s="8">
        <v>233</v>
      </c>
      <c r="B236" s="9"/>
      <c r="C236" s="33" t="str">
        <f t="shared" si="18"/>
        <v/>
      </c>
      <c r="D236" s="31"/>
      <c r="E236" s="31"/>
      <c r="F236" s="31"/>
      <c r="G236" s="31"/>
      <c r="H236" s="11"/>
      <c r="I236" s="11"/>
      <c r="J236" s="9"/>
      <c r="K236" s="11"/>
      <c r="L236" s="9"/>
      <c r="M236" s="12" t="str">
        <f t="shared" si="19"/>
        <v/>
      </c>
      <c r="N236" s="12" t="str">
        <f t="shared" si="20"/>
        <v/>
      </c>
      <c r="O236" s="8" t="str">
        <f t="shared" si="21"/>
        <v/>
      </c>
      <c r="P236" s="9"/>
      <c r="Q236" s="31"/>
      <c r="R236" s="8" t="str">
        <f t="shared" si="22"/>
        <v/>
      </c>
      <c r="S236" s="8" t="str">
        <f t="shared" si="23"/>
        <v/>
      </c>
      <c r="T236" s="8">
        <f>IF(S236="",0,IF(SUMPRODUCT(--(S$4:S236=S236))&gt;1,1,0))</f>
        <v>0</v>
      </c>
    </row>
    <row r="237" spans="1:20" x14ac:dyDescent="0.25">
      <c r="A237" s="8">
        <v>234</v>
      </c>
      <c r="B237" s="9"/>
      <c r="C237" s="33" t="str">
        <f t="shared" si="18"/>
        <v/>
      </c>
      <c r="D237" s="31"/>
      <c r="E237" s="31"/>
      <c r="F237" s="31"/>
      <c r="G237" s="31"/>
      <c r="H237" s="11"/>
      <c r="I237" s="11"/>
      <c r="J237" s="9"/>
      <c r="K237" s="11"/>
      <c r="L237" s="9"/>
      <c r="M237" s="12" t="str">
        <f t="shared" si="19"/>
        <v/>
      </c>
      <c r="N237" s="12" t="str">
        <f t="shared" si="20"/>
        <v/>
      </c>
      <c r="O237" s="8" t="str">
        <f t="shared" si="21"/>
        <v/>
      </c>
      <c r="P237" s="9"/>
      <c r="Q237" s="31"/>
      <c r="R237" s="8" t="str">
        <f t="shared" si="22"/>
        <v/>
      </c>
      <c r="S237" s="8" t="str">
        <f t="shared" si="23"/>
        <v/>
      </c>
      <c r="T237" s="8">
        <f>IF(S237="",0,IF(SUMPRODUCT(--(S$4:S237=S237))&gt;1,1,0))</f>
        <v>0</v>
      </c>
    </row>
    <row r="238" spans="1:20" x14ac:dyDescent="0.25">
      <c r="A238" s="8">
        <v>235</v>
      </c>
      <c r="B238" s="9"/>
      <c r="C238" s="33" t="str">
        <f t="shared" si="18"/>
        <v/>
      </c>
      <c r="D238" s="31"/>
      <c r="E238" s="31"/>
      <c r="F238" s="31"/>
      <c r="G238" s="31"/>
      <c r="H238" s="11"/>
      <c r="I238" s="11"/>
      <c r="J238" s="9"/>
      <c r="K238" s="11"/>
      <c r="L238" s="9"/>
      <c r="M238" s="12" t="str">
        <f t="shared" si="19"/>
        <v/>
      </c>
      <c r="N238" s="12" t="str">
        <f t="shared" si="20"/>
        <v/>
      </c>
      <c r="O238" s="8" t="str">
        <f t="shared" si="21"/>
        <v/>
      </c>
      <c r="P238" s="9"/>
      <c r="Q238" s="31"/>
      <c r="R238" s="8" t="str">
        <f t="shared" si="22"/>
        <v/>
      </c>
      <c r="S238" s="8" t="str">
        <f t="shared" si="23"/>
        <v/>
      </c>
      <c r="T238" s="8">
        <f>IF(S238="",0,IF(SUMPRODUCT(--(S$4:S238=S238))&gt;1,1,0))</f>
        <v>0</v>
      </c>
    </row>
    <row r="239" spans="1:20" x14ac:dyDescent="0.25">
      <c r="A239" s="8">
        <v>236</v>
      </c>
      <c r="B239" s="9"/>
      <c r="C239" s="33" t="str">
        <f t="shared" si="18"/>
        <v/>
      </c>
      <c r="D239" s="31"/>
      <c r="E239" s="31"/>
      <c r="F239" s="31"/>
      <c r="G239" s="31"/>
      <c r="H239" s="11"/>
      <c r="I239" s="11"/>
      <c r="J239" s="9"/>
      <c r="K239" s="11"/>
      <c r="L239" s="9"/>
      <c r="M239" s="12" t="str">
        <f t="shared" si="19"/>
        <v/>
      </c>
      <c r="N239" s="12" t="str">
        <f t="shared" si="20"/>
        <v/>
      </c>
      <c r="O239" s="8" t="str">
        <f t="shared" si="21"/>
        <v/>
      </c>
      <c r="P239" s="9"/>
      <c r="Q239" s="31"/>
      <c r="R239" s="8" t="str">
        <f t="shared" si="22"/>
        <v/>
      </c>
      <c r="S239" s="8" t="str">
        <f t="shared" si="23"/>
        <v/>
      </c>
      <c r="T239" s="8">
        <f>IF(S239="",0,IF(SUMPRODUCT(--(S$4:S239=S239))&gt;1,1,0))</f>
        <v>0</v>
      </c>
    </row>
    <row r="240" spans="1:20" x14ac:dyDescent="0.25">
      <c r="A240" s="8">
        <v>237</v>
      </c>
      <c r="B240" s="9"/>
      <c r="C240" s="33" t="str">
        <f t="shared" si="18"/>
        <v/>
      </c>
      <c r="D240" s="31"/>
      <c r="E240" s="31"/>
      <c r="F240" s="31"/>
      <c r="G240" s="31"/>
      <c r="H240" s="11"/>
      <c r="I240" s="11"/>
      <c r="J240" s="9"/>
      <c r="K240" s="11"/>
      <c r="L240" s="9"/>
      <c r="M240" s="12" t="str">
        <f t="shared" si="19"/>
        <v/>
      </c>
      <c r="N240" s="12" t="str">
        <f t="shared" si="20"/>
        <v/>
      </c>
      <c r="O240" s="8" t="str">
        <f t="shared" si="21"/>
        <v/>
      </c>
      <c r="P240" s="9"/>
      <c r="Q240" s="31"/>
      <c r="R240" s="8" t="str">
        <f t="shared" si="22"/>
        <v/>
      </c>
      <c r="S240" s="8" t="str">
        <f t="shared" si="23"/>
        <v/>
      </c>
      <c r="T240" s="8">
        <f>IF(S240="",0,IF(SUMPRODUCT(--(S$4:S240=S240))&gt;1,1,0))</f>
        <v>0</v>
      </c>
    </row>
    <row r="241" spans="1:20" x14ac:dyDescent="0.25">
      <c r="A241" s="8">
        <v>238</v>
      </c>
      <c r="B241" s="9"/>
      <c r="C241" s="33" t="str">
        <f t="shared" si="18"/>
        <v/>
      </c>
      <c r="D241" s="31"/>
      <c r="E241" s="31"/>
      <c r="F241" s="31"/>
      <c r="G241" s="31"/>
      <c r="H241" s="11"/>
      <c r="I241" s="11"/>
      <c r="J241" s="9"/>
      <c r="K241" s="11"/>
      <c r="L241" s="9"/>
      <c r="M241" s="12" t="str">
        <f t="shared" si="19"/>
        <v/>
      </c>
      <c r="N241" s="12" t="str">
        <f t="shared" si="20"/>
        <v/>
      </c>
      <c r="O241" s="8" t="str">
        <f t="shared" si="21"/>
        <v/>
      </c>
      <c r="P241" s="9"/>
      <c r="Q241" s="31"/>
      <c r="R241" s="8" t="str">
        <f t="shared" si="22"/>
        <v/>
      </c>
      <c r="S241" s="8" t="str">
        <f t="shared" si="23"/>
        <v/>
      </c>
      <c r="T241" s="8">
        <f>IF(S241="",0,IF(SUMPRODUCT(--(S$4:S241=S241))&gt;1,1,0))</f>
        <v>0</v>
      </c>
    </row>
    <row r="242" spans="1:20" x14ac:dyDescent="0.25">
      <c r="A242" s="8">
        <v>239</v>
      </c>
      <c r="B242" s="9"/>
      <c r="C242" s="33" t="str">
        <f t="shared" si="18"/>
        <v/>
      </c>
      <c r="D242" s="31"/>
      <c r="E242" s="31"/>
      <c r="F242" s="31"/>
      <c r="G242" s="31"/>
      <c r="H242" s="11"/>
      <c r="I242" s="11"/>
      <c r="J242" s="9"/>
      <c r="K242" s="11"/>
      <c r="L242" s="9"/>
      <c r="M242" s="12" t="str">
        <f t="shared" si="19"/>
        <v/>
      </c>
      <c r="N242" s="12" t="str">
        <f t="shared" si="20"/>
        <v/>
      </c>
      <c r="O242" s="8" t="str">
        <f t="shared" si="21"/>
        <v/>
      </c>
      <c r="P242" s="9"/>
      <c r="Q242" s="31"/>
      <c r="R242" s="8" t="str">
        <f t="shared" si="22"/>
        <v/>
      </c>
      <c r="S242" s="8" t="str">
        <f t="shared" si="23"/>
        <v/>
      </c>
      <c r="T242" s="8">
        <f>IF(S242="",0,IF(SUMPRODUCT(--(S$4:S242=S242))&gt;1,1,0))</f>
        <v>0</v>
      </c>
    </row>
    <row r="243" spans="1:20" x14ac:dyDescent="0.25">
      <c r="A243" s="8">
        <v>240</v>
      </c>
      <c r="B243" s="9"/>
      <c r="C243" s="33" t="str">
        <f t="shared" si="18"/>
        <v/>
      </c>
      <c r="D243" s="31"/>
      <c r="E243" s="31"/>
      <c r="F243" s="31"/>
      <c r="G243" s="31"/>
      <c r="H243" s="11"/>
      <c r="I243" s="11"/>
      <c r="J243" s="9"/>
      <c r="K243" s="11"/>
      <c r="L243" s="9"/>
      <c r="M243" s="12" t="str">
        <f t="shared" si="19"/>
        <v/>
      </c>
      <c r="N243" s="12" t="str">
        <f t="shared" si="20"/>
        <v/>
      </c>
      <c r="O243" s="8" t="str">
        <f t="shared" si="21"/>
        <v/>
      </c>
      <c r="P243" s="9"/>
      <c r="Q243" s="31"/>
      <c r="R243" s="8" t="str">
        <f t="shared" si="22"/>
        <v/>
      </c>
      <c r="S243" s="8" t="str">
        <f t="shared" si="23"/>
        <v/>
      </c>
      <c r="T243" s="8">
        <f>IF(S243="",0,IF(SUMPRODUCT(--(S$4:S243=S243))&gt;1,1,0))</f>
        <v>0</v>
      </c>
    </row>
    <row r="244" spans="1:20" x14ac:dyDescent="0.25">
      <c r="A244" s="8">
        <v>241</v>
      </c>
      <c r="B244" s="9"/>
      <c r="C244" s="33" t="str">
        <f t="shared" si="18"/>
        <v/>
      </c>
      <c r="D244" s="31"/>
      <c r="E244" s="31"/>
      <c r="F244" s="31"/>
      <c r="G244" s="31"/>
      <c r="H244" s="11"/>
      <c r="I244" s="11"/>
      <c r="J244" s="9"/>
      <c r="K244" s="11"/>
      <c r="L244" s="9"/>
      <c r="M244" s="12" t="str">
        <f t="shared" si="19"/>
        <v/>
      </c>
      <c r="N244" s="12" t="str">
        <f t="shared" si="20"/>
        <v/>
      </c>
      <c r="O244" s="8" t="str">
        <f t="shared" si="21"/>
        <v/>
      </c>
      <c r="P244" s="9"/>
      <c r="Q244" s="31"/>
      <c r="R244" s="8" t="str">
        <f t="shared" si="22"/>
        <v/>
      </c>
      <c r="S244" s="8" t="str">
        <f t="shared" si="23"/>
        <v/>
      </c>
      <c r="T244" s="8">
        <f>IF(S244="",0,IF(SUMPRODUCT(--(S$4:S244=S244))&gt;1,1,0))</f>
        <v>0</v>
      </c>
    </row>
    <row r="245" spans="1:20" x14ac:dyDescent="0.25">
      <c r="A245" s="8">
        <v>242</v>
      </c>
      <c r="B245" s="9"/>
      <c r="C245" s="33" t="str">
        <f t="shared" si="18"/>
        <v/>
      </c>
      <c r="D245" s="31"/>
      <c r="E245" s="31"/>
      <c r="F245" s="31"/>
      <c r="G245" s="31"/>
      <c r="H245" s="11"/>
      <c r="I245" s="11"/>
      <c r="J245" s="9"/>
      <c r="K245" s="11"/>
      <c r="L245" s="9"/>
      <c r="M245" s="12" t="str">
        <f t="shared" si="19"/>
        <v/>
      </c>
      <c r="N245" s="12" t="str">
        <f t="shared" si="20"/>
        <v/>
      </c>
      <c r="O245" s="8" t="str">
        <f t="shared" si="21"/>
        <v/>
      </c>
      <c r="P245" s="9"/>
      <c r="Q245" s="31"/>
      <c r="R245" s="8" t="str">
        <f t="shared" si="22"/>
        <v/>
      </c>
      <c r="S245" s="8" t="str">
        <f t="shared" si="23"/>
        <v/>
      </c>
      <c r="T245" s="8">
        <f>IF(S245="",0,IF(SUMPRODUCT(--(S$4:S245=S245))&gt;1,1,0))</f>
        <v>0</v>
      </c>
    </row>
    <row r="246" spans="1:20" x14ac:dyDescent="0.25">
      <c r="A246" s="8">
        <v>243</v>
      </c>
      <c r="B246" s="9"/>
      <c r="C246" s="33" t="str">
        <f t="shared" si="18"/>
        <v/>
      </c>
      <c r="D246" s="31"/>
      <c r="E246" s="31"/>
      <c r="F246" s="31"/>
      <c r="G246" s="31"/>
      <c r="H246" s="11"/>
      <c r="I246" s="11"/>
      <c r="J246" s="9"/>
      <c r="K246" s="11"/>
      <c r="L246" s="9"/>
      <c r="M246" s="12" t="str">
        <f t="shared" si="19"/>
        <v/>
      </c>
      <c r="N246" s="12" t="str">
        <f t="shared" si="20"/>
        <v/>
      </c>
      <c r="O246" s="8" t="str">
        <f t="shared" si="21"/>
        <v/>
      </c>
      <c r="P246" s="9"/>
      <c r="Q246" s="31"/>
      <c r="R246" s="8" t="str">
        <f t="shared" si="22"/>
        <v/>
      </c>
      <c r="S246" s="8" t="str">
        <f t="shared" si="23"/>
        <v/>
      </c>
      <c r="T246" s="8">
        <f>IF(S246="",0,IF(SUMPRODUCT(--(S$4:S246=S246))&gt;1,1,0))</f>
        <v>0</v>
      </c>
    </row>
    <row r="247" spans="1:20" x14ac:dyDescent="0.25">
      <c r="A247" s="8">
        <v>244</v>
      </c>
      <c r="B247" s="9"/>
      <c r="C247" s="33" t="str">
        <f t="shared" si="18"/>
        <v/>
      </c>
      <c r="D247" s="31"/>
      <c r="E247" s="31"/>
      <c r="F247" s="31"/>
      <c r="G247" s="31"/>
      <c r="H247" s="11"/>
      <c r="I247" s="11"/>
      <c r="J247" s="9"/>
      <c r="K247" s="11"/>
      <c r="L247" s="9"/>
      <c r="M247" s="12" t="str">
        <f t="shared" si="19"/>
        <v/>
      </c>
      <c r="N247" s="12" t="str">
        <f t="shared" si="20"/>
        <v/>
      </c>
      <c r="O247" s="8" t="str">
        <f t="shared" si="21"/>
        <v/>
      </c>
      <c r="P247" s="9"/>
      <c r="Q247" s="31"/>
      <c r="R247" s="8" t="str">
        <f t="shared" si="22"/>
        <v/>
      </c>
      <c r="S247" s="8" t="str">
        <f t="shared" si="23"/>
        <v/>
      </c>
      <c r="T247" s="8">
        <f>IF(S247="",0,IF(SUMPRODUCT(--(S$4:S247=S247))&gt;1,1,0))</f>
        <v>0</v>
      </c>
    </row>
    <row r="248" spans="1:20" x14ac:dyDescent="0.25">
      <c r="A248" s="8">
        <v>245</v>
      </c>
      <c r="B248" s="9"/>
      <c r="C248" s="33" t="str">
        <f t="shared" si="18"/>
        <v/>
      </c>
      <c r="D248" s="31"/>
      <c r="E248" s="31"/>
      <c r="F248" s="31"/>
      <c r="G248" s="31"/>
      <c r="H248" s="11"/>
      <c r="I248" s="11"/>
      <c r="J248" s="9"/>
      <c r="K248" s="11"/>
      <c r="L248" s="9"/>
      <c r="M248" s="12" t="str">
        <f t="shared" si="19"/>
        <v/>
      </c>
      <c r="N248" s="12" t="str">
        <f t="shared" si="20"/>
        <v/>
      </c>
      <c r="O248" s="8" t="str">
        <f t="shared" si="21"/>
        <v/>
      </c>
      <c r="P248" s="9"/>
      <c r="Q248" s="31"/>
      <c r="R248" s="8" t="str">
        <f t="shared" si="22"/>
        <v/>
      </c>
      <c r="S248" s="8" t="str">
        <f t="shared" si="23"/>
        <v/>
      </c>
      <c r="T248" s="8">
        <f>IF(S248="",0,IF(SUMPRODUCT(--(S$4:S248=S248))&gt;1,1,0))</f>
        <v>0</v>
      </c>
    </row>
    <row r="249" spans="1:20" x14ac:dyDescent="0.25">
      <c r="A249" s="8">
        <v>246</v>
      </c>
      <c r="B249" s="9"/>
      <c r="C249" s="33" t="str">
        <f t="shared" si="18"/>
        <v/>
      </c>
      <c r="D249" s="31"/>
      <c r="E249" s="31"/>
      <c r="F249" s="31"/>
      <c r="G249" s="31"/>
      <c r="H249" s="11"/>
      <c r="I249" s="11"/>
      <c r="J249" s="9"/>
      <c r="K249" s="11"/>
      <c r="L249" s="9"/>
      <c r="M249" s="12" t="str">
        <f t="shared" si="19"/>
        <v/>
      </c>
      <c r="N249" s="12" t="str">
        <f t="shared" si="20"/>
        <v/>
      </c>
      <c r="O249" s="8" t="str">
        <f t="shared" si="21"/>
        <v/>
      </c>
      <c r="P249" s="9"/>
      <c r="Q249" s="31"/>
      <c r="R249" s="8" t="str">
        <f t="shared" si="22"/>
        <v/>
      </c>
      <c r="S249" s="8" t="str">
        <f t="shared" si="23"/>
        <v/>
      </c>
      <c r="T249" s="8">
        <f>IF(S249="",0,IF(SUMPRODUCT(--(S$4:S249=S249))&gt;1,1,0))</f>
        <v>0</v>
      </c>
    </row>
    <row r="250" spans="1:20" x14ac:dyDescent="0.25">
      <c r="A250" s="8">
        <v>247</v>
      </c>
      <c r="B250" s="9"/>
      <c r="C250" s="33" t="str">
        <f t="shared" si="18"/>
        <v/>
      </c>
      <c r="D250" s="31"/>
      <c r="E250" s="31"/>
      <c r="F250" s="31"/>
      <c r="G250" s="31"/>
      <c r="H250" s="11"/>
      <c r="I250" s="11"/>
      <c r="J250" s="9"/>
      <c r="K250" s="11"/>
      <c r="L250" s="9"/>
      <c r="M250" s="12" t="str">
        <f t="shared" si="19"/>
        <v/>
      </c>
      <c r="N250" s="12" t="str">
        <f t="shared" si="20"/>
        <v/>
      </c>
      <c r="O250" s="8" t="str">
        <f t="shared" si="21"/>
        <v/>
      </c>
      <c r="P250" s="9"/>
      <c r="Q250" s="31"/>
      <c r="R250" s="8" t="str">
        <f t="shared" si="22"/>
        <v/>
      </c>
      <c r="S250" s="8" t="str">
        <f t="shared" si="23"/>
        <v/>
      </c>
      <c r="T250" s="8">
        <f>IF(S250="",0,IF(SUMPRODUCT(--(S$4:S250=S250))&gt;1,1,0))</f>
        <v>0</v>
      </c>
    </row>
    <row r="251" spans="1:20" x14ac:dyDescent="0.25">
      <c r="A251" s="8">
        <v>248</v>
      </c>
      <c r="B251" s="9"/>
      <c r="C251" s="33" t="str">
        <f t="shared" si="18"/>
        <v/>
      </c>
      <c r="D251" s="31"/>
      <c r="E251" s="31"/>
      <c r="F251" s="31"/>
      <c r="G251" s="31"/>
      <c r="H251" s="11"/>
      <c r="I251" s="11"/>
      <c r="J251" s="9"/>
      <c r="K251" s="11"/>
      <c r="L251" s="9"/>
      <c r="M251" s="12" t="str">
        <f t="shared" si="19"/>
        <v/>
      </c>
      <c r="N251" s="12" t="str">
        <f t="shared" si="20"/>
        <v/>
      </c>
      <c r="O251" s="8" t="str">
        <f t="shared" si="21"/>
        <v/>
      </c>
      <c r="P251" s="9"/>
      <c r="Q251" s="31"/>
      <c r="R251" s="8" t="str">
        <f t="shared" si="22"/>
        <v/>
      </c>
      <c r="S251" s="8" t="str">
        <f t="shared" si="23"/>
        <v/>
      </c>
      <c r="T251" s="8">
        <f>IF(S251="",0,IF(SUMPRODUCT(--(S$4:S251=S251))&gt;1,1,0))</f>
        <v>0</v>
      </c>
    </row>
    <row r="252" spans="1:20" x14ac:dyDescent="0.25">
      <c r="A252" s="8">
        <v>249</v>
      </c>
      <c r="B252" s="9"/>
      <c r="C252" s="33" t="str">
        <f t="shared" si="18"/>
        <v/>
      </c>
      <c r="D252" s="31"/>
      <c r="E252" s="31"/>
      <c r="F252" s="31"/>
      <c r="G252" s="31"/>
      <c r="H252" s="11"/>
      <c r="I252" s="11"/>
      <c r="J252" s="9"/>
      <c r="K252" s="11"/>
      <c r="L252" s="9"/>
      <c r="M252" s="12" t="str">
        <f t="shared" si="19"/>
        <v/>
      </c>
      <c r="N252" s="12" t="str">
        <f t="shared" si="20"/>
        <v/>
      </c>
      <c r="O252" s="8" t="str">
        <f t="shared" si="21"/>
        <v/>
      </c>
      <c r="P252" s="9"/>
      <c r="Q252" s="31"/>
      <c r="R252" s="8" t="str">
        <f t="shared" si="22"/>
        <v/>
      </c>
      <c r="S252" s="8" t="str">
        <f t="shared" si="23"/>
        <v/>
      </c>
      <c r="T252" s="8">
        <f>IF(S252="",0,IF(SUMPRODUCT(--(S$4:S252=S252))&gt;1,1,0))</f>
        <v>0</v>
      </c>
    </row>
    <row r="253" spans="1:20" x14ac:dyDescent="0.25">
      <c r="A253" s="8">
        <v>250</v>
      </c>
      <c r="B253" s="9"/>
      <c r="C253" s="33" t="str">
        <f t="shared" si="18"/>
        <v/>
      </c>
      <c r="D253" s="31"/>
      <c r="E253" s="31"/>
      <c r="F253" s="31"/>
      <c r="G253" s="31"/>
      <c r="H253" s="11"/>
      <c r="I253" s="11"/>
      <c r="J253" s="9"/>
      <c r="K253" s="11"/>
      <c r="L253" s="9"/>
      <c r="M253" s="12" t="str">
        <f t="shared" si="19"/>
        <v/>
      </c>
      <c r="N253" s="12" t="str">
        <f t="shared" si="20"/>
        <v/>
      </c>
      <c r="O253" s="8" t="str">
        <f t="shared" si="21"/>
        <v/>
      </c>
      <c r="P253" s="9"/>
      <c r="Q253" s="31"/>
      <c r="R253" s="8" t="str">
        <f t="shared" si="22"/>
        <v/>
      </c>
      <c r="S253" s="8" t="str">
        <f t="shared" si="23"/>
        <v/>
      </c>
      <c r="T253" s="8">
        <f>IF(S253="",0,IF(SUMPRODUCT(--(S$4:S253=S253))&gt;1,1,0))</f>
        <v>0</v>
      </c>
    </row>
    <row r="254" spans="1:20" x14ac:dyDescent="0.25">
      <c r="A254" s="8">
        <v>251</v>
      </c>
      <c r="B254" s="9"/>
      <c r="C254" s="33" t="str">
        <f t="shared" si="18"/>
        <v/>
      </c>
      <c r="D254" s="31"/>
      <c r="E254" s="31"/>
      <c r="F254" s="31"/>
      <c r="G254" s="31"/>
      <c r="H254" s="11"/>
      <c r="I254" s="11"/>
      <c r="J254" s="9"/>
      <c r="K254" s="11"/>
      <c r="L254" s="9"/>
      <c r="M254" s="12" t="str">
        <f t="shared" si="19"/>
        <v/>
      </c>
      <c r="N254" s="12" t="str">
        <f t="shared" si="20"/>
        <v/>
      </c>
      <c r="O254" s="8" t="str">
        <f t="shared" si="21"/>
        <v/>
      </c>
      <c r="P254" s="9"/>
      <c r="Q254" s="31"/>
      <c r="R254" s="8" t="str">
        <f t="shared" si="22"/>
        <v/>
      </c>
      <c r="S254" s="8" t="str">
        <f t="shared" si="23"/>
        <v/>
      </c>
      <c r="T254" s="8">
        <f>IF(S254="",0,IF(SUMPRODUCT(--(S$4:S254=S254))&gt;1,1,0))</f>
        <v>0</v>
      </c>
    </row>
    <row r="255" spans="1:20" x14ac:dyDescent="0.25">
      <c r="A255" s="8">
        <v>252</v>
      </c>
      <c r="B255" s="9"/>
      <c r="C255" s="33" t="str">
        <f t="shared" si="18"/>
        <v/>
      </c>
      <c r="D255" s="31"/>
      <c r="E255" s="31"/>
      <c r="F255" s="31"/>
      <c r="G255" s="31"/>
      <c r="H255" s="11"/>
      <c r="I255" s="11"/>
      <c r="J255" s="9"/>
      <c r="K255" s="11"/>
      <c r="L255" s="9"/>
      <c r="M255" s="12" t="str">
        <f t="shared" si="19"/>
        <v/>
      </c>
      <c r="N255" s="12" t="str">
        <f t="shared" si="20"/>
        <v/>
      </c>
      <c r="O255" s="8" t="str">
        <f t="shared" si="21"/>
        <v/>
      </c>
      <c r="P255" s="9"/>
      <c r="Q255" s="31"/>
      <c r="R255" s="8" t="str">
        <f t="shared" si="22"/>
        <v/>
      </c>
      <c r="S255" s="8" t="str">
        <f t="shared" si="23"/>
        <v/>
      </c>
      <c r="T255" s="8">
        <f>IF(S255="",0,IF(SUMPRODUCT(--(S$4:S255=S255))&gt;1,1,0))</f>
        <v>0</v>
      </c>
    </row>
    <row r="256" spans="1:20" x14ac:dyDescent="0.25">
      <c r="A256" s="8">
        <v>253</v>
      </c>
      <c r="B256" s="9"/>
      <c r="C256" s="33" t="str">
        <f t="shared" si="18"/>
        <v/>
      </c>
      <c r="D256" s="31"/>
      <c r="E256" s="31"/>
      <c r="F256" s="31"/>
      <c r="G256" s="31"/>
      <c r="H256" s="11"/>
      <c r="I256" s="11"/>
      <c r="J256" s="9"/>
      <c r="K256" s="11"/>
      <c r="L256" s="9"/>
      <c r="M256" s="12" t="str">
        <f t="shared" si="19"/>
        <v/>
      </c>
      <c r="N256" s="12" t="str">
        <f t="shared" si="20"/>
        <v/>
      </c>
      <c r="O256" s="8" t="str">
        <f t="shared" si="21"/>
        <v/>
      </c>
      <c r="P256" s="9"/>
      <c r="Q256" s="31"/>
      <c r="R256" s="8" t="str">
        <f t="shared" si="22"/>
        <v/>
      </c>
      <c r="S256" s="8" t="str">
        <f t="shared" si="23"/>
        <v/>
      </c>
      <c r="T256" s="8">
        <f>IF(S256="",0,IF(SUMPRODUCT(--(S$4:S256=S256))&gt;1,1,0))</f>
        <v>0</v>
      </c>
    </row>
    <row r="257" spans="1:20" x14ac:dyDescent="0.25">
      <c r="A257" s="8">
        <v>254</v>
      </c>
      <c r="B257" s="9"/>
      <c r="C257" s="33" t="str">
        <f t="shared" si="18"/>
        <v/>
      </c>
      <c r="D257" s="31"/>
      <c r="E257" s="31"/>
      <c r="F257" s="31"/>
      <c r="G257" s="31"/>
      <c r="H257" s="11"/>
      <c r="I257" s="11"/>
      <c r="J257" s="9"/>
      <c r="K257" s="11"/>
      <c r="L257" s="9"/>
      <c r="M257" s="12" t="str">
        <f t="shared" si="19"/>
        <v/>
      </c>
      <c r="N257" s="12" t="str">
        <f t="shared" si="20"/>
        <v/>
      </c>
      <c r="O257" s="8" t="str">
        <f t="shared" si="21"/>
        <v/>
      </c>
      <c r="P257" s="9"/>
      <c r="Q257" s="31"/>
      <c r="R257" s="8" t="str">
        <f t="shared" si="22"/>
        <v/>
      </c>
      <c r="S257" s="8" t="str">
        <f t="shared" si="23"/>
        <v/>
      </c>
      <c r="T257" s="8">
        <f>IF(S257="",0,IF(SUMPRODUCT(--(S$4:S257=S257))&gt;1,1,0))</f>
        <v>0</v>
      </c>
    </row>
    <row r="258" spans="1:20" x14ac:dyDescent="0.25">
      <c r="A258" s="8">
        <v>255</v>
      </c>
      <c r="B258" s="9"/>
      <c r="C258" s="33" t="str">
        <f t="shared" si="18"/>
        <v/>
      </c>
      <c r="D258" s="31"/>
      <c r="E258" s="31"/>
      <c r="F258" s="31"/>
      <c r="G258" s="31"/>
      <c r="H258" s="11"/>
      <c r="I258" s="11"/>
      <c r="J258" s="9"/>
      <c r="K258" s="11"/>
      <c r="L258" s="9"/>
      <c r="M258" s="12" t="str">
        <f t="shared" si="19"/>
        <v/>
      </c>
      <c r="N258" s="12" t="str">
        <f t="shared" si="20"/>
        <v/>
      </c>
      <c r="O258" s="8" t="str">
        <f t="shared" si="21"/>
        <v/>
      </c>
      <c r="P258" s="9"/>
      <c r="Q258" s="31"/>
      <c r="R258" s="8" t="str">
        <f t="shared" si="22"/>
        <v/>
      </c>
      <c r="S258" s="8" t="str">
        <f t="shared" si="23"/>
        <v/>
      </c>
      <c r="T258" s="8">
        <f>IF(S258="",0,IF(SUMPRODUCT(--(S$4:S258=S258))&gt;1,1,0))</f>
        <v>0</v>
      </c>
    </row>
    <row r="259" spans="1:20" x14ac:dyDescent="0.25">
      <c r="A259" s="8">
        <v>256</v>
      </c>
      <c r="B259" s="9"/>
      <c r="C259" s="33" t="str">
        <f t="shared" si="18"/>
        <v/>
      </c>
      <c r="D259" s="31"/>
      <c r="E259" s="31"/>
      <c r="F259" s="31"/>
      <c r="G259" s="31"/>
      <c r="H259" s="11"/>
      <c r="I259" s="11"/>
      <c r="J259" s="9"/>
      <c r="K259" s="11"/>
      <c r="L259" s="9"/>
      <c r="M259" s="12" t="str">
        <f t="shared" si="19"/>
        <v/>
      </c>
      <c r="N259" s="12" t="str">
        <f t="shared" si="20"/>
        <v/>
      </c>
      <c r="O259" s="8" t="str">
        <f t="shared" si="21"/>
        <v/>
      </c>
      <c r="P259" s="9"/>
      <c r="Q259" s="31"/>
      <c r="R259" s="8" t="str">
        <f t="shared" si="22"/>
        <v/>
      </c>
      <c r="S259" s="8" t="str">
        <f t="shared" si="23"/>
        <v/>
      </c>
      <c r="T259" s="8">
        <f>IF(S259="",0,IF(SUMPRODUCT(--(S$4:S259=S259))&gt;1,1,0))</f>
        <v>0</v>
      </c>
    </row>
    <row r="260" spans="1:20" x14ac:dyDescent="0.25">
      <c r="A260" s="8">
        <v>257</v>
      </c>
      <c r="B260" s="9"/>
      <c r="C260" s="33" t="str">
        <f t="shared" ref="C260:C323" si="24">IF(B260="","",IFERROR(INDEX(SpaceNames,MATCH(B260,SpaceCodes,0))&amp;"",""))</f>
        <v/>
      </c>
      <c r="D260" s="31"/>
      <c r="E260" s="31"/>
      <c r="F260" s="31"/>
      <c r="G260" s="31"/>
      <c r="H260" s="11"/>
      <c r="I260" s="11"/>
      <c r="J260" s="9"/>
      <c r="K260" s="11"/>
      <c r="L260" s="9"/>
      <c r="M260" s="12" t="str">
        <f t="shared" ref="M260:M323" si="25">IF(S260="","",IF(OR(L260="لا",T260=1),0,IF(K260&lt;&gt;"",K260*IF(J260="",1,J260),IF(AND(H260&lt;&gt;"",I260&lt;&gt;""),H260*I260*IF(J260="",1,J260),""))))</f>
        <v/>
      </c>
      <c r="N260" s="12" t="str">
        <f t="shared" ref="N260:N303" si="26">IF(OR(S260="",B260="",D260=""),"",SUMIFS(CL_Net,CL_Space,B260,CL_Mat,D260))</f>
        <v/>
      </c>
      <c r="O260" s="8" t="str">
        <f t="shared" ref="O260:O303" si="27">IF(D260="","",IFERROR(IF(INDEX(CeilUnit,MATCH(D260,CeilMat,0))="","م²",INDEX(CeilUnit,MATCH(D260,CeilMat,0))),"م²"))</f>
        <v/>
      </c>
      <c r="P260" s="9"/>
      <c r="Q260" s="31"/>
      <c r="R260" s="8" t="str">
        <f t="shared" ref="R260:R323" si="28">IF(S260="","",IF(T260=1,"تكرار — غير محتسب",IF(B260="","ناقص بيانات: كود الفراغ",IF(COUNTIF(SpaceCodes,B260)=0,"ناقص بيانات: الفراغ غير مسجل",IF(D260="","ناقص بيانات: الخامة",IF(AND(K260="",OR(H260="",I260="")),"ناقص قياس",IF(L260="لا","مستبعد من الحصر",IF(P260="نعم","يحتاج مراجعة","مكتمل"))))))))</f>
        <v/>
      </c>
      <c r="S260" s="8" t="str">
        <f t="shared" ref="S260:S303" si="29">IF(COUNTA(B260,D260:K260)=0,"",B260&amp;"|"&amp;D260&amp;"|"&amp;G260&amp;"|"&amp;H260&amp;"|"&amp;I260&amp;"|"&amp;K260)</f>
        <v/>
      </c>
      <c r="T260" s="8">
        <f>IF(S260="",0,IF(SUMPRODUCT(--(S$4:S260=S260))&gt;1,1,0))</f>
        <v>0</v>
      </c>
    </row>
    <row r="261" spans="1:20" x14ac:dyDescent="0.25">
      <c r="A261" s="8">
        <v>258</v>
      </c>
      <c r="B261" s="9"/>
      <c r="C261" s="33" t="str">
        <f t="shared" si="24"/>
        <v/>
      </c>
      <c r="D261" s="31"/>
      <c r="E261" s="31"/>
      <c r="F261" s="31"/>
      <c r="G261" s="31"/>
      <c r="H261" s="11"/>
      <c r="I261" s="11"/>
      <c r="J261" s="9"/>
      <c r="K261" s="11"/>
      <c r="L261" s="9"/>
      <c r="M261" s="12" t="str">
        <f t="shared" si="25"/>
        <v/>
      </c>
      <c r="N261" s="12" t="str">
        <f t="shared" si="26"/>
        <v/>
      </c>
      <c r="O261" s="8" t="str">
        <f t="shared" si="27"/>
        <v/>
      </c>
      <c r="P261" s="9"/>
      <c r="Q261" s="31"/>
      <c r="R261" s="8" t="str">
        <f t="shared" si="28"/>
        <v/>
      </c>
      <c r="S261" s="8" t="str">
        <f t="shared" si="29"/>
        <v/>
      </c>
      <c r="T261" s="8">
        <f>IF(S261="",0,IF(SUMPRODUCT(--(S$4:S261=S261))&gt;1,1,0))</f>
        <v>0</v>
      </c>
    </row>
    <row r="262" spans="1:20" x14ac:dyDescent="0.25">
      <c r="A262" s="8">
        <v>259</v>
      </c>
      <c r="B262" s="9"/>
      <c r="C262" s="33" t="str">
        <f t="shared" si="24"/>
        <v/>
      </c>
      <c r="D262" s="31"/>
      <c r="E262" s="31"/>
      <c r="F262" s="31"/>
      <c r="G262" s="31"/>
      <c r="H262" s="11"/>
      <c r="I262" s="11"/>
      <c r="J262" s="9"/>
      <c r="K262" s="11"/>
      <c r="L262" s="9"/>
      <c r="M262" s="12" t="str">
        <f t="shared" si="25"/>
        <v/>
      </c>
      <c r="N262" s="12" t="str">
        <f t="shared" si="26"/>
        <v/>
      </c>
      <c r="O262" s="8" t="str">
        <f t="shared" si="27"/>
        <v/>
      </c>
      <c r="P262" s="9"/>
      <c r="Q262" s="31"/>
      <c r="R262" s="8" t="str">
        <f t="shared" si="28"/>
        <v/>
      </c>
      <c r="S262" s="8" t="str">
        <f t="shared" si="29"/>
        <v/>
      </c>
      <c r="T262" s="8">
        <f>IF(S262="",0,IF(SUMPRODUCT(--(S$4:S262=S262))&gt;1,1,0))</f>
        <v>0</v>
      </c>
    </row>
    <row r="263" spans="1:20" x14ac:dyDescent="0.25">
      <c r="A263" s="8">
        <v>260</v>
      </c>
      <c r="B263" s="9"/>
      <c r="C263" s="33" t="str">
        <f t="shared" si="24"/>
        <v/>
      </c>
      <c r="D263" s="31"/>
      <c r="E263" s="31"/>
      <c r="F263" s="31"/>
      <c r="G263" s="31"/>
      <c r="H263" s="11"/>
      <c r="I263" s="11"/>
      <c r="J263" s="9"/>
      <c r="K263" s="11"/>
      <c r="L263" s="9"/>
      <c r="M263" s="12" t="str">
        <f t="shared" si="25"/>
        <v/>
      </c>
      <c r="N263" s="12" t="str">
        <f t="shared" si="26"/>
        <v/>
      </c>
      <c r="O263" s="8" t="str">
        <f t="shared" si="27"/>
        <v/>
      </c>
      <c r="P263" s="9"/>
      <c r="Q263" s="31"/>
      <c r="R263" s="8" t="str">
        <f t="shared" si="28"/>
        <v/>
      </c>
      <c r="S263" s="8" t="str">
        <f t="shared" si="29"/>
        <v/>
      </c>
      <c r="T263" s="8">
        <f>IF(S263="",0,IF(SUMPRODUCT(--(S$4:S263=S263))&gt;1,1,0))</f>
        <v>0</v>
      </c>
    </row>
    <row r="264" spans="1:20" x14ac:dyDescent="0.25">
      <c r="A264" s="8">
        <v>261</v>
      </c>
      <c r="B264" s="9"/>
      <c r="C264" s="33" t="str">
        <f t="shared" si="24"/>
        <v/>
      </c>
      <c r="D264" s="31"/>
      <c r="E264" s="31"/>
      <c r="F264" s="31"/>
      <c r="G264" s="31"/>
      <c r="H264" s="11"/>
      <c r="I264" s="11"/>
      <c r="J264" s="9"/>
      <c r="K264" s="11"/>
      <c r="L264" s="9"/>
      <c r="M264" s="12" t="str">
        <f t="shared" si="25"/>
        <v/>
      </c>
      <c r="N264" s="12" t="str">
        <f t="shared" si="26"/>
        <v/>
      </c>
      <c r="O264" s="8" t="str">
        <f t="shared" si="27"/>
        <v/>
      </c>
      <c r="P264" s="9"/>
      <c r="Q264" s="31"/>
      <c r="R264" s="8" t="str">
        <f t="shared" si="28"/>
        <v/>
      </c>
      <c r="S264" s="8" t="str">
        <f t="shared" si="29"/>
        <v/>
      </c>
      <c r="T264" s="8">
        <f>IF(S264="",0,IF(SUMPRODUCT(--(S$4:S264=S264))&gt;1,1,0))</f>
        <v>0</v>
      </c>
    </row>
    <row r="265" spans="1:20" x14ac:dyDescent="0.25">
      <c r="A265" s="8">
        <v>262</v>
      </c>
      <c r="B265" s="9"/>
      <c r="C265" s="33" t="str">
        <f t="shared" si="24"/>
        <v/>
      </c>
      <c r="D265" s="31"/>
      <c r="E265" s="31"/>
      <c r="F265" s="31"/>
      <c r="G265" s="31"/>
      <c r="H265" s="11"/>
      <c r="I265" s="11"/>
      <c r="J265" s="9"/>
      <c r="K265" s="11"/>
      <c r="L265" s="9"/>
      <c r="M265" s="12" t="str">
        <f t="shared" si="25"/>
        <v/>
      </c>
      <c r="N265" s="12" t="str">
        <f t="shared" si="26"/>
        <v/>
      </c>
      <c r="O265" s="8" t="str">
        <f t="shared" si="27"/>
        <v/>
      </c>
      <c r="P265" s="9"/>
      <c r="Q265" s="31"/>
      <c r="R265" s="8" t="str">
        <f t="shared" si="28"/>
        <v/>
      </c>
      <c r="S265" s="8" t="str">
        <f t="shared" si="29"/>
        <v/>
      </c>
      <c r="T265" s="8">
        <f>IF(S265="",0,IF(SUMPRODUCT(--(S$4:S265=S265))&gt;1,1,0))</f>
        <v>0</v>
      </c>
    </row>
    <row r="266" spans="1:20" x14ac:dyDescent="0.25">
      <c r="A266" s="8">
        <v>263</v>
      </c>
      <c r="B266" s="9"/>
      <c r="C266" s="33" t="str">
        <f t="shared" si="24"/>
        <v/>
      </c>
      <c r="D266" s="31"/>
      <c r="E266" s="31"/>
      <c r="F266" s="31"/>
      <c r="G266" s="31"/>
      <c r="H266" s="11"/>
      <c r="I266" s="11"/>
      <c r="J266" s="9"/>
      <c r="K266" s="11"/>
      <c r="L266" s="9"/>
      <c r="M266" s="12" t="str">
        <f t="shared" si="25"/>
        <v/>
      </c>
      <c r="N266" s="12" t="str">
        <f t="shared" si="26"/>
        <v/>
      </c>
      <c r="O266" s="8" t="str">
        <f t="shared" si="27"/>
        <v/>
      </c>
      <c r="P266" s="9"/>
      <c r="Q266" s="31"/>
      <c r="R266" s="8" t="str">
        <f t="shared" si="28"/>
        <v/>
      </c>
      <c r="S266" s="8" t="str">
        <f t="shared" si="29"/>
        <v/>
      </c>
      <c r="T266" s="8">
        <f>IF(S266="",0,IF(SUMPRODUCT(--(S$4:S266=S266))&gt;1,1,0))</f>
        <v>0</v>
      </c>
    </row>
    <row r="267" spans="1:20" x14ac:dyDescent="0.25">
      <c r="A267" s="8">
        <v>264</v>
      </c>
      <c r="B267" s="9"/>
      <c r="C267" s="33" t="str">
        <f t="shared" si="24"/>
        <v/>
      </c>
      <c r="D267" s="31"/>
      <c r="E267" s="31"/>
      <c r="F267" s="31"/>
      <c r="G267" s="31"/>
      <c r="H267" s="11"/>
      <c r="I267" s="11"/>
      <c r="J267" s="9"/>
      <c r="K267" s="11"/>
      <c r="L267" s="9"/>
      <c r="M267" s="12" t="str">
        <f t="shared" si="25"/>
        <v/>
      </c>
      <c r="N267" s="12" t="str">
        <f t="shared" si="26"/>
        <v/>
      </c>
      <c r="O267" s="8" t="str">
        <f t="shared" si="27"/>
        <v/>
      </c>
      <c r="P267" s="9"/>
      <c r="Q267" s="31"/>
      <c r="R267" s="8" t="str">
        <f t="shared" si="28"/>
        <v/>
      </c>
      <c r="S267" s="8" t="str">
        <f t="shared" si="29"/>
        <v/>
      </c>
      <c r="T267" s="8">
        <f>IF(S267="",0,IF(SUMPRODUCT(--(S$4:S267=S267))&gt;1,1,0))</f>
        <v>0</v>
      </c>
    </row>
    <row r="268" spans="1:20" x14ac:dyDescent="0.25">
      <c r="A268" s="8">
        <v>265</v>
      </c>
      <c r="B268" s="9"/>
      <c r="C268" s="33" t="str">
        <f t="shared" si="24"/>
        <v/>
      </c>
      <c r="D268" s="31"/>
      <c r="E268" s="31"/>
      <c r="F268" s="31"/>
      <c r="G268" s="31"/>
      <c r="H268" s="11"/>
      <c r="I268" s="11"/>
      <c r="J268" s="9"/>
      <c r="K268" s="11"/>
      <c r="L268" s="9"/>
      <c r="M268" s="12" t="str">
        <f t="shared" si="25"/>
        <v/>
      </c>
      <c r="N268" s="12" t="str">
        <f t="shared" si="26"/>
        <v/>
      </c>
      <c r="O268" s="8" t="str">
        <f t="shared" si="27"/>
        <v/>
      </c>
      <c r="P268" s="9"/>
      <c r="Q268" s="31"/>
      <c r="R268" s="8" t="str">
        <f t="shared" si="28"/>
        <v/>
      </c>
      <c r="S268" s="8" t="str">
        <f t="shared" si="29"/>
        <v/>
      </c>
      <c r="T268" s="8">
        <f>IF(S268="",0,IF(SUMPRODUCT(--(S$4:S268=S268))&gt;1,1,0))</f>
        <v>0</v>
      </c>
    </row>
    <row r="269" spans="1:20" x14ac:dyDescent="0.25">
      <c r="A269" s="8">
        <v>266</v>
      </c>
      <c r="B269" s="9"/>
      <c r="C269" s="33" t="str">
        <f t="shared" si="24"/>
        <v/>
      </c>
      <c r="D269" s="31"/>
      <c r="E269" s="31"/>
      <c r="F269" s="31"/>
      <c r="G269" s="31"/>
      <c r="H269" s="11"/>
      <c r="I269" s="11"/>
      <c r="J269" s="9"/>
      <c r="K269" s="11"/>
      <c r="L269" s="9"/>
      <c r="M269" s="12" t="str">
        <f t="shared" si="25"/>
        <v/>
      </c>
      <c r="N269" s="12" t="str">
        <f t="shared" si="26"/>
        <v/>
      </c>
      <c r="O269" s="8" t="str">
        <f t="shared" si="27"/>
        <v/>
      </c>
      <c r="P269" s="9"/>
      <c r="Q269" s="31"/>
      <c r="R269" s="8" t="str">
        <f t="shared" si="28"/>
        <v/>
      </c>
      <c r="S269" s="8" t="str">
        <f t="shared" si="29"/>
        <v/>
      </c>
      <c r="T269" s="8">
        <f>IF(S269="",0,IF(SUMPRODUCT(--(S$4:S269=S269))&gt;1,1,0))</f>
        <v>0</v>
      </c>
    </row>
    <row r="270" spans="1:20" x14ac:dyDescent="0.25">
      <c r="A270" s="8">
        <v>267</v>
      </c>
      <c r="B270" s="9"/>
      <c r="C270" s="33" t="str">
        <f t="shared" si="24"/>
        <v/>
      </c>
      <c r="D270" s="31"/>
      <c r="E270" s="31"/>
      <c r="F270" s="31"/>
      <c r="G270" s="31"/>
      <c r="H270" s="11"/>
      <c r="I270" s="11"/>
      <c r="J270" s="9"/>
      <c r="K270" s="11"/>
      <c r="L270" s="9"/>
      <c r="M270" s="12" t="str">
        <f t="shared" si="25"/>
        <v/>
      </c>
      <c r="N270" s="12" t="str">
        <f t="shared" si="26"/>
        <v/>
      </c>
      <c r="O270" s="8" t="str">
        <f t="shared" si="27"/>
        <v/>
      </c>
      <c r="P270" s="9"/>
      <c r="Q270" s="31"/>
      <c r="R270" s="8" t="str">
        <f t="shared" si="28"/>
        <v/>
      </c>
      <c r="S270" s="8" t="str">
        <f t="shared" si="29"/>
        <v/>
      </c>
      <c r="T270" s="8">
        <f>IF(S270="",0,IF(SUMPRODUCT(--(S$4:S270=S270))&gt;1,1,0))</f>
        <v>0</v>
      </c>
    </row>
    <row r="271" spans="1:20" x14ac:dyDescent="0.25">
      <c r="A271" s="8">
        <v>268</v>
      </c>
      <c r="B271" s="9"/>
      <c r="C271" s="33" t="str">
        <f t="shared" si="24"/>
        <v/>
      </c>
      <c r="D271" s="31"/>
      <c r="E271" s="31"/>
      <c r="F271" s="31"/>
      <c r="G271" s="31"/>
      <c r="H271" s="11"/>
      <c r="I271" s="11"/>
      <c r="J271" s="9"/>
      <c r="K271" s="11"/>
      <c r="L271" s="9"/>
      <c r="M271" s="12" t="str">
        <f t="shared" si="25"/>
        <v/>
      </c>
      <c r="N271" s="12" t="str">
        <f t="shared" si="26"/>
        <v/>
      </c>
      <c r="O271" s="8" t="str">
        <f t="shared" si="27"/>
        <v/>
      </c>
      <c r="P271" s="9"/>
      <c r="Q271" s="31"/>
      <c r="R271" s="8" t="str">
        <f t="shared" si="28"/>
        <v/>
      </c>
      <c r="S271" s="8" t="str">
        <f t="shared" si="29"/>
        <v/>
      </c>
      <c r="T271" s="8">
        <f>IF(S271="",0,IF(SUMPRODUCT(--(S$4:S271=S271))&gt;1,1,0))</f>
        <v>0</v>
      </c>
    </row>
    <row r="272" spans="1:20" x14ac:dyDescent="0.25">
      <c r="A272" s="8">
        <v>269</v>
      </c>
      <c r="B272" s="9"/>
      <c r="C272" s="33" t="str">
        <f t="shared" si="24"/>
        <v/>
      </c>
      <c r="D272" s="31"/>
      <c r="E272" s="31"/>
      <c r="F272" s="31"/>
      <c r="G272" s="31"/>
      <c r="H272" s="11"/>
      <c r="I272" s="11"/>
      <c r="J272" s="9"/>
      <c r="K272" s="11"/>
      <c r="L272" s="9"/>
      <c r="M272" s="12" t="str">
        <f t="shared" si="25"/>
        <v/>
      </c>
      <c r="N272" s="12" t="str">
        <f t="shared" si="26"/>
        <v/>
      </c>
      <c r="O272" s="8" t="str">
        <f t="shared" si="27"/>
        <v/>
      </c>
      <c r="P272" s="9"/>
      <c r="Q272" s="31"/>
      <c r="R272" s="8" t="str">
        <f t="shared" si="28"/>
        <v/>
      </c>
      <c r="S272" s="8" t="str">
        <f t="shared" si="29"/>
        <v/>
      </c>
      <c r="T272" s="8">
        <f>IF(S272="",0,IF(SUMPRODUCT(--(S$4:S272=S272))&gt;1,1,0))</f>
        <v>0</v>
      </c>
    </row>
    <row r="273" spans="1:20" x14ac:dyDescent="0.25">
      <c r="A273" s="8">
        <v>270</v>
      </c>
      <c r="B273" s="9"/>
      <c r="C273" s="33" t="str">
        <f t="shared" si="24"/>
        <v/>
      </c>
      <c r="D273" s="31"/>
      <c r="E273" s="31"/>
      <c r="F273" s="31"/>
      <c r="G273" s="31"/>
      <c r="H273" s="11"/>
      <c r="I273" s="11"/>
      <c r="J273" s="9"/>
      <c r="K273" s="11"/>
      <c r="L273" s="9"/>
      <c r="M273" s="12" t="str">
        <f t="shared" si="25"/>
        <v/>
      </c>
      <c r="N273" s="12" t="str">
        <f t="shared" si="26"/>
        <v/>
      </c>
      <c r="O273" s="8" t="str">
        <f t="shared" si="27"/>
        <v/>
      </c>
      <c r="P273" s="9"/>
      <c r="Q273" s="31"/>
      <c r="R273" s="8" t="str">
        <f t="shared" si="28"/>
        <v/>
      </c>
      <c r="S273" s="8" t="str">
        <f t="shared" si="29"/>
        <v/>
      </c>
      <c r="T273" s="8">
        <f>IF(S273="",0,IF(SUMPRODUCT(--(S$4:S273=S273))&gt;1,1,0))</f>
        <v>0</v>
      </c>
    </row>
    <row r="274" spans="1:20" x14ac:dyDescent="0.25">
      <c r="A274" s="8">
        <v>271</v>
      </c>
      <c r="B274" s="9"/>
      <c r="C274" s="33" t="str">
        <f t="shared" si="24"/>
        <v/>
      </c>
      <c r="D274" s="31"/>
      <c r="E274" s="31"/>
      <c r="F274" s="31"/>
      <c r="G274" s="31"/>
      <c r="H274" s="11"/>
      <c r="I274" s="11"/>
      <c r="J274" s="9"/>
      <c r="K274" s="11"/>
      <c r="L274" s="9"/>
      <c r="M274" s="12" t="str">
        <f t="shared" si="25"/>
        <v/>
      </c>
      <c r="N274" s="12" t="str">
        <f t="shared" si="26"/>
        <v/>
      </c>
      <c r="O274" s="8" t="str">
        <f t="shared" si="27"/>
        <v/>
      </c>
      <c r="P274" s="9"/>
      <c r="Q274" s="31"/>
      <c r="R274" s="8" t="str">
        <f t="shared" si="28"/>
        <v/>
      </c>
      <c r="S274" s="8" t="str">
        <f t="shared" si="29"/>
        <v/>
      </c>
      <c r="T274" s="8">
        <f>IF(S274="",0,IF(SUMPRODUCT(--(S$4:S274=S274))&gt;1,1,0))</f>
        <v>0</v>
      </c>
    </row>
    <row r="275" spans="1:20" x14ac:dyDescent="0.25">
      <c r="A275" s="8">
        <v>272</v>
      </c>
      <c r="B275" s="9"/>
      <c r="C275" s="33" t="str">
        <f t="shared" si="24"/>
        <v/>
      </c>
      <c r="D275" s="31"/>
      <c r="E275" s="31"/>
      <c r="F275" s="31"/>
      <c r="G275" s="31"/>
      <c r="H275" s="11"/>
      <c r="I275" s="11"/>
      <c r="J275" s="9"/>
      <c r="K275" s="11"/>
      <c r="L275" s="9"/>
      <c r="M275" s="12" t="str">
        <f t="shared" si="25"/>
        <v/>
      </c>
      <c r="N275" s="12" t="str">
        <f t="shared" si="26"/>
        <v/>
      </c>
      <c r="O275" s="8" t="str">
        <f t="shared" si="27"/>
        <v/>
      </c>
      <c r="P275" s="9"/>
      <c r="Q275" s="31"/>
      <c r="R275" s="8" t="str">
        <f t="shared" si="28"/>
        <v/>
      </c>
      <c r="S275" s="8" t="str">
        <f t="shared" si="29"/>
        <v/>
      </c>
      <c r="T275" s="8">
        <f>IF(S275="",0,IF(SUMPRODUCT(--(S$4:S275=S275))&gt;1,1,0))</f>
        <v>0</v>
      </c>
    </row>
    <row r="276" spans="1:20" x14ac:dyDescent="0.25">
      <c r="A276" s="8">
        <v>273</v>
      </c>
      <c r="B276" s="9"/>
      <c r="C276" s="33" t="str">
        <f t="shared" si="24"/>
        <v/>
      </c>
      <c r="D276" s="31"/>
      <c r="E276" s="31"/>
      <c r="F276" s="31"/>
      <c r="G276" s="31"/>
      <c r="H276" s="11"/>
      <c r="I276" s="11"/>
      <c r="J276" s="9"/>
      <c r="K276" s="11"/>
      <c r="L276" s="9"/>
      <c r="M276" s="12" t="str">
        <f t="shared" si="25"/>
        <v/>
      </c>
      <c r="N276" s="12" t="str">
        <f t="shared" si="26"/>
        <v/>
      </c>
      <c r="O276" s="8" t="str">
        <f t="shared" si="27"/>
        <v/>
      </c>
      <c r="P276" s="9"/>
      <c r="Q276" s="31"/>
      <c r="R276" s="8" t="str">
        <f t="shared" si="28"/>
        <v/>
      </c>
      <c r="S276" s="8" t="str">
        <f t="shared" si="29"/>
        <v/>
      </c>
      <c r="T276" s="8">
        <f>IF(S276="",0,IF(SUMPRODUCT(--(S$4:S276=S276))&gt;1,1,0))</f>
        <v>0</v>
      </c>
    </row>
    <row r="277" spans="1:20" x14ac:dyDescent="0.25">
      <c r="A277" s="8">
        <v>274</v>
      </c>
      <c r="B277" s="9"/>
      <c r="C277" s="33" t="str">
        <f t="shared" si="24"/>
        <v/>
      </c>
      <c r="D277" s="31"/>
      <c r="E277" s="31"/>
      <c r="F277" s="31"/>
      <c r="G277" s="31"/>
      <c r="H277" s="11"/>
      <c r="I277" s="11"/>
      <c r="J277" s="9"/>
      <c r="K277" s="11"/>
      <c r="L277" s="9"/>
      <c r="M277" s="12" t="str">
        <f t="shared" si="25"/>
        <v/>
      </c>
      <c r="N277" s="12" t="str">
        <f t="shared" si="26"/>
        <v/>
      </c>
      <c r="O277" s="8" t="str">
        <f t="shared" si="27"/>
        <v/>
      </c>
      <c r="P277" s="9"/>
      <c r="Q277" s="31"/>
      <c r="R277" s="8" t="str">
        <f t="shared" si="28"/>
        <v/>
      </c>
      <c r="S277" s="8" t="str">
        <f t="shared" si="29"/>
        <v/>
      </c>
      <c r="T277" s="8">
        <f>IF(S277="",0,IF(SUMPRODUCT(--(S$4:S277=S277))&gt;1,1,0))</f>
        <v>0</v>
      </c>
    </row>
    <row r="278" spans="1:20" x14ac:dyDescent="0.25">
      <c r="A278" s="8">
        <v>275</v>
      </c>
      <c r="B278" s="9"/>
      <c r="C278" s="33" t="str">
        <f t="shared" si="24"/>
        <v/>
      </c>
      <c r="D278" s="31"/>
      <c r="E278" s="31"/>
      <c r="F278" s="31"/>
      <c r="G278" s="31"/>
      <c r="H278" s="11"/>
      <c r="I278" s="11"/>
      <c r="J278" s="9"/>
      <c r="K278" s="11"/>
      <c r="L278" s="9"/>
      <c r="M278" s="12" t="str">
        <f t="shared" si="25"/>
        <v/>
      </c>
      <c r="N278" s="12" t="str">
        <f t="shared" si="26"/>
        <v/>
      </c>
      <c r="O278" s="8" t="str">
        <f t="shared" si="27"/>
        <v/>
      </c>
      <c r="P278" s="9"/>
      <c r="Q278" s="31"/>
      <c r="R278" s="8" t="str">
        <f t="shared" si="28"/>
        <v/>
      </c>
      <c r="S278" s="8" t="str">
        <f t="shared" si="29"/>
        <v/>
      </c>
      <c r="T278" s="8">
        <f>IF(S278="",0,IF(SUMPRODUCT(--(S$4:S278=S278))&gt;1,1,0))</f>
        <v>0</v>
      </c>
    </row>
    <row r="279" spans="1:20" x14ac:dyDescent="0.25">
      <c r="A279" s="8">
        <v>276</v>
      </c>
      <c r="B279" s="9"/>
      <c r="C279" s="33" t="str">
        <f t="shared" si="24"/>
        <v/>
      </c>
      <c r="D279" s="31"/>
      <c r="E279" s="31"/>
      <c r="F279" s="31"/>
      <c r="G279" s="31"/>
      <c r="H279" s="11"/>
      <c r="I279" s="11"/>
      <c r="J279" s="9"/>
      <c r="K279" s="11"/>
      <c r="L279" s="9"/>
      <c r="M279" s="12" t="str">
        <f t="shared" si="25"/>
        <v/>
      </c>
      <c r="N279" s="12" t="str">
        <f t="shared" si="26"/>
        <v/>
      </c>
      <c r="O279" s="8" t="str">
        <f t="shared" si="27"/>
        <v/>
      </c>
      <c r="P279" s="9"/>
      <c r="Q279" s="31"/>
      <c r="R279" s="8" t="str">
        <f t="shared" si="28"/>
        <v/>
      </c>
      <c r="S279" s="8" t="str">
        <f t="shared" si="29"/>
        <v/>
      </c>
      <c r="T279" s="8">
        <f>IF(S279="",0,IF(SUMPRODUCT(--(S$4:S279=S279))&gt;1,1,0))</f>
        <v>0</v>
      </c>
    </row>
    <row r="280" spans="1:20" x14ac:dyDescent="0.25">
      <c r="A280" s="8">
        <v>277</v>
      </c>
      <c r="B280" s="9"/>
      <c r="C280" s="33" t="str">
        <f t="shared" si="24"/>
        <v/>
      </c>
      <c r="D280" s="31"/>
      <c r="E280" s="31"/>
      <c r="F280" s="31"/>
      <c r="G280" s="31"/>
      <c r="H280" s="11"/>
      <c r="I280" s="11"/>
      <c r="J280" s="9"/>
      <c r="K280" s="11"/>
      <c r="L280" s="9"/>
      <c r="M280" s="12" t="str">
        <f t="shared" si="25"/>
        <v/>
      </c>
      <c r="N280" s="12" t="str">
        <f t="shared" si="26"/>
        <v/>
      </c>
      <c r="O280" s="8" t="str">
        <f t="shared" si="27"/>
        <v/>
      </c>
      <c r="P280" s="9"/>
      <c r="Q280" s="31"/>
      <c r="R280" s="8" t="str">
        <f t="shared" si="28"/>
        <v/>
      </c>
      <c r="S280" s="8" t="str">
        <f t="shared" si="29"/>
        <v/>
      </c>
      <c r="T280" s="8">
        <f>IF(S280="",0,IF(SUMPRODUCT(--(S$4:S280=S280))&gt;1,1,0))</f>
        <v>0</v>
      </c>
    </row>
    <row r="281" spans="1:20" x14ac:dyDescent="0.25">
      <c r="A281" s="8">
        <v>278</v>
      </c>
      <c r="B281" s="9"/>
      <c r="C281" s="33" t="str">
        <f t="shared" si="24"/>
        <v/>
      </c>
      <c r="D281" s="31"/>
      <c r="E281" s="31"/>
      <c r="F281" s="31"/>
      <c r="G281" s="31"/>
      <c r="H281" s="11"/>
      <c r="I281" s="11"/>
      <c r="J281" s="9"/>
      <c r="K281" s="11"/>
      <c r="L281" s="9"/>
      <c r="M281" s="12" t="str">
        <f t="shared" si="25"/>
        <v/>
      </c>
      <c r="N281" s="12" t="str">
        <f t="shared" si="26"/>
        <v/>
      </c>
      <c r="O281" s="8" t="str">
        <f t="shared" si="27"/>
        <v/>
      </c>
      <c r="P281" s="9"/>
      <c r="Q281" s="31"/>
      <c r="R281" s="8" t="str">
        <f t="shared" si="28"/>
        <v/>
      </c>
      <c r="S281" s="8" t="str">
        <f t="shared" si="29"/>
        <v/>
      </c>
      <c r="T281" s="8">
        <f>IF(S281="",0,IF(SUMPRODUCT(--(S$4:S281=S281))&gt;1,1,0))</f>
        <v>0</v>
      </c>
    </row>
    <row r="282" spans="1:20" x14ac:dyDescent="0.25">
      <c r="A282" s="8">
        <v>279</v>
      </c>
      <c r="B282" s="9"/>
      <c r="C282" s="33" t="str">
        <f t="shared" si="24"/>
        <v/>
      </c>
      <c r="D282" s="31"/>
      <c r="E282" s="31"/>
      <c r="F282" s="31"/>
      <c r="G282" s="31"/>
      <c r="H282" s="11"/>
      <c r="I282" s="11"/>
      <c r="J282" s="9"/>
      <c r="K282" s="11"/>
      <c r="L282" s="9"/>
      <c r="M282" s="12" t="str">
        <f t="shared" si="25"/>
        <v/>
      </c>
      <c r="N282" s="12" t="str">
        <f t="shared" si="26"/>
        <v/>
      </c>
      <c r="O282" s="8" t="str">
        <f t="shared" si="27"/>
        <v/>
      </c>
      <c r="P282" s="9"/>
      <c r="Q282" s="31"/>
      <c r="R282" s="8" t="str">
        <f t="shared" si="28"/>
        <v/>
      </c>
      <c r="S282" s="8" t="str">
        <f t="shared" si="29"/>
        <v/>
      </c>
      <c r="T282" s="8">
        <f>IF(S282="",0,IF(SUMPRODUCT(--(S$4:S282=S282))&gt;1,1,0))</f>
        <v>0</v>
      </c>
    </row>
    <row r="283" spans="1:20" x14ac:dyDescent="0.25">
      <c r="A283" s="8">
        <v>280</v>
      </c>
      <c r="B283" s="9"/>
      <c r="C283" s="33" t="str">
        <f t="shared" si="24"/>
        <v/>
      </c>
      <c r="D283" s="31"/>
      <c r="E283" s="31"/>
      <c r="F283" s="31"/>
      <c r="G283" s="31"/>
      <c r="H283" s="11"/>
      <c r="I283" s="11"/>
      <c r="J283" s="9"/>
      <c r="K283" s="11"/>
      <c r="L283" s="9"/>
      <c r="M283" s="12" t="str">
        <f t="shared" si="25"/>
        <v/>
      </c>
      <c r="N283" s="12" t="str">
        <f t="shared" si="26"/>
        <v/>
      </c>
      <c r="O283" s="8" t="str">
        <f t="shared" si="27"/>
        <v/>
      </c>
      <c r="P283" s="9"/>
      <c r="Q283" s="31"/>
      <c r="R283" s="8" t="str">
        <f t="shared" si="28"/>
        <v/>
      </c>
      <c r="S283" s="8" t="str">
        <f t="shared" si="29"/>
        <v/>
      </c>
      <c r="T283" s="8">
        <f>IF(S283="",0,IF(SUMPRODUCT(--(S$4:S283=S283))&gt;1,1,0))</f>
        <v>0</v>
      </c>
    </row>
    <row r="284" spans="1:20" x14ac:dyDescent="0.25">
      <c r="A284" s="8">
        <v>281</v>
      </c>
      <c r="B284" s="9"/>
      <c r="C284" s="33" t="str">
        <f t="shared" si="24"/>
        <v/>
      </c>
      <c r="D284" s="31"/>
      <c r="E284" s="31"/>
      <c r="F284" s="31"/>
      <c r="G284" s="31"/>
      <c r="H284" s="11"/>
      <c r="I284" s="11"/>
      <c r="J284" s="9"/>
      <c r="K284" s="11"/>
      <c r="L284" s="9"/>
      <c r="M284" s="12" t="str">
        <f t="shared" si="25"/>
        <v/>
      </c>
      <c r="N284" s="12" t="str">
        <f t="shared" si="26"/>
        <v/>
      </c>
      <c r="O284" s="8" t="str">
        <f t="shared" si="27"/>
        <v/>
      </c>
      <c r="P284" s="9"/>
      <c r="Q284" s="31"/>
      <c r="R284" s="8" t="str">
        <f t="shared" si="28"/>
        <v/>
      </c>
      <c r="S284" s="8" t="str">
        <f t="shared" si="29"/>
        <v/>
      </c>
      <c r="T284" s="8">
        <f>IF(S284="",0,IF(SUMPRODUCT(--(S$4:S284=S284))&gt;1,1,0))</f>
        <v>0</v>
      </c>
    </row>
    <row r="285" spans="1:20" x14ac:dyDescent="0.25">
      <c r="A285" s="8">
        <v>282</v>
      </c>
      <c r="B285" s="9"/>
      <c r="C285" s="33" t="str">
        <f t="shared" si="24"/>
        <v/>
      </c>
      <c r="D285" s="31"/>
      <c r="E285" s="31"/>
      <c r="F285" s="31"/>
      <c r="G285" s="31"/>
      <c r="H285" s="11"/>
      <c r="I285" s="11"/>
      <c r="J285" s="9"/>
      <c r="K285" s="11"/>
      <c r="L285" s="9"/>
      <c r="M285" s="12" t="str">
        <f t="shared" si="25"/>
        <v/>
      </c>
      <c r="N285" s="12" t="str">
        <f t="shared" si="26"/>
        <v/>
      </c>
      <c r="O285" s="8" t="str">
        <f t="shared" si="27"/>
        <v/>
      </c>
      <c r="P285" s="9"/>
      <c r="Q285" s="31"/>
      <c r="R285" s="8" t="str">
        <f t="shared" si="28"/>
        <v/>
      </c>
      <c r="S285" s="8" t="str">
        <f t="shared" si="29"/>
        <v/>
      </c>
      <c r="T285" s="8">
        <f>IF(S285="",0,IF(SUMPRODUCT(--(S$4:S285=S285))&gt;1,1,0))</f>
        <v>0</v>
      </c>
    </row>
    <row r="286" spans="1:20" x14ac:dyDescent="0.25">
      <c r="A286" s="8">
        <v>283</v>
      </c>
      <c r="B286" s="9"/>
      <c r="C286" s="33" t="str">
        <f t="shared" si="24"/>
        <v/>
      </c>
      <c r="D286" s="31"/>
      <c r="E286" s="31"/>
      <c r="F286" s="31"/>
      <c r="G286" s="31"/>
      <c r="H286" s="11"/>
      <c r="I286" s="11"/>
      <c r="J286" s="9"/>
      <c r="K286" s="11"/>
      <c r="L286" s="9"/>
      <c r="M286" s="12" t="str">
        <f t="shared" si="25"/>
        <v/>
      </c>
      <c r="N286" s="12" t="str">
        <f t="shared" si="26"/>
        <v/>
      </c>
      <c r="O286" s="8" t="str">
        <f t="shared" si="27"/>
        <v/>
      </c>
      <c r="P286" s="9"/>
      <c r="Q286" s="31"/>
      <c r="R286" s="8" t="str">
        <f t="shared" si="28"/>
        <v/>
      </c>
      <c r="S286" s="8" t="str">
        <f t="shared" si="29"/>
        <v/>
      </c>
      <c r="T286" s="8">
        <f>IF(S286="",0,IF(SUMPRODUCT(--(S$4:S286=S286))&gt;1,1,0))</f>
        <v>0</v>
      </c>
    </row>
    <row r="287" spans="1:20" x14ac:dyDescent="0.25">
      <c r="A287" s="8">
        <v>284</v>
      </c>
      <c r="B287" s="9"/>
      <c r="C287" s="33" t="str">
        <f t="shared" si="24"/>
        <v/>
      </c>
      <c r="D287" s="31"/>
      <c r="E287" s="31"/>
      <c r="F287" s="31"/>
      <c r="G287" s="31"/>
      <c r="H287" s="11"/>
      <c r="I287" s="11"/>
      <c r="J287" s="9"/>
      <c r="K287" s="11"/>
      <c r="L287" s="9"/>
      <c r="M287" s="12" t="str">
        <f t="shared" si="25"/>
        <v/>
      </c>
      <c r="N287" s="12" t="str">
        <f t="shared" si="26"/>
        <v/>
      </c>
      <c r="O287" s="8" t="str">
        <f t="shared" si="27"/>
        <v/>
      </c>
      <c r="P287" s="9"/>
      <c r="Q287" s="31"/>
      <c r="R287" s="8" t="str">
        <f t="shared" si="28"/>
        <v/>
      </c>
      <c r="S287" s="8" t="str">
        <f t="shared" si="29"/>
        <v/>
      </c>
      <c r="T287" s="8">
        <f>IF(S287="",0,IF(SUMPRODUCT(--(S$4:S287=S287))&gt;1,1,0))</f>
        <v>0</v>
      </c>
    </row>
    <row r="288" spans="1:20" x14ac:dyDescent="0.25">
      <c r="A288" s="8">
        <v>285</v>
      </c>
      <c r="B288" s="9"/>
      <c r="C288" s="33" t="str">
        <f t="shared" si="24"/>
        <v/>
      </c>
      <c r="D288" s="31"/>
      <c r="E288" s="31"/>
      <c r="F288" s="31"/>
      <c r="G288" s="31"/>
      <c r="H288" s="11"/>
      <c r="I288" s="11"/>
      <c r="J288" s="9"/>
      <c r="K288" s="11"/>
      <c r="L288" s="9"/>
      <c r="M288" s="12" t="str">
        <f t="shared" si="25"/>
        <v/>
      </c>
      <c r="N288" s="12" t="str">
        <f t="shared" si="26"/>
        <v/>
      </c>
      <c r="O288" s="8" t="str">
        <f t="shared" si="27"/>
        <v/>
      </c>
      <c r="P288" s="9"/>
      <c r="Q288" s="31"/>
      <c r="R288" s="8" t="str">
        <f t="shared" si="28"/>
        <v/>
      </c>
      <c r="S288" s="8" t="str">
        <f t="shared" si="29"/>
        <v/>
      </c>
      <c r="T288" s="8">
        <f>IF(S288="",0,IF(SUMPRODUCT(--(S$4:S288=S288))&gt;1,1,0))</f>
        <v>0</v>
      </c>
    </row>
    <row r="289" spans="1:20" x14ac:dyDescent="0.25">
      <c r="A289" s="8">
        <v>286</v>
      </c>
      <c r="B289" s="9"/>
      <c r="C289" s="33" t="str">
        <f t="shared" si="24"/>
        <v/>
      </c>
      <c r="D289" s="31"/>
      <c r="E289" s="31"/>
      <c r="F289" s="31"/>
      <c r="G289" s="31"/>
      <c r="H289" s="11"/>
      <c r="I289" s="11"/>
      <c r="J289" s="9"/>
      <c r="K289" s="11"/>
      <c r="L289" s="9"/>
      <c r="M289" s="12" t="str">
        <f t="shared" si="25"/>
        <v/>
      </c>
      <c r="N289" s="12" t="str">
        <f t="shared" si="26"/>
        <v/>
      </c>
      <c r="O289" s="8" t="str">
        <f t="shared" si="27"/>
        <v/>
      </c>
      <c r="P289" s="9"/>
      <c r="Q289" s="31"/>
      <c r="R289" s="8" t="str">
        <f t="shared" si="28"/>
        <v/>
      </c>
      <c r="S289" s="8" t="str">
        <f t="shared" si="29"/>
        <v/>
      </c>
      <c r="T289" s="8">
        <f>IF(S289="",0,IF(SUMPRODUCT(--(S$4:S289=S289))&gt;1,1,0))</f>
        <v>0</v>
      </c>
    </row>
    <row r="290" spans="1:20" x14ac:dyDescent="0.25">
      <c r="A290" s="8">
        <v>287</v>
      </c>
      <c r="B290" s="9"/>
      <c r="C290" s="33" t="str">
        <f t="shared" si="24"/>
        <v/>
      </c>
      <c r="D290" s="31"/>
      <c r="E290" s="31"/>
      <c r="F290" s="31"/>
      <c r="G290" s="31"/>
      <c r="H290" s="11"/>
      <c r="I290" s="11"/>
      <c r="J290" s="9"/>
      <c r="K290" s="11"/>
      <c r="L290" s="9"/>
      <c r="M290" s="12" t="str">
        <f t="shared" si="25"/>
        <v/>
      </c>
      <c r="N290" s="12" t="str">
        <f t="shared" si="26"/>
        <v/>
      </c>
      <c r="O290" s="8" t="str">
        <f t="shared" si="27"/>
        <v/>
      </c>
      <c r="P290" s="9"/>
      <c r="Q290" s="31"/>
      <c r="R290" s="8" t="str">
        <f t="shared" si="28"/>
        <v/>
      </c>
      <c r="S290" s="8" t="str">
        <f t="shared" si="29"/>
        <v/>
      </c>
      <c r="T290" s="8">
        <f>IF(S290="",0,IF(SUMPRODUCT(--(S$4:S290=S290))&gt;1,1,0))</f>
        <v>0</v>
      </c>
    </row>
    <row r="291" spans="1:20" x14ac:dyDescent="0.25">
      <c r="A291" s="8">
        <v>288</v>
      </c>
      <c r="B291" s="9"/>
      <c r="C291" s="33" t="str">
        <f t="shared" si="24"/>
        <v/>
      </c>
      <c r="D291" s="31"/>
      <c r="E291" s="31"/>
      <c r="F291" s="31"/>
      <c r="G291" s="31"/>
      <c r="H291" s="11"/>
      <c r="I291" s="11"/>
      <c r="J291" s="9"/>
      <c r="K291" s="11"/>
      <c r="L291" s="9"/>
      <c r="M291" s="12" t="str">
        <f t="shared" si="25"/>
        <v/>
      </c>
      <c r="N291" s="12" t="str">
        <f t="shared" si="26"/>
        <v/>
      </c>
      <c r="O291" s="8" t="str">
        <f t="shared" si="27"/>
        <v/>
      </c>
      <c r="P291" s="9"/>
      <c r="Q291" s="31"/>
      <c r="R291" s="8" t="str">
        <f t="shared" si="28"/>
        <v/>
      </c>
      <c r="S291" s="8" t="str">
        <f t="shared" si="29"/>
        <v/>
      </c>
      <c r="T291" s="8">
        <f>IF(S291="",0,IF(SUMPRODUCT(--(S$4:S291=S291))&gt;1,1,0))</f>
        <v>0</v>
      </c>
    </row>
    <row r="292" spans="1:20" x14ac:dyDescent="0.25">
      <c r="A292" s="8">
        <v>289</v>
      </c>
      <c r="B292" s="9"/>
      <c r="C292" s="33" t="str">
        <f t="shared" si="24"/>
        <v/>
      </c>
      <c r="D292" s="31"/>
      <c r="E292" s="31"/>
      <c r="F292" s="31"/>
      <c r="G292" s="31"/>
      <c r="H292" s="11"/>
      <c r="I292" s="11"/>
      <c r="J292" s="9"/>
      <c r="K292" s="11"/>
      <c r="L292" s="9"/>
      <c r="M292" s="12" t="str">
        <f t="shared" si="25"/>
        <v/>
      </c>
      <c r="N292" s="12" t="str">
        <f t="shared" si="26"/>
        <v/>
      </c>
      <c r="O292" s="8" t="str">
        <f t="shared" si="27"/>
        <v/>
      </c>
      <c r="P292" s="9"/>
      <c r="Q292" s="31"/>
      <c r="R292" s="8" t="str">
        <f t="shared" si="28"/>
        <v/>
      </c>
      <c r="S292" s="8" t="str">
        <f t="shared" si="29"/>
        <v/>
      </c>
      <c r="T292" s="8">
        <f>IF(S292="",0,IF(SUMPRODUCT(--(S$4:S292=S292))&gt;1,1,0))</f>
        <v>0</v>
      </c>
    </row>
    <row r="293" spans="1:20" x14ac:dyDescent="0.25">
      <c r="A293" s="8">
        <v>290</v>
      </c>
      <c r="B293" s="9"/>
      <c r="C293" s="33" t="str">
        <f t="shared" si="24"/>
        <v/>
      </c>
      <c r="D293" s="31"/>
      <c r="E293" s="31"/>
      <c r="F293" s="31"/>
      <c r="G293" s="31"/>
      <c r="H293" s="11"/>
      <c r="I293" s="11"/>
      <c r="J293" s="9"/>
      <c r="K293" s="11"/>
      <c r="L293" s="9"/>
      <c r="M293" s="12" t="str">
        <f t="shared" si="25"/>
        <v/>
      </c>
      <c r="N293" s="12" t="str">
        <f t="shared" si="26"/>
        <v/>
      </c>
      <c r="O293" s="8" t="str">
        <f t="shared" si="27"/>
        <v/>
      </c>
      <c r="P293" s="9"/>
      <c r="Q293" s="31"/>
      <c r="R293" s="8" t="str">
        <f t="shared" si="28"/>
        <v/>
      </c>
      <c r="S293" s="8" t="str">
        <f t="shared" si="29"/>
        <v/>
      </c>
      <c r="T293" s="8">
        <f>IF(S293="",0,IF(SUMPRODUCT(--(S$4:S293=S293))&gt;1,1,0))</f>
        <v>0</v>
      </c>
    </row>
    <row r="294" spans="1:20" x14ac:dyDescent="0.25">
      <c r="A294" s="8">
        <v>291</v>
      </c>
      <c r="B294" s="9"/>
      <c r="C294" s="33" t="str">
        <f t="shared" si="24"/>
        <v/>
      </c>
      <c r="D294" s="31"/>
      <c r="E294" s="31"/>
      <c r="F294" s="31"/>
      <c r="G294" s="31"/>
      <c r="H294" s="11"/>
      <c r="I294" s="11"/>
      <c r="J294" s="9"/>
      <c r="K294" s="11"/>
      <c r="L294" s="9"/>
      <c r="M294" s="12" t="str">
        <f t="shared" si="25"/>
        <v/>
      </c>
      <c r="N294" s="12" t="str">
        <f t="shared" si="26"/>
        <v/>
      </c>
      <c r="O294" s="8" t="str">
        <f t="shared" si="27"/>
        <v/>
      </c>
      <c r="P294" s="9"/>
      <c r="Q294" s="31"/>
      <c r="R294" s="8" t="str">
        <f t="shared" si="28"/>
        <v/>
      </c>
      <c r="S294" s="8" t="str">
        <f t="shared" si="29"/>
        <v/>
      </c>
      <c r="T294" s="8">
        <f>IF(S294="",0,IF(SUMPRODUCT(--(S$4:S294=S294))&gt;1,1,0))</f>
        <v>0</v>
      </c>
    </row>
    <row r="295" spans="1:20" x14ac:dyDescent="0.25">
      <c r="A295" s="8">
        <v>292</v>
      </c>
      <c r="B295" s="9"/>
      <c r="C295" s="33" t="str">
        <f t="shared" si="24"/>
        <v/>
      </c>
      <c r="D295" s="31"/>
      <c r="E295" s="31"/>
      <c r="F295" s="31"/>
      <c r="G295" s="31"/>
      <c r="H295" s="11"/>
      <c r="I295" s="11"/>
      <c r="J295" s="9"/>
      <c r="K295" s="11"/>
      <c r="L295" s="9"/>
      <c r="M295" s="12" t="str">
        <f t="shared" si="25"/>
        <v/>
      </c>
      <c r="N295" s="12" t="str">
        <f t="shared" si="26"/>
        <v/>
      </c>
      <c r="O295" s="8" t="str">
        <f t="shared" si="27"/>
        <v/>
      </c>
      <c r="P295" s="9"/>
      <c r="Q295" s="31"/>
      <c r="R295" s="8" t="str">
        <f t="shared" si="28"/>
        <v/>
      </c>
      <c r="S295" s="8" t="str">
        <f t="shared" si="29"/>
        <v/>
      </c>
      <c r="T295" s="8">
        <f>IF(S295="",0,IF(SUMPRODUCT(--(S$4:S295=S295))&gt;1,1,0))</f>
        <v>0</v>
      </c>
    </row>
    <row r="296" spans="1:20" x14ac:dyDescent="0.25">
      <c r="A296" s="8">
        <v>293</v>
      </c>
      <c r="B296" s="9"/>
      <c r="C296" s="33" t="str">
        <f t="shared" si="24"/>
        <v/>
      </c>
      <c r="D296" s="31"/>
      <c r="E296" s="31"/>
      <c r="F296" s="31"/>
      <c r="G296" s="31"/>
      <c r="H296" s="11"/>
      <c r="I296" s="11"/>
      <c r="J296" s="9"/>
      <c r="K296" s="11"/>
      <c r="L296" s="9"/>
      <c r="M296" s="12" t="str">
        <f t="shared" si="25"/>
        <v/>
      </c>
      <c r="N296" s="12" t="str">
        <f t="shared" si="26"/>
        <v/>
      </c>
      <c r="O296" s="8" t="str">
        <f t="shared" si="27"/>
        <v/>
      </c>
      <c r="P296" s="9"/>
      <c r="Q296" s="31"/>
      <c r="R296" s="8" t="str">
        <f t="shared" si="28"/>
        <v/>
      </c>
      <c r="S296" s="8" t="str">
        <f t="shared" si="29"/>
        <v/>
      </c>
      <c r="T296" s="8">
        <f>IF(S296="",0,IF(SUMPRODUCT(--(S$4:S296=S296))&gt;1,1,0))</f>
        <v>0</v>
      </c>
    </row>
    <row r="297" spans="1:20" x14ac:dyDescent="0.25">
      <c r="A297" s="8">
        <v>294</v>
      </c>
      <c r="B297" s="9"/>
      <c r="C297" s="33" t="str">
        <f t="shared" si="24"/>
        <v/>
      </c>
      <c r="D297" s="31"/>
      <c r="E297" s="31"/>
      <c r="F297" s="31"/>
      <c r="G297" s="31"/>
      <c r="H297" s="11"/>
      <c r="I297" s="11"/>
      <c r="J297" s="9"/>
      <c r="K297" s="11"/>
      <c r="L297" s="9"/>
      <c r="M297" s="12" t="str">
        <f t="shared" si="25"/>
        <v/>
      </c>
      <c r="N297" s="12" t="str">
        <f t="shared" si="26"/>
        <v/>
      </c>
      <c r="O297" s="8" t="str">
        <f t="shared" si="27"/>
        <v/>
      </c>
      <c r="P297" s="9"/>
      <c r="Q297" s="31"/>
      <c r="R297" s="8" t="str">
        <f t="shared" si="28"/>
        <v/>
      </c>
      <c r="S297" s="8" t="str">
        <f t="shared" si="29"/>
        <v/>
      </c>
      <c r="T297" s="8">
        <f>IF(S297="",0,IF(SUMPRODUCT(--(S$4:S297=S297))&gt;1,1,0))</f>
        <v>0</v>
      </c>
    </row>
    <row r="298" spans="1:20" x14ac:dyDescent="0.25">
      <c r="A298" s="8">
        <v>295</v>
      </c>
      <c r="B298" s="9"/>
      <c r="C298" s="33" t="str">
        <f t="shared" si="24"/>
        <v/>
      </c>
      <c r="D298" s="31"/>
      <c r="E298" s="31"/>
      <c r="F298" s="31"/>
      <c r="G298" s="31"/>
      <c r="H298" s="11"/>
      <c r="I298" s="11"/>
      <c r="J298" s="9"/>
      <c r="K298" s="11"/>
      <c r="L298" s="9"/>
      <c r="M298" s="12" t="str">
        <f t="shared" si="25"/>
        <v/>
      </c>
      <c r="N298" s="12" t="str">
        <f t="shared" si="26"/>
        <v/>
      </c>
      <c r="O298" s="8" t="str">
        <f t="shared" si="27"/>
        <v/>
      </c>
      <c r="P298" s="9"/>
      <c r="Q298" s="31"/>
      <c r="R298" s="8" t="str">
        <f t="shared" si="28"/>
        <v/>
      </c>
      <c r="S298" s="8" t="str">
        <f t="shared" si="29"/>
        <v/>
      </c>
      <c r="T298" s="8">
        <f>IF(S298="",0,IF(SUMPRODUCT(--(S$4:S298=S298))&gt;1,1,0))</f>
        <v>0</v>
      </c>
    </row>
    <row r="299" spans="1:20" x14ac:dyDescent="0.25">
      <c r="A299" s="8">
        <v>296</v>
      </c>
      <c r="B299" s="9"/>
      <c r="C299" s="33" t="str">
        <f t="shared" si="24"/>
        <v/>
      </c>
      <c r="D299" s="31"/>
      <c r="E299" s="31"/>
      <c r="F299" s="31"/>
      <c r="G299" s="31"/>
      <c r="H299" s="11"/>
      <c r="I299" s="11"/>
      <c r="J299" s="9"/>
      <c r="K299" s="11"/>
      <c r="L299" s="9"/>
      <c r="M299" s="12" t="str">
        <f t="shared" si="25"/>
        <v/>
      </c>
      <c r="N299" s="12" t="str">
        <f t="shared" si="26"/>
        <v/>
      </c>
      <c r="O299" s="8" t="str">
        <f t="shared" si="27"/>
        <v/>
      </c>
      <c r="P299" s="9"/>
      <c r="Q299" s="31"/>
      <c r="R299" s="8" t="str">
        <f t="shared" si="28"/>
        <v/>
      </c>
      <c r="S299" s="8" t="str">
        <f t="shared" si="29"/>
        <v/>
      </c>
      <c r="T299" s="8">
        <f>IF(S299="",0,IF(SUMPRODUCT(--(S$4:S299=S299))&gt;1,1,0))</f>
        <v>0</v>
      </c>
    </row>
    <row r="300" spans="1:20" x14ac:dyDescent="0.25">
      <c r="A300" s="8">
        <v>297</v>
      </c>
      <c r="B300" s="9"/>
      <c r="C300" s="33" t="str">
        <f t="shared" si="24"/>
        <v/>
      </c>
      <c r="D300" s="31"/>
      <c r="E300" s="31"/>
      <c r="F300" s="31"/>
      <c r="G300" s="31"/>
      <c r="H300" s="11"/>
      <c r="I300" s="11"/>
      <c r="J300" s="9"/>
      <c r="K300" s="11"/>
      <c r="L300" s="9"/>
      <c r="M300" s="12" t="str">
        <f t="shared" si="25"/>
        <v/>
      </c>
      <c r="N300" s="12" t="str">
        <f t="shared" si="26"/>
        <v/>
      </c>
      <c r="O300" s="8" t="str">
        <f t="shared" si="27"/>
        <v/>
      </c>
      <c r="P300" s="9"/>
      <c r="Q300" s="31"/>
      <c r="R300" s="8" t="str">
        <f t="shared" si="28"/>
        <v/>
      </c>
      <c r="S300" s="8" t="str">
        <f t="shared" si="29"/>
        <v/>
      </c>
      <c r="T300" s="8">
        <f>IF(S300="",0,IF(SUMPRODUCT(--(S$4:S300=S300))&gt;1,1,0))</f>
        <v>0</v>
      </c>
    </row>
    <row r="301" spans="1:20" x14ac:dyDescent="0.25">
      <c r="A301" s="8">
        <v>298</v>
      </c>
      <c r="B301" s="9"/>
      <c r="C301" s="33" t="str">
        <f t="shared" si="24"/>
        <v/>
      </c>
      <c r="D301" s="31"/>
      <c r="E301" s="31"/>
      <c r="F301" s="31"/>
      <c r="G301" s="31"/>
      <c r="H301" s="11"/>
      <c r="I301" s="11"/>
      <c r="J301" s="9"/>
      <c r="K301" s="11"/>
      <c r="L301" s="9"/>
      <c r="M301" s="12" t="str">
        <f t="shared" si="25"/>
        <v/>
      </c>
      <c r="N301" s="12" t="str">
        <f t="shared" si="26"/>
        <v/>
      </c>
      <c r="O301" s="8" t="str">
        <f t="shared" si="27"/>
        <v/>
      </c>
      <c r="P301" s="9"/>
      <c r="Q301" s="31"/>
      <c r="R301" s="8" t="str">
        <f t="shared" si="28"/>
        <v/>
      </c>
      <c r="S301" s="8" t="str">
        <f t="shared" si="29"/>
        <v/>
      </c>
      <c r="T301" s="8">
        <f>IF(S301="",0,IF(SUMPRODUCT(--(S$4:S301=S301))&gt;1,1,0))</f>
        <v>0</v>
      </c>
    </row>
    <row r="302" spans="1:20" x14ac:dyDescent="0.25">
      <c r="A302" s="8">
        <v>299</v>
      </c>
      <c r="B302" s="9"/>
      <c r="C302" s="33" t="str">
        <f t="shared" si="24"/>
        <v/>
      </c>
      <c r="D302" s="31"/>
      <c r="E302" s="31"/>
      <c r="F302" s="31"/>
      <c r="G302" s="31"/>
      <c r="H302" s="11"/>
      <c r="I302" s="11"/>
      <c r="J302" s="9"/>
      <c r="K302" s="11"/>
      <c r="L302" s="9"/>
      <c r="M302" s="12" t="str">
        <f t="shared" si="25"/>
        <v/>
      </c>
      <c r="N302" s="12" t="str">
        <f t="shared" si="26"/>
        <v/>
      </c>
      <c r="O302" s="8" t="str">
        <f t="shared" si="27"/>
        <v/>
      </c>
      <c r="P302" s="9"/>
      <c r="Q302" s="31"/>
      <c r="R302" s="8" t="str">
        <f t="shared" si="28"/>
        <v/>
      </c>
      <c r="S302" s="8" t="str">
        <f t="shared" si="29"/>
        <v/>
      </c>
      <c r="T302" s="8">
        <f>IF(S302="",0,IF(SUMPRODUCT(--(S$4:S302=S302))&gt;1,1,0))</f>
        <v>0</v>
      </c>
    </row>
    <row r="303" spans="1:20" x14ac:dyDescent="0.25">
      <c r="A303" s="8">
        <v>300</v>
      </c>
      <c r="B303" s="9"/>
      <c r="C303" s="33" t="str">
        <f t="shared" si="24"/>
        <v/>
      </c>
      <c r="D303" s="31"/>
      <c r="E303" s="31"/>
      <c r="F303" s="31"/>
      <c r="G303" s="31"/>
      <c r="H303" s="11"/>
      <c r="I303" s="11"/>
      <c r="J303" s="9"/>
      <c r="K303" s="11"/>
      <c r="L303" s="9"/>
      <c r="M303" s="12" t="str">
        <f t="shared" si="25"/>
        <v/>
      </c>
      <c r="N303" s="12" t="str">
        <f t="shared" si="26"/>
        <v/>
      </c>
      <c r="O303" s="8" t="str">
        <f t="shared" si="27"/>
        <v/>
      </c>
      <c r="P303" s="9"/>
      <c r="Q303" s="31"/>
      <c r="R303" s="8" t="str">
        <f t="shared" si="28"/>
        <v/>
      </c>
      <c r="S303" s="8" t="str">
        <f t="shared" si="29"/>
        <v/>
      </c>
      <c r="T303" s="8">
        <f>IF(S303="",0,IF(SUMPRODUCT(--(S$4:S303=S303))&gt;1,1,0))</f>
        <v>0</v>
      </c>
    </row>
  </sheetData>
  <sheetProtection sheet="1" formatCells="0" formatColumns="0" formatRows="0" sort="0" autoFilter="0"/>
  <autoFilter ref="A3:R303"/>
  <mergeCells count="2">
    <mergeCell ref="A2:L2"/>
    <mergeCell ref="A1:R1"/>
  </mergeCells>
  <conditionalFormatting sqref="R4:R303">
    <cfRule type="expression" dxfId="18" priority="1" stopIfTrue="1">
      <formula>OR($R4="مكتمل",$R4="مسجل")</formula>
    </cfRule>
    <cfRule type="expression" dxfId="17" priority="2" stopIfTrue="1">
      <formula>LEFT($R4,4)="ناقص"</formula>
    </cfRule>
    <cfRule type="expression" dxfId="16" priority="3" stopIfTrue="1">
      <formula>LEN($R4)&gt;0</formula>
    </cfRule>
  </conditionalFormatting>
  <dataValidations count="9">
    <dataValidation type="list" errorStyle="warning" allowBlank="1" showErrorMessage="1" errorTitle="قيمة غير موجودة بالقائمة" error="هذا الكود غير موجود في «سجل الفراغات». يفضل تسجيل الفراغ أولًا." sqref="B4:B303">
      <formula1>SpaceCodes</formula1>
    </dataValidation>
    <dataValidation type="list" allowBlank="1" showErrorMessage="1" errorTitle="قيمة غير موجودة بالقائمة" error="اختر من القائمة. لإضافة خامة/بند جديد أضفه أولًا في ورقة القوائم." sqref="D4:D303">
      <formula1>CeilMat</formula1>
    </dataValidation>
    <dataValidation type="decimal" operator="greaterThanOrEqual" allowBlank="1" showErrorMessage="1" errorTitle="قيمة غير صحيحة" error="أدخل رقمًا موجبًا فقط (بالمتر)." sqref="H4:H303">
      <formula1>0</formula1>
    </dataValidation>
    <dataValidation type="decimal" operator="greaterThanOrEqual" allowBlank="1" showErrorMessage="1" errorTitle="قيمة غير صحيحة" error="أدخل رقمًا موجبًا فقط (بالمتر)." sqref="I4:I303">
      <formula1>0</formula1>
    </dataValidation>
    <dataValidation type="decimal" operator="greaterThanOrEqual" allowBlank="1" showErrorMessage="1" errorTitle="قيمة غير صحيحة" error="أدخل رقمًا موجبًا فقط (بالمتر)." sqref="J4:J303">
      <formula1>0</formula1>
    </dataValidation>
    <dataValidation type="decimal" operator="greaterThanOrEqual" allowBlank="1" showErrorMessage="1" errorTitle="قيمة غير صحيحة" error="أدخل رقمًا موجبًا فقط (بالمتر)." sqref="K4:K303">
      <formula1>0</formula1>
    </dataValidation>
    <dataValidation type="list" allowBlank="1" showErrorMessage="1" errorTitle="قيمة غير موجودة بالقائمة" error="اختر قيمة من القائمة المنسدلة." sqref="L4:L303">
      <formula1>YesNo</formula1>
    </dataValidation>
    <dataValidation type="list" allowBlank="1" showErrorMessage="1" errorTitle="قيمة غير موجودة بالقائمة" error="اختر قيمة من القائمة المنسدلة." sqref="P4:P303">
      <formula1>YesNo</formula1>
    </dataValidation>
    <dataValidation type="list" errorStyle="warning" allowBlank="1" showErrorMessage="1" errorTitle="قيمة غير موجودة بالقائمة" error="القيمة غير موجودة بالقائمة — يمكنك المتابعة." sqref="F4:F303">
      <formula1>CeilCond</formula1>
    </dataValidation>
  </dataValidations>
  <pageMargins left="0.4" right="0.4" top="0.5" bottom="0.5" header="0.5" footer="0.5"/>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33C0B"/>
    <pageSetUpPr fitToPage="1"/>
  </sheetPr>
  <dimension ref="A1:T403"/>
  <sheetViews>
    <sheetView rightToLeft="1" workbookViewId="0">
      <pane ySplit="3" topLeftCell="A4" activePane="bottomLeft" state="frozen"/>
      <selection pane="bottomLeft"/>
    </sheetView>
  </sheetViews>
  <sheetFormatPr defaultRowHeight="15" x14ac:dyDescent="0.25"/>
  <cols>
    <col min="1" max="1" width="5" style="34" customWidth="1"/>
    <col min="2" max="2" width="12" style="34" customWidth="1"/>
    <col min="3" max="3" width="18" style="34" customWidth="1"/>
    <col min="4" max="4" width="11" style="34" customWidth="1"/>
    <col min="5" max="5" width="28" style="34" customWidth="1"/>
    <col min="6" max="6" width="10" style="34" customWidth="1"/>
    <col min="7" max="7" width="11" style="34" customWidth="1"/>
    <col min="8" max="8" width="10" style="34" customWidth="1"/>
    <col min="9" max="9" width="13" style="34" customWidth="1"/>
    <col min="10" max="12" width="12" style="34" customWidth="1"/>
    <col min="13" max="13" width="13" style="34" customWidth="1"/>
    <col min="14" max="14" width="8" style="34" customWidth="1"/>
    <col min="15" max="15" width="10" style="34" customWidth="1"/>
    <col min="16" max="16" width="30" style="34" customWidth="1"/>
    <col min="17" max="17" width="26" style="34" customWidth="1"/>
    <col min="18" max="18" width="8" style="34" hidden="1" customWidth="1"/>
    <col min="19" max="20" width="6" style="34" hidden="1" customWidth="1"/>
  </cols>
  <sheetData>
    <row r="1" spans="1:20" ht="30" customHeight="1" x14ac:dyDescent="0.25">
      <c r="A1" s="52" t="s">
        <v>123</v>
      </c>
      <c r="B1" s="51"/>
      <c r="C1" s="51"/>
      <c r="D1" s="51"/>
      <c r="E1" s="51"/>
      <c r="F1" s="51"/>
      <c r="G1" s="51"/>
      <c r="H1" s="51"/>
      <c r="I1" s="51"/>
      <c r="J1" s="51"/>
      <c r="K1" s="51"/>
      <c r="L1" s="51"/>
      <c r="M1" s="51"/>
      <c r="N1" s="51"/>
      <c r="O1" s="51"/>
      <c r="P1" s="51"/>
      <c r="Q1" s="51"/>
    </row>
    <row r="2" spans="1:20" ht="24" customHeight="1" x14ac:dyDescent="0.25">
      <c r="A2" s="53" t="s">
        <v>59</v>
      </c>
      <c r="B2" s="54"/>
      <c r="C2" s="54"/>
      <c r="D2" s="54"/>
      <c r="E2" s="54"/>
      <c r="F2" s="54"/>
      <c r="G2" s="54"/>
      <c r="H2" s="55"/>
      <c r="I2" s="10">
        <f ca="1">SUMPRODUCT(SUBTOTAL(109,OFFSET(I$4,ROW(I$4:I$403)-ROW(I$4),0)),--(N$4:N$403="م²"))</f>
        <v>0</v>
      </c>
      <c r="J2" s="30"/>
      <c r="K2" s="30"/>
      <c r="L2" s="10">
        <f ca="1">SUMPRODUCT(SUBTOTAL(109,OFFSET(L$4,ROW(L$4:L$403)-ROW(L$4),0)),--(N$4:N$403="م²"))</f>
        <v>0</v>
      </c>
      <c r="M2" s="10">
        <f ca="1">SUMPRODUCT(SUBTOTAL(109,OFFSET(M$4,ROW(M$4:M$403)-ROW(M$4),0)),--(N$4:N$403="م²"))</f>
        <v>0</v>
      </c>
      <c r="N2" s="30"/>
      <c r="O2" s="30"/>
      <c r="P2" s="30"/>
      <c r="Q2" s="10" t="str">
        <f>"غير مكتمل: "&amp;(COUNTIF(Q$4:Q$403,"?*")-COUNTIF(Q$4:Q$403,"مكتمل"))</f>
        <v>غير مكتمل: 0</v>
      </c>
    </row>
    <row r="3" spans="1:20" ht="48" customHeight="1" x14ac:dyDescent="0.25">
      <c r="A3" s="32" t="s">
        <v>52</v>
      </c>
      <c r="B3" s="32" t="s">
        <v>60</v>
      </c>
      <c r="C3" s="32" t="s">
        <v>54</v>
      </c>
      <c r="D3" s="32" t="s">
        <v>124</v>
      </c>
      <c r="E3" s="32" t="s">
        <v>125</v>
      </c>
      <c r="F3" s="32" t="s">
        <v>77</v>
      </c>
      <c r="G3" s="32" t="s">
        <v>126</v>
      </c>
      <c r="H3" s="32" t="s">
        <v>127</v>
      </c>
      <c r="I3" s="32" t="s">
        <v>128</v>
      </c>
      <c r="J3" s="32" t="s">
        <v>115</v>
      </c>
      <c r="K3" s="32" t="s">
        <v>84</v>
      </c>
      <c r="L3" s="32" t="s">
        <v>85</v>
      </c>
      <c r="M3" s="32" t="s">
        <v>86</v>
      </c>
      <c r="N3" s="32" t="s">
        <v>70</v>
      </c>
      <c r="O3" s="32" t="s">
        <v>71</v>
      </c>
      <c r="P3" s="32" t="s">
        <v>56</v>
      </c>
      <c r="Q3" s="32" t="s">
        <v>57</v>
      </c>
      <c r="R3" s="32" t="s">
        <v>72</v>
      </c>
      <c r="S3" s="32" t="s">
        <v>73</v>
      </c>
      <c r="T3" s="32" t="s">
        <v>129</v>
      </c>
    </row>
    <row r="4" spans="1:20" x14ac:dyDescent="0.25">
      <c r="A4" s="8">
        <v>1</v>
      </c>
      <c r="B4" s="9"/>
      <c r="C4" s="33" t="str">
        <f t="shared" ref="C4:C67" si="0">IF(B4="","",IFERROR(INDEX(SpaceNames,MATCH(B4,SpaceCodes,0))&amp;"",""))</f>
        <v/>
      </c>
      <c r="D4" s="9"/>
      <c r="E4" s="31"/>
      <c r="F4" s="11"/>
      <c r="G4" s="11"/>
      <c r="H4" s="9"/>
      <c r="I4" s="12" t="str">
        <f t="shared" ref="I4:I67" si="1">IF(R4="","",IF(S4=1,0,IF(AND(F4&lt;&gt;"",G4&lt;&gt;""),F4*G4*IF(H4="",1,H4),"")))</f>
        <v/>
      </c>
      <c r="J4" s="12" t="str">
        <f t="shared" ref="J4:J67" si="2">IF(R4="","",IF(T4=0,0,T4*SUMIFS(OP_Area,OP_Space,B4,OP_Wall,D4,OP_DedPl,"نعم")))</f>
        <v/>
      </c>
      <c r="K4" s="11"/>
      <c r="L4" s="12" t="str">
        <f t="shared" ref="L4:L67" si="3">IF(OR(R4="",I4=""),"",N(J4)+N(K4))</f>
        <v/>
      </c>
      <c r="M4" s="12" t="str">
        <f t="shared" ref="M4:M67" si="4">IF(OR(R4="",I4=""),"",I4-L4)</f>
        <v/>
      </c>
      <c r="N4" s="8" t="str">
        <f t="shared" ref="N4:N67" si="5">IF(E4="","",IFERROR(IF(INDEX(PlUnit,MATCH(E4,PlMat,0))="","م²",INDEX(PlUnit,MATCH(E4,PlMat,0))),"م²"))</f>
        <v/>
      </c>
      <c r="O4" s="9"/>
      <c r="P4" s="31"/>
      <c r="Q4" s="8" t="str">
        <f t="shared" ref="Q4:Q67" si="6">IF(R4="","",IF(S4=1,"تكرار — غير محتسب",IF(B4="","ناقص بيانات: كود الفراغ",IF(COUNTIF(SpaceCodes,B4)=0,"ناقص بيانات: الفراغ غير مسجل",IF(D4="","ناقص بيانات: كود الحائط",IF(E4="","ناقص بيانات: نوع البند",IF(I4="","ناقص قياس",IF(L4&gt;I4+0.000001,"خطأ خصم: الخصم أكبر من الإجمالي",IF(O4="نعم","يحتاج مراجعة","مكتمل")))))))))</f>
        <v/>
      </c>
      <c r="R4" s="8" t="str">
        <f t="shared" ref="R4:R67" si="7">IF(COUNTA(B4,D4:H4,K4)=0,"",B4&amp;"|"&amp;D4&amp;"|"&amp;E4)</f>
        <v/>
      </c>
      <c r="S4" s="8">
        <f>IF(OR(R4="",D4=""),0,IF(SUMPRODUCT(--(R$4:R4=R4))&gt;1,1,0))</f>
        <v>0</v>
      </c>
      <c r="T4" s="8">
        <f t="shared" ref="T4:T67" si="8">IF(OR(R4="",S4=1,B4="",D4=""),0,IF(H4="",1,H4))</f>
        <v>0</v>
      </c>
    </row>
    <row r="5" spans="1:20" x14ac:dyDescent="0.25">
      <c r="A5" s="8">
        <v>2</v>
      </c>
      <c r="B5" s="9"/>
      <c r="C5" s="33" t="str">
        <f t="shared" si="0"/>
        <v/>
      </c>
      <c r="D5" s="9"/>
      <c r="E5" s="31"/>
      <c r="F5" s="11"/>
      <c r="G5" s="11"/>
      <c r="H5" s="9"/>
      <c r="I5" s="12" t="str">
        <f t="shared" si="1"/>
        <v/>
      </c>
      <c r="J5" s="12" t="str">
        <f t="shared" si="2"/>
        <v/>
      </c>
      <c r="K5" s="11"/>
      <c r="L5" s="12" t="str">
        <f t="shared" si="3"/>
        <v/>
      </c>
      <c r="M5" s="12" t="str">
        <f t="shared" si="4"/>
        <v/>
      </c>
      <c r="N5" s="8" t="str">
        <f t="shared" si="5"/>
        <v/>
      </c>
      <c r="O5" s="9"/>
      <c r="P5" s="31"/>
      <c r="Q5" s="8" t="str">
        <f t="shared" si="6"/>
        <v/>
      </c>
      <c r="R5" s="8" t="str">
        <f t="shared" si="7"/>
        <v/>
      </c>
      <c r="S5" s="8">
        <f>IF(OR(R5="",D5=""),0,IF(SUMPRODUCT(--(R$4:R5=R5))&gt;1,1,0))</f>
        <v>0</v>
      </c>
      <c r="T5" s="8">
        <f t="shared" si="8"/>
        <v>0</v>
      </c>
    </row>
    <row r="6" spans="1:20" x14ac:dyDescent="0.25">
      <c r="A6" s="8">
        <v>3</v>
      </c>
      <c r="B6" s="9"/>
      <c r="C6" s="33" t="str">
        <f t="shared" si="0"/>
        <v/>
      </c>
      <c r="D6" s="9"/>
      <c r="E6" s="31"/>
      <c r="F6" s="11"/>
      <c r="G6" s="11"/>
      <c r="H6" s="9"/>
      <c r="I6" s="12" t="str">
        <f t="shared" si="1"/>
        <v/>
      </c>
      <c r="J6" s="12" t="str">
        <f t="shared" si="2"/>
        <v/>
      </c>
      <c r="K6" s="11"/>
      <c r="L6" s="12" t="str">
        <f t="shared" si="3"/>
        <v/>
      </c>
      <c r="M6" s="12" t="str">
        <f t="shared" si="4"/>
        <v/>
      </c>
      <c r="N6" s="8" t="str">
        <f t="shared" si="5"/>
        <v/>
      </c>
      <c r="O6" s="9"/>
      <c r="P6" s="31"/>
      <c r="Q6" s="8" t="str">
        <f t="shared" si="6"/>
        <v/>
      </c>
      <c r="R6" s="8" t="str">
        <f t="shared" si="7"/>
        <v/>
      </c>
      <c r="S6" s="8">
        <f>IF(OR(R6="",D6=""),0,IF(SUMPRODUCT(--(R$4:R6=R6))&gt;1,1,0))</f>
        <v>0</v>
      </c>
      <c r="T6" s="8">
        <f t="shared" si="8"/>
        <v>0</v>
      </c>
    </row>
    <row r="7" spans="1:20" x14ac:dyDescent="0.25">
      <c r="A7" s="8">
        <v>4</v>
      </c>
      <c r="B7" s="9"/>
      <c r="C7" s="33" t="str">
        <f t="shared" si="0"/>
        <v/>
      </c>
      <c r="D7" s="9"/>
      <c r="E7" s="31"/>
      <c r="F7" s="11"/>
      <c r="G7" s="11"/>
      <c r="H7" s="9"/>
      <c r="I7" s="12" t="str">
        <f t="shared" si="1"/>
        <v/>
      </c>
      <c r="J7" s="12" t="str">
        <f t="shared" si="2"/>
        <v/>
      </c>
      <c r="K7" s="11"/>
      <c r="L7" s="12" t="str">
        <f t="shared" si="3"/>
        <v/>
      </c>
      <c r="M7" s="12" t="str">
        <f t="shared" si="4"/>
        <v/>
      </c>
      <c r="N7" s="8" t="str">
        <f t="shared" si="5"/>
        <v/>
      </c>
      <c r="O7" s="9"/>
      <c r="P7" s="31"/>
      <c r="Q7" s="8" t="str">
        <f t="shared" si="6"/>
        <v/>
      </c>
      <c r="R7" s="8" t="str">
        <f t="shared" si="7"/>
        <v/>
      </c>
      <c r="S7" s="8">
        <f>IF(OR(R7="",D7=""),0,IF(SUMPRODUCT(--(R$4:R7=R7))&gt;1,1,0))</f>
        <v>0</v>
      </c>
      <c r="T7" s="8">
        <f t="shared" si="8"/>
        <v>0</v>
      </c>
    </row>
    <row r="8" spans="1:20" x14ac:dyDescent="0.25">
      <c r="A8" s="8">
        <v>5</v>
      </c>
      <c r="B8" s="9"/>
      <c r="C8" s="33" t="str">
        <f t="shared" si="0"/>
        <v/>
      </c>
      <c r="D8" s="9"/>
      <c r="E8" s="31"/>
      <c r="F8" s="11"/>
      <c r="G8" s="11"/>
      <c r="H8" s="9"/>
      <c r="I8" s="12" t="str">
        <f t="shared" si="1"/>
        <v/>
      </c>
      <c r="J8" s="12" t="str">
        <f t="shared" si="2"/>
        <v/>
      </c>
      <c r="K8" s="11"/>
      <c r="L8" s="12" t="str">
        <f t="shared" si="3"/>
        <v/>
      </c>
      <c r="M8" s="12" t="str">
        <f t="shared" si="4"/>
        <v/>
      </c>
      <c r="N8" s="8" t="str">
        <f t="shared" si="5"/>
        <v/>
      </c>
      <c r="O8" s="9"/>
      <c r="P8" s="31"/>
      <c r="Q8" s="8" t="str">
        <f t="shared" si="6"/>
        <v/>
      </c>
      <c r="R8" s="8" t="str">
        <f t="shared" si="7"/>
        <v/>
      </c>
      <c r="S8" s="8">
        <f>IF(OR(R8="",D8=""),0,IF(SUMPRODUCT(--(R$4:R8=R8))&gt;1,1,0))</f>
        <v>0</v>
      </c>
      <c r="T8" s="8">
        <f t="shared" si="8"/>
        <v>0</v>
      </c>
    </row>
    <row r="9" spans="1:20" x14ac:dyDescent="0.25">
      <c r="A9" s="8">
        <v>6</v>
      </c>
      <c r="B9" s="9"/>
      <c r="C9" s="33" t="str">
        <f t="shared" si="0"/>
        <v/>
      </c>
      <c r="D9" s="9"/>
      <c r="E9" s="31"/>
      <c r="F9" s="11"/>
      <c r="G9" s="11"/>
      <c r="H9" s="9"/>
      <c r="I9" s="12" t="str">
        <f t="shared" si="1"/>
        <v/>
      </c>
      <c r="J9" s="12" t="str">
        <f t="shared" si="2"/>
        <v/>
      </c>
      <c r="K9" s="11"/>
      <c r="L9" s="12" t="str">
        <f t="shared" si="3"/>
        <v/>
      </c>
      <c r="M9" s="12" t="str">
        <f t="shared" si="4"/>
        <v/>
      </c>
      <c r="N9" s="8" t="str">
        <f t="shared" si="5"/>
        <v/>
      </c>
      <c r="O9" s="9"/>
      <c r="P9" s="31"/>
      <c r="Q9" s="8" t="str">
        <f t="shared" si="6"/>
        <v/>
      </c>
      <c r="R9" s="8" t="str">
        <f t="shared" si="7"/>
        <v/>
      </c>
      <c r="S9" s="8">
        <f>IF(OR(R9="",D9=""),0,IF(SUMPRODUCT(--(R$4:R9=R9))&gt;1,1,0))</f>
        <v>0</v>
      </c>
      <c r="T9" s="8">
        <f t="shared" si="8"/>
        <v>0</v>
      </c>
    </row>
    <row r="10" spans="1:20" x14ac:dyDescent="0.25">
      <c r="A10" s="8">
        <v>7</v>
      </c>
      <c r="B10" s="9"/>
      <c r="C10" s="33" t="str">
        <f t="shared" si="0"/>
        <v/>
      </c>
      <c r="D10" s="9"/>
      <c r="E10" s="31"/>
      <c r="F10" s="11"/>
      <c r="G10" s="11"/>
      <c r="H10" s="9"/>
      <c r="I10" s="12" t="str">
        <f t="shared" si="1"/>
        <v/>
      </c>
      <c r="J10" s="12" t="str">
        <f t="shared" si="2"/>
        <v/>
      </c>
      <c r="K10" s="11"/>
      <c r="L10" s="12" t="str">
        <f t="shared" si="3"/>
        <v/>
      </c>
      <c r="M10" s="12" t="str">
        <f t="shared" si="4"/>
        <v/>
      </c>
      <c r="N10" s="8" t="str">
        <f t="shared" si="5"/>
        <v/>
      </c>
      <c r="O10" s="9"/>
      <c r="P10" s="31"/>
      <c r="Q10" s="8" t="str">
        <f t="shared" si="6"/>
        <v/>
      </c>
      <c r="R10" s="8" t="str">
        <f t="shared" si="7"/>
        <v/>
      </c>
      <c r="S10" s="8">
        <f>IF(OR(R10="",D10=""),0,IF(SUMPRODUCT(--(R$4:R10=R10))&gt;1,1,0))</f>
        <v>0</v>
      </c>
      <c r="T10" s="8">
        <f t="shared" si="8"/>
        <v>0</v>
      </c>
    </row>
    <row r="11" spans="1:20" x14ac:dyDescent="0.25">
      <c r="A11" s="8">
        <v>8</v>
      </c>
      <c r="B11" s="9"/>
      <c r="C11" s="33" t="str">
        <f t="shared" si="0"/>
        <v/>
      </c>
      <c r="D11" s="9"/>
      <c r="E11" s="31"/>
      <c r="F11" s="11"/>
      <c r="G11" s="11"/>
      <c r="H11" s="9"/>
      <c r="I11" s="12" t="str">
        <f t="shared" si="1"/>
        <v/>
      </c>
      <c r="J11" s="12" t="str">
        <f t="shared" si="2"/>
        <v/>
      </c>
      <c r="K11" s="11"/>
      <c r="L11" s="12" t="str">
        <f t="shared" si="3"/>
        <v/>
      </c>
      <c r="M11" s="12" t="str">
        <f t="shared" si="4"/>
        <v/>
      </c>
      <c r="N11" s="8" t="str">
        <f t="shared" si="5"/>
        <v/>
      </c>
      <c r="O11" s="9"/>
      <c r="P11" s="31"/>
      <c r="Q11" s="8" t="str">
        <f t="shared" si="6"/>
        <v/>
      </c>
      <c r="R11" s="8" t="str">
        <f t="shared" si="7"/>
        <v/>
      </c>
      <c r="S11" s="8">
        <f>IF(OR(R11="",D11=""),0,IF(SUMPRODUCT(--(R$4:R11=R11))&gt;1,1,0))</f>
        <v>0</v>
      </c>
      <c r="T11" s="8">
        <f t="shared" si="8"/>
        <v>0</v>
      </c>
    </row>
    <row r="12" spans="1:20" x14ac:dyDescent="0.25">
      <c r="A12" s="8">
        <v>9</v>
      </c>
      <c r="B12" s="9"/>
      <c r="C12" s="33" t="str">
        <f t="shared" si="0"/>
        <v/>
      </c>
      <c r="D12" s="9"/>
      <c r="E12" s="31"/>
      <c r="F12" s="11"/>
      <c r="G12" s="11"/>
      <c r="H12" s="9"/>
      <c r="I12" s="12" t="str">
        <f t="shared" si="1"/>
        <v/>
      </c>
      <c r="J12" s="12" t="str">
        <f t="shared" si="2"/>
        <v/>
      </c>
      <c r="K12" s="11"/>
      <c r="L12" s="12" t="str">
        <f t="shared" si="3"/>
        <v/>
      </c>
      <c r="M12" s="12" t="str">
        <f t="shared" si="4"/>
        <v/>
      </c>
      <c r="N12" s="8" t="str">
        <f t="shared" si="5"/>
        <v/>
      </c>
      <c r="O12" s="9"/>
      <c r="P12" s="31"/>
      <c r="Q12" s="8" t="str">
        <f t="shared" si="6"/>
        <v/>
      </c>
      <c r="R12" s="8" t="str">
        <f t="shared" si="7"/>
        <v/>
      </c>
      <c r="S12" s="8">
        <f>IF(OR(R12="",D12=""),0,IF(SUMPRODUCT(--(R$4:R12=R12))&gt;1,1,0))</f>
        <v>0</v>
      </c>
      <c r="T12" s="8">
        <f t="shared" si="8"/>
        <v>0</v>
      </c>
    </row>
    <row r="13" spans="1:20" x14ac:dyDescent="0.25">
      <c r="A13" s="8">
        <v>10</v>
      </c>
      <c r="B13" s="9"/>
      <c r="C13" s="33" t="str">
        <f t="shared" si="0"/>
        <v/>
      </c>
      <c r="D13" s="9"/>
      <c r="E13" s="31"/>
      <c r="F13" s="11"/>
      <c r="G13" s="11"/>
      <c r="H13" s="9"/>
      <c r="I13" s="12" t="str">
        <f t="shared" si="1"/>
        <v/>
      </c>
      <c r="J13" s="12" t="str">
        <f t="shared" si="2"/>
        <v/>
      </c>
      <c r="K13" s="11"/>
      <c r="L13" s="12" t="str">
        <f t="shared" si="3"/>
        <v/>
      </c>
      <c r="M13" s="12" t="str">
        <f t="shared" si="4"/>
        <v/>
      </c>
      <c r="N13" s="8" t="str">
        <f t="shared" si="5"/>
        <v/>
      </c>
      <c r="O13" s="9"/>
      <c r="P13" s="31"/>
      <c r="Q13" s="8" t="str">
        <f t="shared" si="6"/>
        <v/>
      </c>
      <c r="R13" s="8" t="str">
        <f t="shared" si="7"/>
        <v/>
      </c>
      <c r="S13" s="8">
        <f>IF(OR(R13="",D13=""),0,IF(SUMPRODUCT(--(R$4:R13=R13))&gt;1,1,0))</f>
        <v>0</v>
      </c>
      <c r="T13" s="8">
        <f t="shared" si="8"/>
        <v>0</v>
      </c>
    </row>
    <row r="14" spans="1:20" x14ac:dyDescent="0.25">
      <c r="A14" s="8">
        <v>11</v>
      </c>
      <c r="B14" s="9"/>
      <c r="C14" s="33" t="str">
        <f t="shared" si="0"/>
        <v/>
      </c>
      <c r="D14" s="9"/>
      <c r="E14" s="31"/>
      <c r="F14" s="11"/>
      <c r="G14" s="11"/>
      <c r="H14" s="9"/>
      <c r="I14" s="12" t="str">
        <f t="shared" si="1"/>
        <v/>
      </c>
      <c r="J14" s="12" t="str">
        <f t="shared" si="2"/>
        <v/>
      </c>
      <c r="K14" s="11"/>
      <c r="L14" s="12" t="str">
        <f t="shared" si="3"/>
        <v/>
      </c>
      <c r="M14" s="12" t="str">
        <f t="shared" si="4"/>
        <v/>
      </c>
      <c r="N14" s="8" t="str">
        <f t="shared" si="5"/>
        <v/>
      </c>
      <c r="O14" s="9"/>
      <c r="P14" s="31"/>
      <c r="Q14" s="8" t="str">
        <f t="shared" si="6"/>
        <v/>
      </c>
      <c r="R14" s="8" t="str">
        <f t="shared" si="7"/>
        <v/>
      </c>
      <c r="S14" s="8">
        <f>IF(OR(R14="",D14=""),0,IF(SUMPRODUCT(--(R$4:R14=R14))&gt;1,1,0))</f>
        <v>0</v>
      </c>
      <c r="T14" s="8">
        <f t="shared" si="8"/>
        <v>0</v>
      </c>
    </row>
    <row r="15" spans="1:20" x14ac:dyDescent="0.25">
      <c r="A15" s="8">
        <v>12</v>
      </c>
      <c r="B15" s="9"/>
      <c r="C15" s="33" t="str">
        <f t="shared" si="0"/>
        <v/>
      </c>
      <c r="D15" s="9"/>
      <c r="E15" s="31"/>
      <c r="F15" s="11"/>
      <c r="G15" s="11"/>
      <c r="H15" s="9"/>
      <c r="I15" s="12" t="str">
        <f t="shared" si="1"/>
        <v/>
      </c>
      <c r="J15" s="12" t="str">
        <f t="shared" si="2"/>
        <v/>
      </c>
      <c r="K15" s="11"/>
      <c r="L15" s="12" t="str">
        <f t="shared" si="3"/>
        <v/>
      </c>
      <c r="M15" s="12" t="str">
        <f t="shared" si="4"/>
        <v/>
      </c>
      <c r="N15" s="8" t="str">
        <f t="shared" si="5"/>
        <v/>
      </c>
      <c r="O15" s="9"/>
      <c r="P15" s="31"/>
      <c r="Q15" s="8" t="str">
        <f t="shared" si="6"/>
        <v/>
      </c>
      <c r="R15" s="8" t="str">
        <f t="shared" si="7"/>
        <v/>
      </c>
      <c r="S15" s="8">
        <f>IF(OR(R15="",D15=""),0,IF(SUMPRODUCT(--(R$4:R15=R15))&gt;1,1,0))</f>
        <v>0</v>
      </c>
      <c r="T15" s="8">
        <f t="shared" si="8"/>
        <v>0</v>
      </c>
    </row>
    <row r="16" spans="1:20" x14ac:dyDescent="0.25">
      <c r="A16" s="8">
        <v>13</v>
      </c>
      <c r="B16" s="9"/>
      <c r="C16" s="33" t="str">
        <f t="shared" si="0"/>
        <v/>
      </c>
      <c r="D16" s="9"/>
      <c r="E16" s="31"/>
      <c r="F16" s="11"/>
      <c r="G16" s="11"/>
      <c r="H16" s="9"/>
      <c r="I16" s="12" t="str">
        <f t="shared" si="1"/>
        <v/>
      </c>
      <c r="J16" s="12" t="str">
        <f t="shared" si="2"/>
        <v/>
      </c>
      <c r="K16" s="11"/>
      <c r="L16" s="12" t="str">
        <f t="shared" si="3"/>
        <v/>
      </c>
      <c r="M16" s="12" t="str">
        <f t="shared" si="4"/>
        <v/>
      </c>
      <c r="N16" s="8" t="str">
        <f t="shared" si="5"/>
        <v/>
      </c>
      <c r="O16" s="9"/>
      <c r="P16" s="31"/>
      <c r="Q16" s="8" t="str">
        <f t="shared" si="6"/>
        <v/>
      </c>
      <c r="R16" s="8" t="str">
        <f t="shared" si="7"/>
        <v/>
      </c>
      <c r="S16" s="8">
        <f>IF(OR(R16="",D16=""),0,IF(SUMPRODUCT(--(R$4:R16=R16))&gt;1,1,0))</f>
        <v>0</v>
      </c>
      <c r="T16" s="8">
        <f t="shared" si="8"/>
        <v>0</v>
      </c>
    </row>
    <row r="17" spans="1:20" x14ac:dyDescent="0.25">
      <c r="A17" s="8">
        <v>14</v>
      </c>
      <c r="B17" s="9"/>
      <c r="C17" s="33" t="str">
        <f t="shared" si="0"/>
        <v/>
      </c>
      <c r="D17" s="9"/>
      <c r="E17" s="31"/>
      <c r="F17" s="11"/>
      <c r="G17" s="11"/>
      <c r="H17" s="9"/>
      <c r="I17" s="12" t="str">
        <f t="shared" si="1"/>
        <v/>
      </c>
      <c r="J17" s="12" t="str">
        <f t="shared" si="2"/>
        <v/>
      </c>
      <c r="K17" s="11"/>
      <c r="L17" s="12" t="str">
        <f t="shared" si="3"/>
        <v/>
      </c>
      <c r="M17" s="12" t="str">
        <f t="shared" si="4"/>
        <v/>
      </c>
      <c r="N17" s="8" t="str">
        <f t="shared" si="5"/>
        <v/>
      </c>
      <c r="O17" s="9"/>
      <c r="P17" s="31"/>
      <c r="Q17" s="8" t="str">
        <f t="shared" si="6"/>
        <v/>
      </c>
      <c r="R17" s="8" t="str">
        <f t="shared" si="7"/>
        <v/>
      </c>
      <c r="S17" s="8">
        <f>IF(OR(R17="",D17=""),0,IF(SUMPRODUCT(--(R$4:R17=R17))&gt;1,1,0))</f>
        <v>0</v>
      </c>
      <c r="T17" s="8">
        <f t="shared" si="8"/>
        <v>0</v>
      </c>
    </row>
    <row r="18" spans="1:20" x14ac:dyDescent="0.25">
      <c r="A18" s="8">
        <v>15</v>
      </c>
      <c r="B18" s="9"/>
      <c r="C18" s="33" t="str">
        <f t="shared" si="0"/>
        <v/>
      </c>
      <c r="D18" s="9"/>
      <c r="E18" s="31"/>
      <c r="F18" s="11"/>
      <c r="G18" s="11"/>
      <c r="H18" s="9"/>
      <c r="I18" s="12" t="str">
        <f t="shared" si="1"/>
        <v/>
      </c>
      <c r="J18" s="12" t="str">
        <f t="shared" si="2"/>
        <v/>
      </c>
      <c r="K18" s="11"/>
      <c r="L18" s="12" t="str">
        <f t="shared" si="3"/>
        <v/>
      </c>
      <c r="M18" s="12" t="str">
        <f t="shared" si="4"/>
        <v/>
      </c>
      <c r="N18" s="8" t="str">
        <f t="shared" si="5"/>
        <v/>
      </c>
      <c r="O18" s="9"/>
      <c r="P18" s="31"/>
      <c r="Q18" s="8" t="str">
        <f t="shared" si="6"/>
        <v/>
      </c>
      <c r="R18" s="8" t="str">
        <f t="shared" si="7"/>
        <v/>
      </c>
      <c r="S18" s="8">
        <f>IF(OR(R18="",D18=""),0,IF(SUMPRODUCT(--(R$4:R18=R18))&gt;1,1,0))</f>
        <v>0</v>
      </c>
      <c r="T18" s="8">
        <f t="shared" si="8"/>
        <v>0</v>
      </c>
    </row>
    <row r="19" spans="1:20" x14ac:dyDescent="0.25">
      <c r="A19" s="8">
        <v>16</v>
      </c>
      <c r="B19" s="9"/>
      <c r="C19" s="33" t="str">
        <f t="shared" si="0"/>
        <v/>
      </c>
      <c r="D19" s="9"/>
      <c r="E19" s="31"/>
      <c r="F19" s="11"/>
      <c r="G19" s="11"/>
      <c r="H19" s="9"/>
      <c r="I19" s="12" t="str">
        <f t="shared" si="1"/>
        <v/>
      </c>
      <c r="J19" s="12" t="str">
        <f t="shared" si="2"/>
        <v/>
      </c>
      <c r="K19" s="11"/>
      <c r="L19" s="12" t="str">
        <f t="shared" si="3"/>
        <v/>
      </c>
      <c r="M19" s="12" t="str">
        <f t="shared" si="4"/>
        <v/>
      </c>
      <c r="N19" s="8" t="str">
        <f t="shared" si="5"/>
        <v/>
      </c>
      <c r="O19" s="9"/>
      <c r="P19" s="31"/>
      <c r="Q19" s="8" t="str">
        <f t="shared" si="6"/>
        <v/>
      </c>
      <c r="R19" s="8" t="str">
        <f t="shared" si="7"/>
        <v/>
      </c>
      <c r="S19" s="8">
        <f>IF(OR(R19="",D19=""),0,IF(SUMPRODUCT(--(R$4:R19=R19))&gt;1,1,0))</f>
        <v>0</v>
      </c>
      <c r="T19" s="8">
        <f t="shared" si="8"/>
        <v>0</v>
      </c>
    </row>
    <row r="20" spans="1:20" x14ac:dyDescent="0.25">
      <c r="A20" s="8">
        <v>17</v>
      </c>
      <c r="B20" s="9"/>
      <c r="C20" s="33" t="str">
        <f t="shared" si="0"/>
        <v/>
      </c>
      <c r="D20" s="9"/>
      <c r="E20" s="31"/>
      <c r="F20" s="11"/>
      <c r="G20" s="11"/>
      <c r="H20" s="9"/>
      <c r="I20" s="12" t="str">
        <f t="shared" si="1"/>
        <v/>
      </c>
      <c r="J20" s="12" t="str">
        <f t="shared" si="2"/>
        <v/>
      </c>
      <c r="K20" s="11"/>
      <c r="L20" s="12" t="str">
        <f t="shared" si="3"/>
        <v/>
      </c>
      <c r="M20" s="12" t="str">
        <f t="shared" si="4"/>
        <v/>
      </c>
      <c r="N20" s="8" t="str">
        <f t="shared" si="5"/>
        <v/>
      </c>
      <c r="O20" s="9"/>
      <c r="P20" s="31"/>
      <c r="Q20" s="8" t="str">
        <f t="shared" si="6"/>
        <v/>
      </c>
      <c r="R20" s="8" t="str">
        <f t="shared" si="7"/>
        <v/>
      </c>
      <c r="S20" s="8">
        <f>IF(OR(R20="",D20=""),0,IF(SUMPRODUCT(--(R$4:R20=R20))&gt;1,1,0))</f>
        <v>0</v>
      </c>
      <c r="T20" s="8">
        <f t="shared" si="8"/>
        <v>0</v>
      </c>
    </row>
    <row r="21" spans="1:20" x14ac:dyDescent="0.25">
      <c r="A21" s="8">
        <v>18</v>
      </c>
      <c r="B21" s="9"/>
      <c r="C21" s="33" t="str">
        <f t="shared" si="0"/>
        <v/>
      </c>
      <c r="D21" s="9"/>
      <c r="E21" s="31"/>
      <c r="F21" s="11"/>
      <c r="G21" s="11"/>
      <c r="H21" s="9"/>
      <c r="I21" s="12" t="str">
        <f t="shared" si="1"/>
        <v/>
      </c>
      <c r="J21" s="12" t="str">
        <f t="shared" si="2"/>
        <v/>
      </c>
      <c r="K21" s="11"/>
      <c r="L21" s="12" t="str">
        <f t="shared" si="3"/>
        <v/>
      </c>
      <c r="M21" s="12" t="str">
        <f t="shared" si="4"/>
        <v/>
      </c>
      <c r="N21" s="8" t="str">
        <f t="shared" si="5"/>
        <v/>
      </c>
      <c r="O21" s="9"/>
      <c r="P21" s="31"/>
      <c r="Q21" s="8" t="str">
        <f t="shared" si="6"/>
        <v/>
      </c>
      <c r="R21" s="8" t="str">
        <f t="shared" si="7"/>
        <v/>
      </c>
      <c r="S21" s="8">
        <f>IF(OR(R21="",D21=""),0,IF(SUMPRODUCT(--(R$4:R21=R21))&gt;1,1,0))</f>
        <v>0</v>
      </c>
      <c r="T21" s="8">
        <f t="shared" si="8"/>
        <v>0</v>
      </c>
    </row>
    <row r="22" spans="1:20" x14ac:dyDescent="0.25">
      <c r="A22" s="8">
        <v>19</v>
      </c>
      <c r="B22" s="9"/>
      <c r="C22" s="33" t="str">
        <f t="shared" si="0"/>
        <v/>
      </c>
      <c r="D22" s="9"/>
      <c r="E22" s="31"/>
      <c r="F22" s="11"/>
      <c r="G22" s="11"/>
      <c r="H22" s="9"/>
      <c r="I22" s="12" t="str">
        <f t="shared" si="1"/>
        <v/>
      </c>
      <c r="J22" s="12" t="str">
        <f t="shared" si="2"/>
        <v/>
      </c>
      <c r="K22" s="11"/>
      <c r="L22" s="12" t="str">
        <f t="shared" si="3"/>
        <v/>
      </c>
      <c r="M22" s="12" t="str">
        <f t="shared" si="4"/>
        <v/>
      </c>
      <c r="N22" s="8" t="str">
        <f t="shared" si="5"/>
        <v/>
      </c>
      <c r="O22" s="9"/>
      <c r="P22" s="31"/>
      <c r="Q22" s="8" t="str">
        <f t="shared" si="6"/>
        <v/>
      </c>
      <c r="R22" s="8" t="str">
        <f t="shared" si="7"/>
        <v/>
      </c>
      <c r="S22" s="8">
        <f>IF(OR(R22="",D22=""),0,IF(SUMPRODUCT(--(R$4:R22=R22))&gt;1,1,0))</f>
        <v>0</v>
      </c>
      <c r="T22" s="8">
        <f t="shared" si="8"/>
        <v>0</v>
      </c>
    </row>
    <row r="23" spans="1:20" x14ac:dyDescent="0.25">
      <c r="A23" s="8">
        <v>20</v>
      </c>
      <c r="B23" s="9"/>
      <c r="C23" s="33" t="str">
        <f t="shared" si="0"/>
        <v/>
      </c>
      <c r="D23" s="9"/>
      <c r="E23" s="31"/>
      <c r="F23" s="11"/>
      <c r="G23" s="11"/>
      <c r="H23" s="9"/>
      <c r="I23" s="12" t="str">
        <f t="shared" si="1"/>
        <v/>
      </c>
      <c r="J23" s="12" t="str">
        <f t="shared" si="2"/>
        <v/>
      </c>
      <c r="K23" s="11"/>
      <c r="L23" s="12" t="str">
        <f t="shared" si="3"/>
        <v/>
      </c>
      <c r="M23" s="12" t="str">
        <f t="shared" si="4"/>
        <v/>
      </c>
      <c r="N23" s="8" t="str">
        <f t="shared" si="5"/>
        <v/>
      </c>
      <c r="O23" s="9"/>
      <c r="P23" s="31"/>
      <c r="Q23" s="8" t="str">
        <f t="shared" si="6"/>
        <v/>
      </c>
      <c r="R23" s="8" t="str">
        <f t="shared" si="7"/>
        <v/>
      </c>
      <c r="S23" s="8">
        <f>IF(OR(R23="",D23=""),0,IF(SUMPRODUCT(--(R$4:R23=R23))&gt;1,1,0))</f>
        <v>0</v>
      </c>
      <c r="T23" s="8">
        <f t="shared" si="8"/>
        <v>0</v>
      </c>
    </row>
    <row r="24" spans="1:20" x14ac:dyDescent="0.25">
      <c r="A24" s="8">
        <v>21</v>
      </c>
      <c r="B24" s="9"/>
      <c r="C24" s="33" t="str">
        <f t="shared" si="0"/>
        <v/>
      </c>
      <c r="D24" s="9"/>
      <c r="E24" s="31"/>
      <c r="F24" s="11"/>
      <c r="G24" s="11"/>
      <c r="H24" s="9"/>
      <c r="I24" s="12" t="str">
        <f t="shared" si="1"/>
        <v/>
      </c>
      <c r="J24" s="12" t="str">
        <f t="shared" si="2"/>
        <v/>
      </c>
      <c r="K24" s="11"/>
      <c r="L24" s="12" t="str">
        <f t="shared" si="3"/>
        <v/>
      </c>
      <c r="M24" s="12" t="str">
        <f t="shared" si="4"/>
        <v/>
      </c>
      <c r="N24" s="8" t="str">
        <f t="shared" si="5"/>
        <v/>
      </c>
      <c r="O24" s="9"/>
      <c r="P24" s="31"/>
      <c r="Q24" s="8" t="str">
        <f t="shared" si="6"/>
        <v/>
      </c>
      <c r="R24" s="8" t="str">
        <f t="shared" si="7"/>
        <v/>
      </c>
      <c r="S24" s="8">
        <f>IF(OR(R24="",D24=""),0,IF(SUMPRODUCT(--(R$4:R24=R24))&gt;1,1,0))</f>
        <v>0</v>
      </c>
      <c r="T24" s="8">
        <f t="shared" si="8"/>
        <v>0</v>
      </c>
    </row>
    <row r="25" spans="1:20" x14ac:dyDescent="0.25">
      <c r="A25" s="8">
        <v>22</v>
      </c>
      <c r="B25" s="9"/>
      <c r="C25" s="33" t="str">
        <f t="shared" si="0"/>
        <v/>
      </c>
      <c r="D25" s="9"/>
      <c r="E25" s="31"/>
      <c r="F25" s="11"/>
      <c r="G25" s="11"/>
      <c r="H25" s="9"/>
      <c r="I25" s="12" t="str">
        <f t="shared" si="1"/>
        <v/>
      </c>
      <c r="J25" s="12" t="str">
        <f t="shared" si="2"/>
        <v/>
      </c>
      <c r="K25" s="11"/>
      <c r="L25" s="12" t="str">
        <f t="shared" si="3"/>
        <v/>
      </c>
      <c r="M25" s="12" t="str">
        <f t="shared" si="4"/>
        <v/>
      </c>
      <c r="N25" s="8" t="str">
        <f t="shared" si="5"/>
        <v/>
      </c>
      <c r="O25" s="9"/>
      <c r="P25" s="31"/>
      <c r="Q25" s="8" t="str">
        <f t="shared" si="6"/>
        <v/>
      </c>
      <c r="R25" s="8" t="str">
        <f t="shared" si="7"/>
        <v/>
      </c>
      <c r="S25" s="8">
        <f>IF(OR(R25="",D25=""),0,IF(SUMPRODUCT(--(R$4:R25=R25))&gt;1,1,0))</f>
        <v>0</v>
      </c>
      <c r="T25" s="8">
        <f t="shared" si="8"/>
        <v>0</v>
      </c>
    </row>
    <row r="26" spans="1:20" x14ac:dyDescent="0.25">
      <c r="A26" s="8">
        <v>23</v>
      </c>
      <c r="B26" s="9"/>
      <c r="C26" s="33" t="str">
        <f t="shared" si="0"/>
        <v/>
      </c>
      <c r="D26" s="9"/>
      <c r="E26" s="31"/>
      <c r="F26" s="11"/>
      <c r="G26" s="11"/>
      <c r="H26" s="9"/>
      <c r="I26" s="12" t="str">
        <f t="shared" si="1"/>
        <v/>
      </c>
      <c r="J26" s="12" t="str">
        <f t="shared" si="2"/>
        <v/>
      </c>
      <c r="K26" s="11"/>
      <c r="L26" s="12" t="str">
        <f t="shared" si="3"/>
        <v/>
      </c>
      <c r="M26" s="12" t="str">
        <f t="shared" si="4"/>
        <v/>
      </c>
      <c r="N26" s="8" t="str">
        <f t="shared" si="5"/>
        <v/>
      </c>
      <c r="O26" s="9"/>
      <c r="P26" s="31"/>
      <c r="Q26" s="8" t="str">
        <f t="shared" si="6"/>
        <v/>
      </c>
      <c r="R26" s="8" t="str">
        <f t="shared" si="7"/>
        <v/>
      </c>
      <c r="S26" s="8">
        <f>IF(OR(R26="",D26=""),0,IF(SUMPRODUCT(--(R$4:R26=R26))&gt;1,1,0))</f>
        <v>0</v>
      </c>
      <c r="T26" s="8">
        <f t="shared" si="8"/>
        <v>0</v>
      </c>
    </row>
    <row r="27" spans="1:20" x14ac:dyDescent="0.25">
      <c r="A27" s="8">
        <v>24</v>
      </c>
      <c r="B27" s="9"/>
      <c r="C27" s="33" t="str">
        <f t="shared" si="0"/>
        <v/>
      </c>
      <c r="D27" s="9"/>
      <c r="E27" s="31"/>
      <c r="F27" s="11"/>
      <c r="G27" s="11"/>
      <c r="H27" s="9"/>
      <c r="I27" s="12" t="str">
        <f t="shared" si="1"/>
        <v/>
      </c>
      <c r="J27" s="12" t="str">
        <f t="shared" si="2"/>
        <v/>
      </c>
      <c r="K27" s="11"/>
      <c r="L27" s="12" t="str">
        <f t="shared" si="3"/>
        <v/>
      </c>
      <c r="M27" s="12" t="str">
        <f t="shared" si="4"/>
        <v/>
      </c>
      <c r="N27" s="8" t="str">
        <f t="shared" si="5"/>
        <v/>
      </c>
      <c r="O27" s="9"/>
      <c r="P27" s="31"/>
      <c r="Q27" s="8" t="str">
        <f t="shared" si="6"/>
        <v/>
      </c>
      <c r="R27" s="8" t="str">
        <f t="shared" si="7"/>
        <v/>
      </c>
      <c r="S27" s="8">
        <f>IF(OR(R27="",D27=""),0,IF(SUMPRODUCT(--(R$4:R27=R27))&gt;1,1,0))</f>
        <v>0</v>
      </c>
      <c r="T27" s="8">
        <f t="shared" si="8"/>
        <v>0</v>
      </c>
    </row>
    <row r="28" spans="1:20" x14ac:dyDescent="0.25">
      <c r="A28" s="8">
        <v>25</v>
      </c>
      <c r="B28" s="9"/>
      <c r="C28" s="33" t="str">
        <f t="shared" si="0"/>
        <v/>
      </c>
      <c r="D28" s="9"/>
      <c r="E28" s="31"/>
      <c r="F28" s="11"/>
      <c r="G28" s="11"/>
      <c r="H28" s="9"/>
      <c r="I28" s="12" t="str">
        <f t="shared" si="1"/>
        <v/>
      </c>
      <c r="J28" s="12" t="str">
        <f t="shared" si="2"/>
        <v/>
      </c>
      <c r="K28" s="11"/>
      <c r="L28" s="12" t="str">
        <f t="shared" si="3"/>
        <v/>
      </c>
      <c r="M28" s="12" t="str">
        <f t="shared" si="4"/>
        <v/>
      </c>
      <c r="N28" s="8" t="str">
        <f t="shared" si="5"/>
        <v/>
      </c>
      <c r="O28" s="9"/>
      <c r="P28" s="31"/>
      <c r="Q28" s="8" t="str">
        <f t="shared" si="6"/>
        <v/>
      </c>
      <c r="R28" s="8" t="str">
        <f t="shared" si="7"/>
        <v/>
      </c>
      <c r="S28" s="8">
        <f>IF(OR(R28="",D28=""),0,IF(SUMPRODUCT(--(R$4:R28=R28))&gt;1,1,0))</f>
        <v>0</v>
      </c>
      <c r="T28" s="8">
        <f t="shared" si="8"/>
        <v>0</v>
      </c>
    </row>
    <row r="29" spans="1:20" x14ac:dyDescent="0.25">
      <c r="A29" s="8">
        <v>26</v>
      </c>
      <c r="B29" s="9"/>
      <c r="C29" s="33" t="str">
        <f t="shared" si="0"/>
        <v/>
      </c>
      <c r="D29" s="9"/>
      <c r="E29" s="31"/>
      <c r="F29" s="11"/>
      <c r="G29" s="11"/>
      <c r="H29" s="9"/>
      <c r="I29" s="12" t="str">
        <f t="shared" si="1"/>
        <v/>
      </c>
      <c r="J29" s="12" t="str">
        <f t="shared" si="2"/>
        <v/>
      </c>
      <c r="K29" s="11"/>
      <c r="L29" s="12" t="str">
        <f t="shared" si="3"/>
        <v/>
      </c>
      <c r="M29" s="12" t="str">
        <f t="shared" si="4"/>
        <v/>
      </c>
      <c r="N29" s="8" t="str">
        <f t="shared" si="5"/>
        <v/>
      </c>
      <c r="O29" s="9"/>
      <c r="P29" s="31"/>
      <c r="Q29" s="8" t="str">
        <f t="shared" si="6"/>
        <v/>
      </c>
      <c r="R29" s="8" t="str">
        <f t="shared" si="7"/>
        <v/>
      </c>
      <c r="S29" s="8">
        <f>IF(OR(R29="",D29=""),0,IF(SUMPRODUCT(--(R$4:R29=R29))&gt;1,1,0))</f>
        <v>0</v>
      </c>
      <c r="T29" s="8">
        <f t="shared" si="8"/>
        <v>0</v>
      </c>
    </row>
    <row r="30" spans="1:20" x14ac:dyDescent="0.25">
      <c r="A30" s="8">
        <v>27</v>
      </c>
      <c r="B30" s="9"/>
      <c r="C30" s="33" t="str">
        <f t="shared" si="0"/>
        <v/>
      </c>
      <c r="D30" s="9"/>
      <c r="E30" s="31"/>
      <c r="F30" s="11"/>
      <c r="G30" s="11"/>
      <c r="H30" s="9"/>
      <c r="I30" s="12" t="str">
        <f t="shared" si="1"/>
        <v/>
      </c>
      <c r="J30" s="12" t="str">
        <f t="shared" si="2"/>
        <v/>
      </c>
      <c r="K30" s="11"/>
      <c r="L30" s="12" t="str">
        <f t="shared" si="3"/>
        <v/>
      </c>
      <c r="M30" s="12" t="str">
        <f t="shared" si="4"/>
        <v/>
      </c>
      <c r="N30" s="8" t="str">
        <f t="shared" si="5"/>
        <v/>
      </c>
      <c r="O30" s="9"/>
      <c r="P30" s="31"/>
      <c r="Q30" s="8" t="str">
        <f t="shared" si="6"/>
        <v/>
      </c>
      <c r="R30" s="8" t="str">
        <f t="shared" si="7"/>
        <v/>
      </c>
      <c r="S30" s="8">
        <f>IF(OR(R30="",D30=""),0,IF(SUMPRODUCT(--(R$4:R30=R30))&gt;1,1,0))</f>
        <v>0</v>
      </c>
      <c r="T30" s="8">
        <f t="shared" si="8"/>
        <v>0</v>
      </c>
    </row>
    <row r="31" spans="1:20" x14ac:dyDescent="0.25">
      <c r="A31" s="8">
        <v>28</v>
      </c>
      <c r="B31" s="9"/>
      <c r="C31" s="33" t="str">
        <f t="shared" si="0"/>
        <v/>
      </c>
      <c r="D31" s="9"/>
      <c r="E31" s="31"/>
      <c r="F31" s="11"/>
      <c r="G31" s="11"/>
      <c r="H31" s="9"/>
      <c r="I31" s="12" t="str">
        <f t="shared" si="1"/>
        <v/>
      </c>
      <c r="J31" s="12" t="str">
        <f t="shared" si="2"/>
        <v/>
      </c>
      <c r="K31" s="11"/>
      <c r="L31" s="12" t="str">
        <f t="shared" si="3"/>
        <v/>
      </c>
      <c r="M31" s="12" t="str">
        <f t="shared" si="4"/>
        <v/>
      </c>
      <c r="N31" s="8" t="str">
        <f t="shared" si="5"/>
        <v/>
      </c>
      <c r="O31" s="9"/>
      <c r="P31" s="31"/>
      <c r="Q31" s="8" t="str">
        <f t="shared" si="6"/>
        <v/>
      </c>
      <c r="R31" s="8" t="str">
        <f t="shared" si="7"/>
        <v/>
      </c>
      <c r="S31" s="8">
        <f>IF(OR(R31="",D31=""),0,IF(SUMPRODUCT(--(R$4:R31=R31))&gt;1,1,0))</f>
        <v>0</v>
      </c>
      <c r="T31" s="8">
        <f t="shared" si="8"/>
        <v>0</v>
      </c>
    </row>
    <row r="32" spans="1:20" x14ac:dyDescent="0.25">
      <c r="A32" s="8">
        <v>29</v>
      </c>
      <c r="B32" s="9"/>
      <c r="C32" s="33" t="str">
        <f t="shared" si="0"/>
        <v/>
      </c>
      <c r="D32" s="9"/>
      <c r="E32" s="31"/>
      <c r="F32" s="11"/>
      <c r="G32" s="11"/>
      <c r="H32" s="9"/>
      <c r="I32" s="12" t="str">
        <f t="shared" si="1"/>
        <v/>
      </c>
      <c r="J32" s="12" t="str">
        <f t="shared" si="2"/>
        <v/>
      </c>
      <c r="K32" s="11"/>
      <c r="L32" s="12" t="str">
        <f t="shared" si="3"/>
        <v/>
      </c>
      <c r="M32" s="12" t="str">
        <f t="shared" si="4"/>
        <v/>
      </c>
      <c r="N32" s="8" t="str">
        <f t="shared" si="5"/>
        <v/>
      </c>
      <c r="O32" s="9"/>
      <c r="P32" s="31"/>
      <c r="Q32" s="8" t="str">
        <f t="shared" si="6"/>
        <v/>
      </c>
      <c r="R32" s="8" t="str">
        <f t="shared" si="7"/>
        <v/>
      </c>
      <c r="S32" s="8">
        <f>IF(OR(R32="",D32=""),0,IF(SUMPRODUCT(--(R$4:R32=R32))&gt;1,1,0))</f>
        <v>0</v>
      </c>
      <c r="T32" s="8">
        <f t="shared" si="8"/>
        <v>0</v>
      </c>
    </row>
    <row r="33" spans="1:20" x14ac:dyDescent="0.25">
      <c r="A33" s="8">
        <v>30</v>
      </c>
      <c r="B33" s="9"/>
      <c r="C33" s="33" t="str">
        <f t="shared" si="0"/>
        <v/>
      </c>
      <c r="D33" s="9"/>
      <c r="E33" s="31"/>
      <c r="F33" s="11"/>
      <c r="G33" s="11"/>
      <c r="H33" s="9"/>
      <c r="I33" s="12" t="str">
        <f t="shared" si="1"/>
        <v/>
      </c>
      <c r="J33" s="12" t="str">
        <f t="shared" si="2"/>
        <v/>
      </c>
      <c r="K33" s="11"/>
      <c r="L33" s="12" t="str">
        <f t="shared" si="3"/>
        <v/>
      </c>
      <c r="M33" s="12" t="str">
        <f t="shared" si="4"/>
        <v/>
      </c>
      <c r="N33" s="8" t="str">
        <f t="shared" si="5"/>
        <v/>
      </c>
      <c r="O33" s="9"/>
      <c r="P33" s="31"/>
      <c r="Q33" s="8" t="str">
        <f t="shared" si="6"/>
        <v/>
      </c>
      <c r="R33" s="8" t="str">
        <f t="shared" si="7"/>
        <v/>
      </c>
      <c r="S33" s="8">
        <f>IF(OR(R33="",D33=""),0,IF(SUMPRODUCT(--(R$4:R33=R33))&gt;1,1,0))</f>
        <v>0</v>
      </c>
      <c r="T33" s="8">
        <f t="shared" si="8"/>
        <v>0</v>
      </c>
    </row>
    <row r="34" spans="1:20" x14ac:dyDescent="0.25">
      <c r="A34" s="8">
        <v>31</v>
      </c>
      <c r="B34" s="9"/>
      <c r="C34" s="33" t="str">
        <f t="shared" si="0"/>
        <v/>
      </c>
      <c r="D34" s="9"/>
      <c r="E34" s="31"/>
      <c r="F34" s="11"/>
      <c r="G34" s="11"/>
      <c r="H34" s="9"/>
      <c r="I34" s="12" t="str">
        <f t="shared" si="1"/>
        <v/>
      </c>
      <c r="J34" s="12" t="str">
        <f t="shared" si="2"/>
        <v/>
      </c>
      <c r="K34" s="11"/>
      <c r="L34" s="12" t="str">
        <f t="shared" si="3"/>
        <v/>
      </c>
      <c r="M34" s="12" t="str">
        <f t="shared" si="4"/>
        <v/>
      </c>
      <c r="N34" s="8" t="str">
        <f t="shared" si="5"/>
        <v/>
      </c>
      <c r="O34" s="9"/>
      <c r="P34" s="31"/>
      <c r="Q34" s="8" t="str">
        <f t="shared" si="6"/>
        <v/>
      </c>
      <c r="R34" s="8" t="str">
        <f t="shared" si="7"/>
        <v/>
      </c>
      <c r="S34" s="8">
        <f>IF(OR(R34="",D34=""),0,IF(SUMPRODUCT(--(R$4:R34=R34))&gt;1,1,0))</f>
        <v>0</v>
      </c>
      <c r="T34" s="8">
        <f t="shared" si="8"/>
        <v>0</v>
      </c>
    </row>
    <row r="35" spans="1:20" x14ac:dyDescent="0.25">
      <c r="A35" s="8">
        <v>32</v>
      </c>
      <c r="B35" s="9"/>
      <c r="C35" s="33" t="str">
        <f t="shared" si="0"/>
        <v/>
      </c>
      <c r="D35" s="9"/>
      <c r="E35" s="31"/>
      <c r="F35" s="11"/>
      <c r="G35" s="11"/>
      <c r="H35" s="9"/>
      <c r="I35" s="12" t="str">
        <f t="shared" si="1"/>
        <v/>
      </c>
      <c r="J35" s="12" t="str">
        <f t="shared" si="2"/>
        <v/>
      </c>
      <c r="K35" s="11"/>
      <c r="L35" s="12" t="str">
        <f t="shared" si="3"/>
        <v/>
      </c>
      <c r="M35" s="12" t="str">
        <f t="shared" si="4"/>
        <v/>
      </c>
      <c r="N35" s="8" t="str">
        <f t="shared" si="5"/>
        <v/>
      </c>
      <c r="O35" s="9"/>
      <c r="P35" s="31"/>
      <c r="Q35" s="8" t="str">
        <f t="shared" si="6"/>
        <v/>
      </c>
      <c r="R35" s="8" t="str">
        <f t="shared" si="7"/>
        <v/>
      </c>
      <c r="S35" s="8">
        <f>IF(OR(R35="",D35=""),0,IF(SUMPRODUCT(--(R$4:R35=R35))&gt;1,1,0))</f>
        <v>0</v>
      </c>
      <c r="T35" s="8">
        <f t="shared" si="8"/>
        <v>0</v>
      </c>
    </row>
    <row r="36" spans="1:20" x14ac:dyDescent="0.25">
      <c r="A36" s="8">
        <v>33</v>
      </c>
      <c r="B36" s="9"/>
      <c r="C36" s="33" t="str">
        <f t="shared" si="0"/>
        <v/>
      </c>
      <c r="D36" s="9"/>
      <c r="E36" s="31"/>
      <c r="F36" s="11"/>
      <c r="G36" s="11"/>
      <c r="H36" s="9"/>
      <c r="I36" s="12" t="str">
        <f t="shared" si="1"/>
        <v/>
      </c>
      <c r="J36" s="12" t="str">
        <f t="shared" si="2"/>
        <v/>
      </c>
      <c r="K36" s="11"/>
      <c r="L36" s="12" t="str">
        <f t="shared" si="3"/>
        <v/>
      </c>
      <c r="M36" s="12" t="str">
        <f t="shared" si="4"/>
        <v/>
      </c>
      <c r="N36" s="8" t="str">
        <f t="shared" si="5"/>
        <v/>
      </c>
      <c r="O36" s="9"/>
      <c r="P36" s="31"/>
      <c r="Q36" s="8" t="str">
        <f t="shared" si="6"/>
        <v/>
      </c>
      <c r="R36" s="8" t="str">
        <f t="shared" si="7"/>
        <v/>
      </c>
      <c r="S36" s="8">
        <f>IF(OR(R36="",D36=""),0,IF(SUMPRODUCT(--(R$4:R36=R36))&gt;1,1,0))</f>
        <v>0</v>
      </c>
      <c r="T36" s="8">
        <f t="shared" si="8"/>
        <v>0</v>
      </c>
    </row>
    <row r="37" spans="1:20" x14ac:dyDescent="0.25">
      <c r="A37" s="8">
        <v>34</v>
      </c>
      <c r="B37" s="9"/>
      <c r="C37" s="33" t="str">
        <f t="shared" si="0"/>
        <v/>
      </c>
      <c r="D37" s="9"/>
      <c r="E37" s="31"/>
      <c r="F37" s="11"/>
      <c r="G37" s="11"/>
      <c r="H37" s="9"/>
      <c r="I37" s="12" t="str">
        <f t="shared" si="1"/>
        <v/>
      </c>
      <c r="J37" s="12" t="str">
        <f t="shared" si="2"/>
        <v/>
      </c>
      <c r="K37" s="11"/>
      <c r="L37" s="12" t="str">
        <f t="shared" si="3"/>
        <v/>
      </c>
      <c r="M37" s="12" t="str">
        <f t="shared" si="4"/>
        <v/>
      </c>
      <c r="N37" s="8" t="str">
        <f t="shared" si="5"/>
        <v/>
      </c>
      <c r="O37" s="9"/>
      <c r="P37" s="31"/>
      <c r="Q37" s="8" t="str">
        <f t="shared" si="6"/>
        <v/>
      </c>
      <c r="R37" s="8" t="str">
        <f t="shared" si="7"/>
        <v/>
      </c>
      <c r="S37" s="8">
        <f>IF(OR(R37="",D37=""),0,IF(SUMPRODUCT(--(R$4:R37=R37))&gt;1,1,0))</f>
        <v>0</v>
      </c>
      <c r="T37" s="8">
        <f t="shared" si="8"/>
        <v>0</v>
      </c>
    </row>
    <row r="38" spans="1:20" x14ac:dyDescent="0.25">
      <c r="A38" s="8">
        <v>35</v>
      </c>
      <c r="B38" s="9"/>
      <c r="C38" s="33" t="str">
        <f t="shared" si="0"/>
        <v/>
      </c>
      <c r="D38" s="9"/>
      <c r="E38" s="31"/>
      <c r="F38" s="11"/>
      <c r="G38" s="11"/>
      <c r="H38" s="9"/>
      <c r="I38" s="12" t="str">
        <f t="shared" si="1"/>
        <v/>
      </c>
      <c r="J38" s="12" t="str">
        <f t="shared" si="2"/>
        <v/>
      </c>
      <c r="K38" s="11"/>
      <c r="L38" s="12" t="str">
        <f t="shared" si="3"/>
        <v/>
      </c>
      <c r="M38" s="12" t="str">
        <f t="shared" si="4"/>
        <v/>
      </c>
      <c r="N38" s="8" t="str">
        <f t="shared" si="5"/>
        <v/>
      </c>
      <c r="O38" s="9"/>
      <c r="P38" s="31"/>
      <c r="Q38" s="8" t="str">
        <f t="shared" si="6"/>
        <v/>
      </c>
      <c r="R38" s="8" t="str">
        <f t="shared" si="7"/>
        <v/>
      </c>
      <c r="S38" s="8">
        <f>IF(OR(R38="",D38=""),0,IF(SUMPRODUCT(--(R$4:R38=R38))&gt;1,1,0))</f>
        <v>0</v>
      </c>
      <c r="T38" s="8">
        <f t="shared" si="8"/>
        <v>0</v>
      </c>
    </row>
    <row r="39" spans="1:20" x14ac:dyDescent="0.25">
      <c r="A39" s="8">
        <v>36</v>
      </c>
      <c r="B39" s="9"/>
      <c r="C39" s="33" t="str">
        <f t="shared" si="0"/>
        <v/>
      </c>
      <c r="D39" s="9"/>
      <c r="E39" s="31"/>
      <c r="F39" s="11"/>
      <c r="G39" s="11"/>
      <c r="H39" s="9"/>
      <c r="I39" s="12" t="str">
        <f t="shared" si="1"/>
        <v/>
      </c>
      <c r="J39" s="12" t="str">
        <f t="shared" si="2"/>
        <v/>
      </c>
      <c r="K39" s="11"/>
      <c r="L39" s="12" t="str">
        <f t="shared" si="3"/>
        <v/>
      </c>
      <c r="M39" s="12" t="str">
        <f t="shared" si="4"/>
        <v/>
      </c>
      <c r="N39" s="8" t="str">
        <f t="shared" si="5"/>
        <v/>
      </c>
      <c r="O39" s="9"/>
      <c r="P39" s="31"/>
      <c r="Q39" s="8" t="str">
        <f t="shared" si="6"/>
        <v/>
      </c>
      <c r="R39" s="8" t="str">
        <f t="shared" si="7"/>
        <v/>
      </c>
      <c r="S39" s="8">
        <f>IF(OR(R39="",D39=""),0,IF(SUMPRODUCT(--(R$4:R39=R39))&gt;1,1,0))</f>
        <v>0</v>
      </c>
      <c r="T39" s="8">
        <f t="shared" si="8"/>
        <v>0</v>
      </c>
    </row>
    <row r="40" spans="1:20" x14ac:dyDescent="0.25">
      <c r="A40" s="8">
        <v>37</v>
      </c>
      <c r="B40" s="9"/>
      <c r="C40" s="33" t="str">
        <f t="shared" si="0"/>
        <v/>
      </c>
      <c r="D40" s="9"/>
      <c r="E40" s="31"/>
      <c r="F40" s="11"/>
      <c r="G40" s="11"/>
      <c r="H40" s="9"/>
      <c r="I40" s="12" t="str">
        <f t="shared" si="1"/>
        <v/>
      </c>
      <c r="J40" s="12" t="str">
        <f t="shared" si="2"/>
        <v/>
      </c>
      <c r="K40" s="11"/>
      <c r="L40" s="12" t="str">
        <f t="shared" si="3"/>
        <v/>
      </c>
      <c r="M40" s="12" t="str">
        <f t="shared" si="4"/>
        <v/>
      </c>
      <c r="N40" s="8" t="str">
        <f t="shared" si="5"/>
        <v/>
      </c>
      <c r="O40" s="9"/>
      <c r="P40" s="31"/>
      <c r="Q40" s="8" t="str">
        <f t="shared" si="6"/>
        <v/>
      </c>
      <c r="R40" s="8" t="str">
        <f t="shared" si="7"/>
        <v/>
      </c>
      <c r="S40" s="8">
        <f>IF(OR(R40="",D40=""),0,IF(SUMPRODUCT(--(R$4:R40=R40))&gt;1,1,0))</f>
        <v>0</v>
      </c>
      <c r="T40" s="8">
        <f t="shared" si="8"/>
        <v>0</v>
      </c>
    </row>
    <row r="41" spans="1:20" x14ac:dyDescent="0.25">
      <c r="A41" s="8">
        <v>38</v>
      </c>
      <c r="B41" s="9"/>
      <c r="C41" s="33" t="str">
        <f t="shared" si="0"/>
        <v/>
      </c>
      <c r="D41" s="9"/>
      <c r="E41" s="31"/>
      <c r="F41" s="11"/>
      <c r="G41" s="11"/>
      <c r="H41" s="9"/>
      <c r="I41" s="12" t="str">
        <f t="shared" si="1"/>
        <v/>
      </c>
      <c r="J41" s="12" t="str">
        <f t="shared" si="2"/>
        <v/>
      </c>
      <c r="K41" s="11"/>
      <c r="L41" s="12" t="str">
        <f t="shared" si="3"/>
        <v/>
      </c>
      <c r="M41" s="12" t="str">
        <f t="shared" si="4"/>
        <v/>
      </c>
      <c r="N41" s="8" t="str">
        <f t="shared" si="5"/>
        <v/>
      </c>
      <c r="O41" s="9"/>
      <c r="P41" s="31"/>
      <c r="Q41" s="8" t="str">
        <f t="shared" si="6"/>
        <v/>
      </c>
      <c r="R41" s="8" t="str">
        <f t="shared" si="7"/>
        <v/>
      </c>
      <c r="S41" s="8">
        <f>IF(OR(R41="",D41=""),0,IF(SUMPRODUCT(--(R$4:R41=R41))&gt;1,1,0))</f>
        <v>0</v>
      </c>
      <c r="T41" s="8">
        <f t="shared" si="8"/>
        <v>0</v>
      </c>
    </row>
    <row r="42" spans="1:20" x14ac:dyDescent="0.25">
      <c r="A42" s="8">
        <v>39</v>
      </c>
      <c r="B42" s="9"/>
      <c r="C42" s="33" t="str">
        <f t="shared" si="0"/>
        <v/>
      </c>
      <c r="D42" s="9"/>
      <c r="E42" s="31"/>
      <c r="F42" s="11"/>
      <c r="G42" s="11"/>
      <c r="H42" s="9"/>
      <c r="I42" s="12" t="str">
        <f t="shared" si="1"/>
        <v/>
      </c>
      <c r="J42" s="12" t="str">
        <f t="shared" si="2"/>
        <v/>
      </c>
      <c r="K42" s="11"/>
      <c r="L42" s="12" t="str">
        <f t="shared" si="3"/>
        <v/>
      </c>
      <c r="M42" s="12" t="str">
        <f t="shared" si="4"/>
        <v/>
      </c>
      <c r="N42" s="8" t="str">
        <f t="shared" si="5"/>
        <v/>
      </c>
      <c r="O42" s="9"/>
      <c r="P42" s="31"/>
      <c r="Q42" s="8" t="str">
        <f t="shared" si="6"/>
        <v/>
      </c>
      <c r="R42" s="8" t="str">
        <f t="shared" si="7"/>
        <v/>
      </c>
      <c r="S42" s="8">
        <f>IF(OR(R42="",D42=""),0,IF(SUMPRODUCT(--(R$4:R42=R42))&gt;1,1,0))</f>
        <v>0</v>
      </c>
      <c r="T42" s="8">
        <f t="shared" si="8"/>
        <v>0</v>
      </c>
    </row>
    <row r="43" spans="1:20" x14ac:dyDescent="0.25">
      <c r="A43" s="8">
        <v>40</v>
      </c>
      <c r="B43" s="9"/>
      <c r="C43" s="33" t="str">
        <f t="shared" si="0"/>
        <v/>
      </c>
      <c r="D43" s="9"/>
      <c r="E43" s="31"/>
      <c r="F43" s="11"/>
      <c r="G43" s="11"/>
      <c r="H43" s="9"/>
      <c r="I43" s="12" t="str">
        <f t="shared" si="1"/>
        <v/>
      </c>
      <c r="J43" s="12" t="str">
        <f t="shared" si="2"/>
        <v/>
      </c>
      <c r="K43" s="11"/>
      <c r="L43" s="12" t="str">
        <f t="shared" si="3"/>
        <v/>
      </c>
      <c r="M43" s="12" t="str">
        <f t="shared" si="4"/>
        <v/>
      </c>
      <c r="N43" s="8" t="str">
        <f t="shared" si="5"/>
        <v/>
      </c>
      <c r="O43" s="9"/>
      <c r="P43" s="31"/>
      <c r="Q43" s="8" t="str">
        <f t="shared" si="6"/>
        <v/>
      </c>
      <c r="R43" s="8" t="str">
        <f t="shared" si="7"/>
        <v/>
      </c>
      <c r="S43" s="8">
        <f>IF(OR(R43="",D43=""),0,IF(SUMPRODUCT(--(R$4:R43=R43))&gt;1,1,0))</f>
        <v>0</v>
      </c>
      <c r="T43" s="8">
        <f t="shared" si="8"/>
        <v>0</v>
      </c>
    </row>
    <row r="44" spans="1:20" x14ac:dyDescent="0.25">
      <c r="A44" s="8">
        <v>41</v>
      </c>
      <c r="B44" s="9"/>
      <c r="C44" s="33" t="str">
        <f t="shared" si="0"/>
        <v/>
      </c>
      <c r="D44" s="9"/>
      <c r="E44" s="31"/>
      <c r="F44" s="11"/>
      <c r="G44" s="11"/>
      <c r="H44" s="9"/>
      <c r="I44" s="12" t="str">
        <f t="shared" si="1"/>
        <v/>
      </c>
      <c r="J44" s="12" t="str">
        <f t="shared" si="2"/>
        <v/>
      </c>
      <c r="K44" s="11"/>
      <c r="L44" s="12" t="str">
        <f t="shared" si="3"/>
        <v/>
      </c>
      <c r="M44" s="12" t="str">
        <f t="shared" si="4"/>
        <v/>
      </c>
      <c r="N44" s="8" t="str">
        <f t="shared" si="5"/>
        <v/>
      </c>
      <c r="O44" s="9"/>
      <c r="P44" s="31"/>
      <c r="Q44" s="8" t="str">
        <f t="shared" si="6"/>
        <v/>
      </c>
      <c r="R44" s="8" t="str">
        <f t="shared" si="7"/>
        <v/>
      </c>
      <c r="S44" s="8">
        <f>IF(OR(R44="",D44=""),0,IF(SUMPRODUCT(--(R$4:R44=R44))&gt;1,1,0))</f>
        <v>0</v>
      </c>
      <c r="T44" s="8">
        <f t="shared" si="8"/>
        <v>0</v>
      </c>
    </row>
    <row r="45" spans="1:20" x14ac:dyDescent="0.25">
      <c r="A45" s="8">
        <v>42</v>
      </c>
      <c r="B45" s="9"/>
      <c r="C45" s="33" t="str">
        <f t="shared" si="0"/>
        <v/>
      </c>
      <c r="D45" s="9"/>
      <c r="E45" s="31"/>
      <c r="F45" s="11"/>
      <c r="G45" s="11"/>
      <c r="H45" s="9"/>
      <c r="I45" s="12" t="str">
        <f t="shared" si="1"/>
        <v/>
      </c>
      <c r="J45" s="12" t="str">
        <f t="shared" si="2"/>
        <v/>
      </c>
      <c r="K45" s="11"/>
      <c r="L45" s="12" t="str">
        <f t="shared" si="3"/>
        <v/>
      </c>
      <c r="M45" s="12" t="str">
        <f t="shared" si="4"/>
        <v/>
      </c>
      <c r="N45" s="8" t="str">
        <f t="shared" si="5"/>
        <v/>
      </c>
      <c r="O45" s="9"/>
      <c r="P45" s="31"/>
      <c r="Q45" s="8" t="str">
        <f t="shared" si="6"/>
        <v/>
      </c>
      <c r="R45" s="8" t="str">
        <f t="shared" si="7"/>
        <v/>
      </c>
      <c r="S45" s="8">
        <f>IF(OR(R45="",D45=""),0,IF(SUMPRODUCT(--(R$4:R45=R45))&gt;1,1,0))</f>
        <v>0</v>
      </c>
      <c r="T45" s="8">
        <f t="shared" si="8"/>
        <v>0</v>
      </c>
    </row>
    <row r="46" spans="1:20" x14ac:dyDescent="0.25">
      <c r="A46" s="8">
        <v>43</v>
      </c>
      <c r="B46" s="9"/>
      <c r="C46" s="33" t="str">
        <f t="shared" si="0"/>
        <v/>
      </c>
      <c r="D46" s="9"/>
      <c r="E46" s="31"/>
      <c r="F46" s="11"/>
      <c r="G46" s="11"/>
      <c r="H46" s="9"/>
      <c r="I46" s="12" t="str">
        <f t="shared" si="1"/>
        <v/>
      </c>
      <c r="J46" s="12" t="str">
        <f t="shared" si="2"/>
        <v/>
      </c>
      <c r="K46" s="11"/>
      <c r="L46" s="12" t="str">
        <f t="shared" si="3"/>
        <v/>
      </c>
      <c r="M46" s="12" t="str">
        <f t="shared" si="4"/>
        <v/>
      </c>
      <c r="N46" s="8" t="str">
        <f t="shared" si="5"/>
        <v/>
      </c>
      <c r="O46" s="9"/>
      <c r="P46" s="31"/>
      <c r="Q46" s="8" t="str">
        <f t="shared" si="6"/>
        <v/>
      </c>
      <c r="R46" s="8" t="str">
        <f t="shared" si="7"/>
        <v/>
      </c>
      <c r="S46" s="8">
        <f>IF(OR(R46="",D46=""),0,IF(SUMPRODUCT(--(R$4:R46=R46))&gt;1,1,0))</f>
        <v>0</v>
      </c>
      <c r="T46" s="8">
        <f t="shared" si="8"/>
        <v>0</v>
      </c>
    </row>
    <row r="47" spans="1:20" x14ac:dyDescent="0.25">
      <c r="A47" s="8">
        <v>44</v>
      </c>
      <c r="B47" s="9"/>
      <c r="C47" s="33" t="str">
        <f t="shared" si="0"/>
        <v/>
      </c>
      <c r="D47" s="9"/>
      <c r="E47" s="31"/>
      <c r="F47" s="11"/>
      <c r="G47" s="11"/>
      <c r="H47" s="9"/>
      <c r="I47" s="12" t="str">
        <f t="shared" si="1"/>
        <v/>
      </c>
      <c r="J47" s="12" t="str">
        <f t="shared" si="2"/>
        <v/>
      </c>
      <c r="K47" s="11"/>
      <c r="L47" s="12" t="str">
        <f t="shared" si="3"/>
        <v/>
      </c>
      <c r="M47" s="12" t="str">
        <f t="shared" si="4"/>
        <v/>
      </c>
      <c r="N47" s="8" t="str">
        <f t="shared" si="5"/>
        <v/>
      </c>
      <c r="O47" s="9"/>
      <c r="P47" s="31"/>
      <c r="Q47" s="8" t="str">
        <f t="shared" si="6"/>
        <v/>
      </c>
      <c r="R47" s="8" t="str">
        <f t="shared" si="7"/>
        <v/>
      </c>
      <c r="S47" s="8">
        <f>IF(OR(R47="",D47=""),0,IF(SUMPRODUCT(--(R$4:R47=R47))&gt;1,1,0))</f>
        <v>0</v>
      </c>
      <c r="T47" s="8">
        <f t="shared" si="8"/>
        <v>0</v>
      </c>
    </row>
    <row r="48" spans="1:20" x14ac:dyDescent="0.25">
      <c r="A48" s="8">
        <v>45</v>
      </c>
      <c r="B48" s="9"/>
      <c r="C48" s="33" t="str">
        <f t="shared" si="0"/>
        <v/>
      </c>
      <c r="D48" s="9"/>
      <c r="E48" s="31"/>
      <c r="F48" s="11"/>
      <c r="G48" s="11"/>
      <c r="H48" s="9"/>
      <c r="I48" s="12" t="str">
        <f t="shared" si="1"/>
        <v/>
      </c>
      <c r="J48" s="12" t="str">
        <f t="shared" si="2"/>
        <v/>
      </c>
      <c r="K48" s="11"/>
      <c r="L48" s="12" t="str">
        <f t="shared" si="3"/>
        <v/>
      </c>
      <c r="M48" s="12" t="str">
        <f t="shared" si="4"/>
        <v/>
      </c>
      <c r="N48" s="8" t="str">
        <f t="shared" si="5"/>
        <v/>
      </c>
      <c r="O48" s="9"/>
      <c r="P48" s="31"/>
      <c r="Q48" s="8" t="str">
        <f t="shared" si="6"/>
        <v/>
      </c>
      <c r="R48" s="8" t="str">
        <f t="shared" si="7"/>
        <v/>
      </c>
      <c r="S48" s="8">
        <f>IF(OR(R48="",D48=""),0,IF(SUMPRODUCT(--(R$4:R48=R48))&gt;1,1,0))</f>
        <v>0</v>
      </c>
      <c r="T48" s="8">
        <f t="shared" si="8"/>
        <v>0</v>
      </c>
    </row>
    <row r="49" spans="1:20" x14ac:dyDescent="0.25">
      <c r="A49" s="8">
        <v>46</v>
      </c>
      <c r="B49" s="9"/>
      <c r="C49" s="33" t="str">
        <f t="shared" si="0"/>
        <v/>
      </c>
      <c r="D49" s="9"/>
      <c r="E49" s="31"/>
      <c r="F49" s="11"/>
      <c r="G49" s="11"/>
      <c r="H49" s="9"/>
      <c r="I49" s="12" t="str">
        <f t="shared" si="1"/>
        <v/>
      </c>
      <c r="J49" s="12" t="str">
        <f t="shared" si="2"/>
        <v/>
      </c>
      <c r="K49" s="11"/>
      <c r="L49" s="12" t="str">
        <f t="shared" si="3"/>
        <v/>
      </c>
      <c r="M49" s="12" t="str">
        <f t="shared" si="4"/>
        <v/>
      </c>
      <c r="N49" s="8" t="str">
        <f t="shared" si="5"/>
        <v/>
      </c>
      <c r="O49" s="9"/>
      <c r="P49" s="31"/>
      <c r="Q49" s="8" t="str">
        <f t="shared" si="6"/>
        <v/>
      </c>
      <c r="R49" s="8" t="str">
        <f t="shared" si="7"/>
        <v/>
      </c>
      <c r="S49" s="8">
        <f>IF(OR(R49="",D49=""),0,IF(SUMPRODUCT(--(R$4:R49=R49))&gt;1,1,0))</f>
        <v>0</v>
      </c>
      <c r="T49" s="8">
        <f t="shared" si="8"/>
        <v>0</v>
      </c>
    </row>
    <row r="50" spans="1:20" x14ac:dyDescent="0.25">
      <c r="A50" s="8">
        <v>47</v>
      </c>
      <c r="B50" s="9"/>
      <c r="C50" s="33" t="str">
        <f t="shared" si="0"/>
        <v/>
      </c>
      <c r="D50" s="9"/>
      <c r="E50" s="31"/>
      <c r="F50" s="11"/>
      <c r="G50" s="11"/>
      <c r="H50" s="9"/>
      <c r="I50" s="12" t="str">
        <f t="shared" si="1"/>
        <v/>
      </c>
      <c r="J50" s="12" t="str">
        <f t="shared" si="2"/>
        <v/>
      </c>
      <c r="K50" s="11"/>
      <c r="L50" s="12" t="str">
        <f t="shared" si="3"/>
        <v/>
      </c>
      <c r="M50" s="12" t="str">
        <f t="shared" si="4"/>
        <v/>
      </c>
      <c r="N50" s="8" t="str">
        <f t="shared" si="5"/>
        <v/>
      </c>
      <c r="O50" s="9"/>
      <c r="P50" s="31"/>
      <c r="Q50" s="8" t="str">
        <f t="shared" si="6"/>
        <v/>
      </c>
      <c r="R50" s="8" t="str">
        <f t="shared" si="7"/>
        <v/>
      </c>
      <c r="S50" s="8">
        <f>IF(OR(R50="",D50=""),0,IF(SUMPRODUCT(--(R$4:R50=R50))&gt;1,1,0))</f>
        <v>0</v>
      </c>
      <c r="T50" s="8">
        <f t="shared" si="8"/>
        <v>0</v>
      </c>
    </row>
    <row r="51" spans="1:20" x14ac:dyDescent="0.25">
      <c r="A51" s="8">
        <v>48</v>
      </c>
      <c r="B51" s="9"/>
      <c r="C51" s="33" t="str">
        <f t="shared" si="0"/>
        <v/>
      </c>
      <c r="D51" s="9"/>
      <c r="E51" s="31"/>
      <c r="F51" s="11"/>
      <c r="G51" s="11"/>
      <c r="H51" s="9"/>
      <c r="I51" s="12" t="str">
        <f t="shared" si="1"/>
        <v/>
      </c>
      <c r="J51" s="12" t="str">
        <f t="shared" si="2"/>
        <v/>
      </c>
      <c r="K51" s="11"/>
      <c r="L51" s="12" t="str">
        <f t="shared" si="3"/>
        <v/>
      </c>
      <c r="M51" s="12" t="str">
        <f t="shared" si="4"/>
        <v/>
      </c>
      <c r="N51" s="8" t="str">
        <f t="shared" si="5"/>
        <v/>
      </c>
      <c r="O51" s="9"/>
      <c r="P51" s="31"/>
      <c r="Q51" s="8" t="str">
        <f t="shared" si="6"/>
        <v/>
      </c>
      <c r="R51" s="8" t="str">
        <f t="shared" si="7"/>
        <v/>
      </c>
      <c r="S51" s="8">
        <f>IF(OR(R51="",D51=""),0,IF(SUMPRODUCT(--(R$4:R51=R51))&gt;1,1,0))</f>
        <v>0</v>
      </c>
      <c r="T51" s="8">
        <f t="shared" si="8"/>
        <v>0</v>
      </c>
    </row>
    <row r="52" spans="1:20" x14ac:dyDescent="0.25">
      <c r="A52" s="8">
        <v>49</v>
      </c>
      <c r="B52" s="9"/>
      <c r="C52" s="33" t="str">
        <f t="shared" si="0"/>
        <v/>
      </c>
      <c r="D52" s="9"/>
      <c r="E52" s="31"/>
      <c r="F52" s="11"/>
      <c r="G52" s="11"/>
      <c r="H52" s="9"/>
      <c r="I52" s="12" t="str">
        <f t="shared" si="1"/>
        <v/>
      </c>
      <c r="J52" s="12" t="str">
        <f t="shared" si="2"/>
        <v/>
      </c>
      <c r="K52" s="11"/>
      <c r="L52" s="12" t="str">
        <f t="shared" si="3"/>
        <v/>
      </c>
      <c r="M52" s="12" t="str">
        <f t="shared" si="4"/>
        <v/>
      </c>
      <c r="N52" s="8" t="str">
        <f t="shared" si="5"/>
        <v/>
      </c>
      <c r="O52" s="9"/>
      <c r="P52" s="31"/>
      <c r="Q52" s="8" t="str">
        <f t="shared" si="6"/>
        <v/>
      </c>
      <c r="R52" s="8" t="str">
        <f t="shared" si="7"/>
        <v/>
      </c>
      <c r="S52" s="8">
        <f>IF(OR(R52="",D52=""),0,IF(SUMPRODUCT(--(R$4:R52=R52))&gt;1,1,0))</f>
        <v>0</v>
      </c>
      <c r="T52" s="8">
        <f t="shared" si="8"/>
        <v>0</v>
      </c>
    </row>
    <row r="53" spans="1:20" x14ac:dyDescent="0.25">
      <c r="A53" s="8">
        <v>50</v>
      </c>
      <c r="B53" s="9"/>
      <c r="C53" s="33" t="str">
        <f t="shared" si="0"/>
        <v/>
      </c>
      <c r="D53" s="9"/>
      <c r="E53" s="31"/>
      <c r="F53" s="11"/>
      <c r="G53" s="11"/>
      <c r="H53" s="9"/>
      <c r="I53" s="12" t="str">
        <f t="shared" si="1"/>
        <v/>
      </c>
      <c r="J53" s="12" t="str">
        <f t="shared" si="2"/>
        <v/>
      </c>
      <c r="K53" s="11"/>
      <c r="L53" s="12" t="str">
        <f t="shared" si="3"/>
        <v/>
      </c>
      <c r="M53" s="12" t="str">
        <f t="shared" si="4"/>
        <v/>
      </c>
      <c r="N53" s="8" t="str">
        <f t="shared" si="5"/>
        <v/>
      </c>
      <c r="O53" s="9"/>
      <c r="P53" s="31"/>
      <c r="Q53" s="8" t="str">
        <f t="shared" si="6"/>
        <v/>
      </c>
      <c r="R53" s="8" t="str">
        <f t="shared" si="7"/>
        <v/>
      </c>
      <c r="S53" s="8">
        <f>IF(OR(R53="",D53=""),0,IF(SUMPRODUCT(--(R$4:R53=R53))&gt;1,1,0))</f>
        <v>0</v>
      </c>
      <c r="T53" s="8">
        <f t="shared" si="8"/>
        <v>0</v>
      </c>
    </row>
    <row r="54" spans="1:20" x14ac:dyDescent="0.25">
      <c r="A54" s="8">
        <v>51</v>
      </c>
      <c r="B54" s="9"/>
      <c r="C54" s="33" t="str">
        <f t="shared" si="0"/>
        <v/>
      </c>
      <c r="D54" s="9"/>
      <c r="E54" s="31"/>
      <c r="F54" s="11"/>
      <c r="G54" s="11"/>
      <c r="H54" s="9"/>
      <c r="I54" s="12" t="str">
        <f t="shared" si="1"/>
        <v/>
      </c>
      <c r="J54" s="12" t="str">
        <f t="shared" si="2"/>
        <v/>
      </c>
      <c r="K54" s="11"/>
      <c r="L54" s="12" t="str">
        <f t="shared" si="3"/>
        <v/>
      </c>
      <c r="M54" s="12" t="str">
        <f t="shared" si="4"/>
        <v/>
      </c>
      <c r="N54" s="8" t="str">
        <f t="shared" si="5"/>
        <v/>
      </c>
      <c r="O54" s="9"/>
      <c r="P54" s="31"/>
      <c r="Q54" s="8" t="str">
        <f t="shared" si="6"/>
        <v/>
      </c>
      <c r="R54" s="8" t="str">
        <f t="shared" si="7"/>
        <v/>
      </c>
      <c r="S54" s="8">
        <f>IF(OR(R54="",D54=""),0,IF(SUMPRODUCT(--(R$4:R54=R54))&gt;1,1,0))</f>
        <v>0</v>
      </c>
      <c r="T54" s="8">
        <f t="shared" si="8"/>
        <v>0</v>
      </c>
    </row>
    <row r="55" spans="1:20" x14ac:dyDescent="0.25">
      <c r="A55" s="8">
        <v>52</v>
      </c>
      <c r="B55" s="9"/>
      <c r="C55" s="33" t="str">
        <f t="shared" si="0"/>
        <v/>
      </c>
      <c r="D55" s="9"/>
      <c r="E55" s="31"/>
      <c r="F55" s="11"/>
      <c r="G55" s="11"/>
      <c r="H55" s="9"/>
      <c r="I55" s="12" t="str">
        <f t="shared" si="1"/>
        <v/>
      </c>
      <c r="J55" s="12" t="str">
        <f t="shared" si="2"/>
        <v/>
      </c>
      <c r="K55" s="11"/>
      <c r="L55" s="12" t="str">
        <f t="shared" si="3"/>
        <v/>
      </c>
      <c r="M55" s="12" t="str">
        <f t="shared" si="4"/>
        <v/>
      </c>
      <c r="N55" s="8" t="str">
        <f t="shared" si="5"/>
        <v/>
      </c>
      <c r="O55" s="9"/>
      <c r="P55" s="31"/>
      <c r="Q55" s="8" t="str">
        <f t="shared" si="6"/>
        <v/>
      </c>
      <c r="R55" s="8" t="str">
        <f t="shared" si="7"/>
        <v/>
      </c>
      <c r="S55" s="8">
        <f>IF(OR(R55="",D55=""),0,IF(SUMPRODUCT(--(R$4:R55=R55))&gt;1,1,0))</f>
        <v>0</v>
      </c>
      <c r="T55" s="8">
        <f t="shared" si="8"/>
        <v>0</v>
      </c>
    </row>
    <row r="56" spans="1:20" x14ac:dyDescent="0.25">
      <c r="A56" s="8">
        <v>53</v>
      </c>
      <c r="B56" s="9"/>
      <c r="C56" s="33" t="str">
        <f t="shared" si="0"/>
        <v/>
      </c>
      <c r="D56" s="9"/>
      <c r="E56" s="31"/>
      <c r="F56" s="11"/>
      <c r="G56" s="11"/>
      <c r="H56" s="9"/>
      <c r="I56" s="12" t="str">
        <f t="shared" si="1"/>
        <v/>
      </c>
      <c r="J56" s="12" t="str">
        <f t="shared" si="2"/>
        <v/>
      </c>
      <c r="K56" s="11"/>
      <c r="L56" s="12" t="str">
        <f t="shared" si="3"/>
        <v/>
      </c>
      <c r="M56" s="12" t="str">
        <f t="shared" si="4"/>
        <v/>
      </c>
      <c r="N56" s="8" t="str">
        <f t="shared" si="5"/>
        <v/>
      </c>
      <c r="O56" s="9"/>
      <c r="P56" s="31"/>
      <c r="Q56" s="8" t="str">
        <f t="shared" si="6"/>
        <v/>
      </c>
      <c r="R56" s="8" t="str">
        <f t="shared" si="7"/>
        <v/>
      </c>
      <c r="S56" s="8">
        <f>IF(OR(R56="",D56=""),0,IF(SUMPRODUCT(--(R$4:R56=R56))&gt;1,1,0))</f>
        <v>0</v>
      </c>
      <c r="T56" s="8">
        <f t="shared" si="8"/>
        <v>0</v>
      </c>
    </row>
    <row r="57" spans="1:20" x14ac:dyDescent="0.25">
      <c r="A57" s="8">
        <v>54</v>
      </c>
      <c r="B57" s="9"/>
      <c r="C57" s="33" t="str">
        <f t="shared" si="0"/>
        <v/>
      </c>
      <c r="D57" s="9"/>
      <c r="E57" s="31"/>
      <c r="F57" s="11"/>
      <c r="G57" s="11"/>
      <c r="H57" s="9"/>
      <c r="I57" s="12" t="str">
        <f t="shared" si="1"/>
        <v/>
      </c>
      <c r="J57" s="12" t="str">
        <f t="shared" si="2"/>
        <v/>
      </c>
      <c r="K57" s="11"/>
      <c r="L57" s="12" t="str">
        <f t="shared" si="3"/>
        <v/>
      </c>
      <c r="M57" s="12" t="str">
        <f t="shared" si="4"/>
        <v/>
      </c>
      <c r="N57" s="8" t="str">
        <f t="shared" si="5"/>
        <v/>
      </c>
      <c r="O57" s="9"/>
      <c r="P57" s="31"/>
      <c r="Q57" s="8" t="str">
        <f t="shared" si="6"/>
        <v/>
      </c>
      <c r="R57" s="8" t="str">
        <f t="shared" si="7"/>
        <v/>
      </c>
      <c r="S57" s="8">
        <f>IF(OR(R57="",D57=""),0,IF(SUMPRODUCT(--(R$4:R57=R57))&gt;1,1,0))</f>
        <v>0</v>
      </c>
      <c r="T57" s="8">
        <f t="shared" si="8"/>
        <v>0</v>
      </c>
    </row>
    <row r="58" spans="1:20" x14ac:dyDescent="0.25">
      <c r="A58" s="8">
        <v>55</v>
      </c>
      <c r="B58" s="9"/>
      <c r="C58" s="33" t="str">
        <f t="shared" si="0"/>
        <v/>
      </c>
      <c r="D58" s="9"/>
      <c r="E58" s="31"/>
      <c r="F58" s="11"/>
      <c r="G58" s="11"/>
      <c r="H58" s="9"/>
      <c r="I58" s="12" t="str">
        <f t="shared" si="1"/>
        <v/>
      </c>
      <c r="J58" s="12" t="str">
        <f t="shared" si="2"/>
        <v/>
      </c>
      <c r="K58" s="11"/>
      <c r="L58" s="12" t="str">
        <f t="shared" si="3"/>
        <v/>
      </c>
      <c r="M58" s="12" t="str">
        <f t="shared" si="4"/>
        <v/>
      </c>
      <c r="N58" s="8" t="str">
        <f t="shared" si="5"/>
        <v/>
      </c>
      <c r="O58" s="9"/>
      <c r="P58" s="31"/>
      <c r="Q58" s="8" t="str">
        <f t="shared" si="6"/>
        <v/>
      </c>
      <c r="R58" s="8" t="str">
        <f t="shared" si="7"/>
        <v/>
      </c>
      <c r="S58" s="8">
        <f>IF(OR(R58="",D58=""),0,IF(SUMPRODUCT(--(R$4:R58=R58))&gt;1,1,0))</f>
        <v>0</v>
      </c>
      <c r="T58" s="8">
        <f t="shared" si="8"/>
        <v>0</v>
      </c>
    </row>
    <row r="59" spans="1:20" x14ac:dyDescent="0.25">
      <c r="A59" s="8">
        <v>56</v>
      </c>
      <c r="B59" s="9"/>
      <c r="C59" s="33" t="str">
        <f t="shared" si="0"/>
        <v/>
      </c>
      <c r="D59" s="9"/>
      <c r="E59" s="31"/>
      <c r="F59" s="11"/>
      <c r="G59" s="11"/>
      <c r="H59" s="9"/>
      <c r="I59" s="12" t="str">
        <f t="shared" si="1"/>
        <v/>
      </c>
      <c r="J59" s="12" t="str">
        <f t="shared" si="2"/>
        <v/>
      </c>
      <c r="K59" s="11"/>
      <c r="L59" s="12" t="str">
        <f t="shared" si="3"/>
        <v/>
      </c>
      <c r="M59" s="12" t="str">
        <f t="shared" si="4"/>
        <v/>
      </c>
      <c r="N59" s="8" t="str">
        <f t="shared" si="5"/>
        <v/>
      </c>
      <c r="O59" s="9"/>
      <c r="P59" s="31"/>
      <c r="Q59" s="8" t="str">
        <f t="shared" si="6"/>
        <v/>
      </c>
      <c r="R59" s="8" t="str">
        <f t="shared" si="7"/>
        <v/>
      </c>
      <c r="S59" s="8">
        <f>IF(OR(R59="",D59=""),0,IF(SUMPRODUCT(--(R$4:R59=R59))&gt;1,1,0))</f>
        <v>0</v>
      </c>
      <c r="T59" s="8">
        <f t="shared" si="8"/>
        <v>0</v>
      </c>
    </row>
    <row r="60" spans="1:20" x14ac:dyDescent="0.25">
      <c r="A60" s="8">
        <v>57</v>
      </c>
      <c r="B60" s="9"/>
      <c r="C60" s="33" t="str">
        <f t="shared" si="0"/>
        <v/>
      </c>
      <c r="D60" s="9"/>
      <c r="E60" s="31"/>
      <c r="F60" s="11"/>
      <c r="G60" s="11"/>
      <c r="H60" s="9"/>
      <c r="I60" s="12" t="str">
        <f t="shared" si="1"/>
        <v/>
      </c>
      <c r="J60" s="12" t="str">
        <f t="shared" si="2"/>
        <v/>
      </c>
      <c r="K60" s="11"/>
      <c r="L60" s="12" t="str">
        <f t="shared" si="3"/>
        <v/>
      </c>
      <c r="M60" s="12" t="str">
        <f t="shared" si="4"/>
        <v/>
      </c>
      <c r="N60" s="8" t="str">
        <f t="shared" si="5"/>
        <v/>
      </c>
      <c r="O60" s="9"/>
      <c r="P60" s="31"/>
      <c r="Q60" s="8" t="str">
        <f t="shared" si="6"/>
        <v/>
      </c>
      <c r="R60" s="8" t="str">
        <f t="shared" si="7"/>
        <v/>
      </c>
      <c r="S60" s="8">
        <f>IF(OR(R60="",D60=""),0,IF(SUMPRODUCT(--(R$4:R60=R60))&gt;1,1,0))</f>
        <v>0</v>
      </c>
      <c r="T60" s="8">
        <f t="shared" si="8"/>
        <v>0</v>
      </c>
    </row>
    <row r="61" spans="1:20" x14ac:dyDescent="0.25">
      <c r="A61" s="8">
        <v>58</v>
      </c>
      <c r="B61" s="9"/>
      <c r="C61" s="33" t="str">
        <f t="shared" si="0"/>
        <v/>
      </c>
      <c r="D61" s="9"/>
      <c r="E61" s="31"/>
      <c r="F61" s="11"/>
      <c r="G61" s="11"/>
      <c r="H61" s="9"/>
      <c r="I61" s="12" t="str">
        <f t="shared" si="1"/>
        <v/>
      </c>
      <c r="J61" s="12" t="str">
        <f t="shared" si="2"/>
        <v/>
      </c>
      <c r="K61" s="11"/>
      <c r="L61" s="12" t="str">
        <f t="shared" si="3"/>
        <v/>
      </c>
      <c r="M61" s="12" t="str">
        <f t="shared" si="4"/>
        <v/>
      </c>
      <c r="N61" s="8" t="str">
        <f t="shared" si="5"/>
        <v/>
      </c>
      <c r="O61" s="9"/>
      <c r="P61" s="31"/>
      <c r="Q61" s="8" t="str">
        <f t="shared" si="6"/>
        <v/>
      </c>
      <c r="R61" s="8" t="str">
        <f t="shared" si="7"/>
        <v/>
      </c>
      <c r="S61" s="8">
        <f>IF(OR(R61="",D61=""),0,IF(SUMPRODUCT(--(R$4:R61=R61))&gt;1,1,0))</f>
        <v>0</v>
      </c>
      <c r="T61" s="8">
        <f t="shared" si="8"/>
        <v>0</v>
      </c>
    </row>
    <row r="62" spans="1:20" x14ac:dyDescent="0.25">
      <c r="A62" s="8">
        <v>59</v>
      </c>
      <c r="B62" s="9"/>
      <c r="C62" s="33" t="str">
        <f t="shared" si="0"/>
        <v/>
      </c>
      <c r="D62" s="9"/>
      <c r="E62" s="31"/>
      <c r="F62" s="11"/>
      <c r="G62" s="11"/>
      <c r="H62" s="9"/>
      <c r="I62" s="12" t="str">
        <f t="shared" si="1"/>
        <v/>
      </c>
      <c r="J62" s="12" t="str">
        <f t="shared" si="2"/>
        <v/>
      </c>
      <c r="K62" s="11"/>
      <c r="L62" s="12" t="str">
        <f t="shared" si="3"/>
        <v/>
      </c>
      <c r="M62" s="12" t="str">
        <f t="shared" si="4"/>
        <v/>
      </c>
      <c r="N62" s="8" t="str">
        <f t="shared" si="5"/>
        <v/>
      </c>
      <c r="O62" s="9"/>
      <c r="P62" s="31"/>
      <c r="Q62" s="8" t="str">
        <f t="shared" si="6"/>
        <v/>
      </c>
      <c r="R62" s="8" t="str">
        <f t="shared" si="7"/>
        <v/>
      </c>
      <c r="S62" s="8">
        <f>IF(OR(R62="",D62=""),0,IF(SUMPRODUCT(--(R$4:R62=R62))&gt;1,1,0))</f>
        <v>0</v>
      </c>
      <c r="T62" s="8">
        <f t="shared" si="8"/>
        <v>0</v>
      </c>
    </row>
    <row r="63" spans="1:20" x14ac:dyDescent="0.25">
      <c r="A63" s="8">
        <v>60</v>
      </c>
      <c r="B63" s="9"/>
      <c r="C63" s="33" t="str">
        <f t="shared" si="0"/>
        <v/>
      </c>
      <c r="D63" s="9"/>
      <c r="E63" s="31"/>
      <c r="F63" s="11"/>
      <c r="G63" s="11"/>
      <c r="H63" s="9"/>
      <c r="I63" s="12" t="str">
        <f t="shared" si="1"/>
        <v/>
      </c>
      <c r="J63" s="12" t="str">
        <f t="shared" si="2"/>
        <v/>
      </c>
      <c r="K63" s="11"/>
      <c r="L63" s="12" t="str">
        <f t="shared" si="3"/>
        <v/>
      </c>
      <c r="M63" s="12" t="str">
        <f t="shared" si="4"/>
        <v/>
      </c>
      <c r="N63" s="8" t="str">
        <f t="shared" si="5"/>
        <v/>
      </c>
      <c r="O63" s="9"/>
      <c r="P63" s="31"/>
      <c r="Q63" s="8" t="str">
        <f t="shared" si="6"/>
        <v/>
      </c>
      <c r="R63" s="8" t="str">
        <f t="shared" si="7"/>
        <v/>
      </c>
      <c r="S63" s="8">
        <f>IF(OR(R63="",D63=""),0,IF(SUMPRODUCT(--(R$4:R63=R63))&gt;1,1,0))</f>
        <v>0</v>
      </c>
      <c r="T63" s="8">
        <f t="shared" si="8"/>
        <v>0</v>
      </c>
    </row>
    <row r="64" spans="1:20" x14ac:dyDescent="0.25">
      <c r="A64" s="8">
        <v>61</v>
      </c>
      <c r="B64" s="9"/>
      <c r="C64" s="33" t="str">
        <f t="shared" si="0"/>
        <v/>
      </c>
      <c r="D64" s="9"/>
      <c r="E64" s="31"/>
      <c r="F64" s="11"/>
      <c r="G64" s="11"/>
      <c r="H64" s="9"/>
      <c r="I64" s="12" t="str">
        <f t="shared" si="1"/>
        <v/>
      </c>
      <c r="J64" s="12" t="str">
        <f t="shared" si="2"/>
        <v/>
      </c>
      <c r="K64" s="11"/>
      <c r="L64" s="12" t="str">
        <f t="shared" si="3"/>
        <v/>
      </c>
      <c r="M64" s="12" t="str">
        <f t="shared" si="4"/>
        <v/>
      </c>
      <c r="N64" s="8" t="str">
        <f t="shared" si="5"/>
        <v/>
      </c>
      <c r="O64" s="9"/>
      <c r="P64" s="31"/>
      <c r="Q64" s="8" t="str">
        <f t="shared" si="6"/>
        <v/>
      </c>
      <c r="R64" s="8" t="str">
        <f t="shared" si="7"/>
        <v/>
      </c>
      <c r="S64" s="8">
        <f>IF(OR(R64="",D64=""),0,IF(SUMPRODUCT(--(R$4:R64=R64))&gt;1,1,0))</f>
        <v>0</v>
      </c>
      <c r="T64" s="8">
        <f t="shared" si="8"/>
        <v>0</v>
      </c>
    </row>
    <row r="65" spans="1:20" x14ac:dyDescent="0.25">
      <c r="A65" s="8">
        <v>62</v>
      </c>
      <c r="B65" s="9"/>
      <c r="C65" s="33" t="str">
        <f t="shared" si="0"/>
        <v/>
      </c>
      <c r="D65" s="9"/>
      <c r="E65" s="31"/>
      <c r="F65" s="11"/>
      <c r="G65" s="11"/>
      <c r="H65" s="9"/>
      <c r="I65" s="12" t="str">
        <f t="shared" si="1"/>
        <v/>
      </c>
      <c r="J65" s="12" t="str">
        <f t="shared" si="2"/>
        <v/>
      </c>
      <c r="K65" s="11"/>
      <c r="L65" s="12" t="str">
        <f t="shared" si="3"/>
        <v/>
      </c>
      <c r="M65" s="12" t="str">
        <f t="shared" si="4"/>
        <v/>
      </c>
      <c r="N65" s="8" t="str">
        <f t="shared" si="5"/>
        <v/>
      </c>
      <c r="O65" s="9"/>
      <c r="P65" s="31"/>
      <c r="Q65" s="8" t="str">
        <f t="shared" si="6"/>
        <v/>
      </c>
      <c r="R65" s="8" t="str">
        <f t="shared" si="7"/>
        <v/>
      </c>
      <c r="S65" s="8">
        <f>IF(OR(R65="",D65=""),0,IF(SUMPRODUCT(--(R$4:R65=R65))&gt;1,1,0))</f>
        <v>0</v>
      </c>
      <c r="T65" s="8">
        <f t="shared" si="8"/>
        <v>0</v>
      </c>
    </row>
    <row r="66" spans="1:20" x14ac:dyDescent="0.25">
      <c r="A66" s="8">
        <v>63</v>
      </c>
      <c r="B66" s="9"/>
      <c r="C66" s="33" t="str">
        <f t="shared" si="0"/>
        <v/>
      </c>
      <c r="D66" s="9"/>
      <c r="E66" s="31"/>
      <c r="F66" s="11"/>
      <c r="G66" s="11"/>
      <c r="H66" s="9"/>
      <c r="I66" s="12" t="str">
        <f t="shared" si="1"/>
        <v/>
      </c>
      <c r="J66" s="12" t="str">
        <f t="shared" si="2"/>
        <v/>
      </c>
      <c r="K66" s="11"/>
      <c r="L66" s="12" t="str">
        <f t="shared" si="3"/>
        <v/>
      </c>
      <c r="M66" s="12" t="str">
        <f t="shared" si="4"/>
        <v/>
      </c>
      <c r="N66" s="8" t="str">
        <f t="shared" si="5"/>
        <v/>
      </c>
      <c r="O66" s="9"/>
      <c r="P66" s="31"/>
      <c r="Q66" s="8" t="str">
        <f t="shared" si="6"/>
        <v/>
      </c>
      <c r="R66" s="8" t="str">
        <f t="shared" si="7"/>
        <v/>
      </c>
      <c r="S66" s="8">
        <f>IF(OR(R66="",D66=""),0,IF(SUMPRODUCT(--(R$4:R66=R66))&gt;1,1,0))</f>
        <v>0</v>
      </c>
      <c r="T66" s="8">
        <f t="shared" si="8"/>
        <v>0</v>
      </c>
    </row>
    <row r="67" spans="1:20" x14ac:dyDescent="0.25">
      <c r="A67" s="8">
        <v>64</v>
      </c>
      <c r="B67" s="9"/>
      <c r="C67" s="33" t="str">
        <f t="shared" si="0"/>
        <v/>
      </c>
      <c r="D67" s="9"/>
      <c r="E67" s="31"/>
      <c r="F67" s="11"/>
      <c r="G67" s="11"/>
      <c r="H67" s="9"/>
      <c r="I67" s="12" t="str">
        <f t="shared" si="1"/>
        <v/>
      </c>
      <c r="J67" s="12" t="str">
        <f t="shared" si="2"/>
        <v/>
      </c>
      <c r="K67" s="11"/>
      <c r="L67" s="12" t="str">
        <f t="shared" si="3"/>
        <v/>
      </c>
      <c r="M67" s="12" t="str">
        <f t="shared" si="4"/>
        <v/>
      </c>
      <c r="N67" s="8" t="str">
        <f t="shared" si="5"/>
        <v/>
      </c>
      <c r="O67" s="9"/>
      <c r="P67" s="31"/>
      <c r="Q67" s="8" t="str">
        <f t="shared" si="6"/>
        <v/>
      </c>
      <c r="R67" s="8" t="str">
        <f t="shared" si="7"/>
        <v/>
      </c>
      <c r="S67" s="8">
        <f>IF(OR(R67="",D67=""),0,IF(SUMPRODUCT(--(R$4:R67=R67))&gt;1,1,0))</f>
        <v>0</v>
      </c>
      <c r="T67" s="8">
        <f t="shared" si="8"/>
        <v>0</v>
      </c>
    </row>
    <row r="68" spans="1:20" x14ac:dyDescent="0.25">
      <c r="A68" s="8">
        <v>65</v>
      </c>
      <c r="B68" s="9"/>
      <c r="C68" s="33" t="str">
        <f t="shared" ref="C68:C131" si="9">IF(B68="","",IFERROR(INDEX(SpaceNames,MATCH(B68,SpaceCodes,0))&amp;"",""))</f>
        <v/>
      </c>
      <c r="D68" s="9"/>
      <c r="E68" s="31"/>
      <c r="F68" s="11"/>
      <c r="G68" s="11"/>
      <c r="H68" s="9"/>
      <c r="I68" s="12" t="str">
        <f t="shared" ref="I68:I131" si="10">IF(R68="","",IF(S68=1,0,IF(AND(F68&lt;&gt;"",G68&lt;&gt;""),F68*G68*IF(H68="",1,H68),"")))</f>
        <v/>
      </c>
      <c r="J68" s="12" t="str">
        <f t="shared" ref="J68:J131" si="11">IF(R68="","",IF(T68=0,0,T68*SUMIFS(OP_Area,OP_Space,B68,OP_Wall,D68,OP_DedPl,"نعم")))</f>
        <v/>
      </c>
      <c r="K68" s="11"/>
      <c r="L68" s="12" t="str">
        <f t="shared" ref="L68:L131" si="12">IF(OR(R68="",I68=""),"",N(J68)+N(K68))</f>
        <v/>
      </c>
      <c r="M68" s="12" t="str">
        <f t="shared" ref="M68:M131" si="13">IF(OR(R68="",I68=""),"",I68-L68)</f>
        <v/>
      </c>
      <c r="N68" s="8" t="str">
        <f t="shared" ref="N68:N131" si="14">IF(E68="","",IFERROR(IF(INDEX(PlUnit,MATCH(E68,PlMat,0))="","م²",INDEX(PlUnit,MATCH(E68,PlMat,0))),"م²"))</f>
        <v/>
      </c>
      <c r="O68" s="9"/>
      <c r="P68" s="31"/>
      <c r="Q68" s="8" t="str">
        <f t="shared" ref="Q68:Q131" si="15">IF(R68="","",IF(S68=1,"تكرار — غير محتسب",IF(B68="","ناقص بيانات: كود الفراغ",IF(COUNTIF(SpaceCodes,B68)=0,"ناقص بيانات: الفراغ غير مسجل",IF(D68="","ناقص بيانات: كود الحائط",IF(E68="","ناقص بيانات: نوع البند",IF(I68="","ناقص قياس",IF(L68&gt;I68+0.000001,"خطأ خصم: الخصم أكبر من الإجمالي",IF(O68="نعم","يحتاج مراجعة","مكتمل")))))))))</f>
        <v/>
      </c>
      <c r="R68" s="8" t="str">
        <f t="shared" ref="R68:R131" si="16">IF(COUNTA(B68,D68:H68,K68)=0,"",B68&amp;"|"&amp;D68&amp;"|"&amp;E68)</f>
        <v/>
      </c>
      <c r="S68" s="8">
        <f>IF(OR(R68="",D68=""),0,IF(SUMPRODUCT(--(R$4:R68=R68))&gt;1,1,0))</f>
        <v>0</v>
      </c>
      <c r="T68" s="8">
        <f t="shared" ref="T68:T131" si="17">IF(OR(R68="",S68=1,B68="",D68=""),0,IF(H68="",1,H68))</f>
        <v>0</v>
      </c>
    </row>
    <row r="69" spans="1:20" x14ac:dyDescent="0.25">
      <c r="A69" s="8">
        <v>66</v>
      </c>
      <c r="B69" s="9"/>
      <c r="C69" s="33" t="str">
        <f t="shared" si="9"/>
        <v/>
      </c>
      <c r="D69" s="9"/>
      <c r="E69" s="31"/>
      <c r="F69" s="11"/>
      <c r="G69" s="11"/>
      <c r="H69" s="9"/>
      <c r="I69" s="12" t="str">
        <f t="shared" si="10"/>
        <v/>
      </c>
      <c r="J69" s="12" t="str">
        <f t="shared" si="11"/>
        <v/>
      </c>
      <c r="K69" s="11"/>
      <c r="L69" s="12" t="str">
        <f t="shared" si="12"/>
        <v/>
      </c>
      <c r="M69" s="12" t="str">
        <f t="shared" si="13"/>
        <v/>
      </c>
      <c r="N69" s="8" t="str">
        <f t="shared" si="14"/>
        <v/>
      </c>
      <c r="O69" s="9"/>
      <c r="P69" s="31"/>
      <c r="Q69" s="8" t="str">
        <f t="shared" si="15"/>
        <v/>
      </c>
      <c r="R69" s="8" t="str">
        <f t="shared" si="16"/>
        <v/>
      </c>
      <c r="S69" s="8">
        <f>IF(OR(R69="",D69=""),0,IF(SUMPRODUCT(--(R$4:R69=R69))&gt;1,1,0))</f>
        <v>0</v>
      </c>
      <c r="T69" s="8">
        <f t="shared" si="17"/>
        <v>0</v>
      </c>
    </row>
    <row r="70" spans="1:20" x14ac:dyDescent="0.25">
      <c r="A70" s="8">
        <v>67</v>
      </c>
      <c r="B70" s="9"/>
      <c r="C70" s="33" t="str">
        <f t="shared" si="9"/>
        <v/>
      </c>
      <c r="D70" s="9"/>
      <c r="E70" s="31"/>
      <c r="F70" s="11"/>
      <c r="G70" s="11"/>
      <c r="H70" s="9"/>
      <c r="I70" s="12" t="str">
        <f t="shared" si="10"/>
        <v/>
      </c>
      <c r="J70" s="12" t="str">
        <f t="shared" si="11"/>
        <v/>
      </c>
      <c r="K70" s="11"/>
      <c r="L70" s="12" t="str">
        <f t="shared" si="12"/>
        <v/>
      </c>
      <c r="M70" s="12" t="str">
        <f t="shared" si="13"/>
        <v/>
      </c>
      <c r="N70" s="8" t="str">
        <f t="shared" si="14"/>
        <v/>
      </c>
      <c r="O70" s="9"/>
      <c r="P70" s="31"/>
      <c r="Q70" s="8" t="str">
        <f t="shared" si="15"/>
        <v/>
      </c>
      <c r="R70" s="8" t="str">
        <f t="shared" si="16"/>
        <v/>
      </c>
      <c r="S70" s="8">
        <f>IF(OR(R70="",D70=""),0,IF(SUMPRODUCT(--(R$4:R70=R70))&gt;1,1,0))</f>
        <v>0</v>
      </c>
      <c r="T70" s="8">
        <f t="shared" si="17"/>
        <v>0</v>
      </c>
    </row>
    <row r="71" spans="1:20" x14ac:dyDescent="0.25">
      <c r="A71" s="8">
        <v>68</v>
      </c>
      <c r="B71" s="9"/>
      <c r="C71" s="33" t="str">
        <f t="shared" si="9"/>
        <v/>
      </c>
      <c r="D71" s="9"/>
      <c r="E71" s="31"/>
      <c r="F71" s="11"/>
      <c r="G71" s="11"/>
      <c r="H71" s="9"/>
      <c r="I71" s="12" t="str">
        <f t="shared" si="10"/>
        <v/>
      </c>
      <c r="J71" s="12" t="str">
        <f t="shared" si="11"/>
        <v/>
      </c>
      <c r="K71" s="11"/>
      <c r="L71" s="12" t="str">
        <f t="shared" si="12"/>
        <v/>
      </c>
      <c r="M71" s="12" t="str">
        <f t="shared" si="13"/>
        <v/>
      </c>
      <c r="N71" s="8" t="str">
        <f t="shared" si="14"/>
        <v/>
      </c>
      <c r="O71" s="9"/>
      <c r="P71" s="31"/>
      <c r="Q71" s="8" t="str">
        <f t="shared" si="15"/>
        <v/>
      </c>
      <c r="R71" s="8" t="str">
        <f t="shared" si="16"/>
        <v/>
      </c>
      <c r="S71" s="8">
        <f>IF(OR(R71="",D71=""),0,IF(SUMPRODUCT(--(R$4:R71=R71))&gt;1,1,0))</f>
        <v>0</v>
      </c>
      <c r="T71" s="8">
        <f t="shared" si="17"/>
        <v>0</v>
      </c>
    </row>
    <row r="72" spans="1:20" x14ac:dyDescent="0.25">
      <c r="A72" s="8">
        <v>69</v>
      </c>
      <c r="B72" s="9"/>
      <c r="C72" s="33" t="str">
        <f t="shared" si="9"/>
        <v/>
      </c>
      <c r="D72" s="9"/>
      <c r="E72" s="31"/>
      <c r="F72" s="11"/>
      <c r="G72" s="11"/>
      <c r="H72" s="9"/>
      <c r="I72" s="12" t="str">
        <f t="shared" si="10"/>
        <v/>
      </c>
      <c r="J72" s="12" t="str">
        <f t="shared" si="11"/>
        <v/>
      </c>
      <c r="K72" s="11"/>
      <c r="L72" s="12" t="str">
        <f t="shared" si="12"/>
        <v/>
      </c>
      <c r="M72" s="12" t="str">
        <f t="shared" si="13"/>
        <v/>
      </c>
      <c r="N72" s="8" t="str">
        <f t="shared" si="14"/>
        <v/>
      </c>
      <c r="O72" s="9"/>
      <c r="P72" s="31"/>
      <c r="Q72" s="8" t="str">
        <f t="shared" si="15"/>
        <v/>
      </c>
      <c r="R72" s="8" t="str">
        <f t="shared" si="16"/>
        <v/>
      </c>
      <c r="S72" s="8">
        <f>IF(OR(R72="",D72=""),0,IF(SUMPRODUCT(--(R$4:R72=R72))&gt;1,1,0))</f>
        <v>0</v>
      </c>
      <c r="T72" s="8">
        <f t="shared" si="17"/>
        <v>0</v>
      </c>
    </row>
    <row r="73" spans="1:20" x14ac:dyDescent="0.25">
      <c r="A73" s="8">
        <v>70</v>
      </c>
      <c r="B73" s="9"/>
      <c r="C73" s="33" t="str">
        <f t="shared" si="9"/>
        <v/>
      </c>
      <c r="D73" s="9"/>
      <c r="E73" s="31"/>
      <c r="F73" s="11"/>
      <c r="G73" s="11"/>
      <c r="H73" s="9"/>
      <c r="I73" s="12" t="str">
        <f t="shared" si="10"/>
        <v/>
      </c>
      <c r="J73" s="12" t="str">
        <f t="shared" si="11"/>
        <v/>
      </c>
      <c r="K73" s="11"/>
      <c r="L73" s="12" t="str">
        <f t="shared" si="12"/>
        <v/>
      </c>
      <c r="M73" s="12" t="str">
        <f t="shared" si="13"/>
        <v/>
      </c>
      <c r="N73" s="8" t="str">
        <f t="shared" si="14"/>
        <v/>
      </c>
      <c r="O73" s="9"/>
      <c r="P73" s="31"/>
      <c r="Q73" s="8" t="str">
        <f t="shared" si="15"/>
        <v/>
      </c>
      <c r="R73" s="8" t="str">
        <f t="shared" si="16"/>
        <v/>
      </c>
      <c r="S73" s="8">
        <f>IF(OR(R73="",D73=""),0,IF(SUMPRODUCT(--(R$4:R73=R73))&gt;1,1,0))</f>
        <v>0</v>
      </c>
      <c r="T73" s="8">
        <f t="shared" si="17"/>
        <v>0</v>
      </c>
    </row>
    <row r="74" spans="1:20" x14ac:dyDescent="0.25">
      <c r="A74" s="8">
        <v>71</v>
      </c>
      <c r="B74" s="9"/>
      <c r="C74" s="33" t="str">
        <f t="shared" si="9"/>
        <v/>
      </c>
      <c r="D74" s="9"/>
      <c r="E74" s="31"/>
      <c r="F74" s="11"/>
      <c r="G74" s="11"/>
      <c r="H74" s="9"/>
      <c r="I74" s="12" t="str">
        <f t="shared" si="10"/>
        <v/>
      </c>
      <c r="J74" s="12" t="str">
        <f t="shared" si="11"/>
        <v/>
      </c>
      <c r="K74" s="11"/>
      <c r="L74" s="12" t="str">
        <f t="shared" si="12"/>
        <v/>
      </c>
      <c r="M74" s="12" t="str">
        <f t="shared" si="13"/>
        <v/>
      </c>
      <c r="N74" s="8" t="str">
        <f t="shared" si="14"/>
        <v/>
      </c>
      <c r="O74" s="9"/>
      <c r="P74" s="31"/>
      <c r="Q74" s="8" t="str">
        <f t="shared" si="15"/>
        <v/>
      </c>
      <c r="R74" s="8" t="str">
        <f t="shared" si="16"/>
        <v/>
      </c>
      <c r="S74" s="8">
        <f>IF(OR(R74="",D74=""),0,IF(SUMPRODUCT(--(R$4:R74=R74))&gt;1,1,0))</f>
        <v>0</v>
      </c>
      <c r="T74" s="8">
        <f t="shared" si="17"/>
        <v>0</v>
      </c>
    </row>
    <row r="75" spans="1:20" x14ac:dyDescent="0.25">
      <c r="A75" s="8">
        <v>72</v>
      </c>
      <c r="B75" s="9"/>
      <c r="C75" s="33" t="str">
        <f t="shared" si="9"/>
        <v/>
      </c>
      <c r="D75" s="9"/>
      <c r="E75" s="31"/>
      <c r="F75" s="11"/>
      <c r="G75" s="11"/>
      <c r="H75" s="9"/>
      <c r="I75" s="12" t="str">
        <f t="shared" si="10"/>
        <v/>
      </c>
      <c r="J75" s="12" t="str">
        <f t="shared" si="11"/>
        <v/>
      </c>
      <c r="K75" s="11"/>
      <c r="L75" s="12" t="str">
        <f t="shared" si="12"/>
        <v/>
      </c>
      <c r="M75" s="12" t="str">
        <f t="shared" si="13"/>
        <v/>
      </c>
      <c r="N75" s="8" t="str">
        <f t="shared" si="14"/>
        <v/>
      </c>
      <c r="O75" s="9"/>
      <c r="P75" s="31"/>
      <c r="Q75" s="8" t="str">
        <f t="shared" si="15"/>
        <v/>
      </c>
      <c r="R75" s="8" t="str">
        <f t="shared" si="16"/>
        <v/>
      </c>
      <c r="S75" s="8">
        <f>IF(OR(R75="",D75=""),0,IF(SUMPRODUCT(--(R$4:R75=R75))&gt;1,1,0))</f>
        <v>0</v>
      </c>
      <c r="T75" s="8">
        <f t="shared" si="17"/>
        <v>0</v>
      </c>
    </row>
    <row r="76" spans="1:20" x14ac:dyDescent="0.25">
      <c r="A76" s="8">
        <v>73</v>
      </c>
      <c r="B76" s="9"/>
      <c r="C76" s="33" t="str">
        <f t="shared" si="9"/>
        <v/>
      </c>
      <c r="D76" s="9"/>
      <c r="E76" s="31"/>
      <c r="F76" s="11"/>
      <c r="G76" s="11"/>
      <c r="H76" s="9"/>
      <c r="I76" s="12" t="str">
        <f t="shared" si="10"/>
        <v/>
      </c>
      <c r="J76" s="12" t="str">
        <f t="shared" si="11"/>
        <v/>
      </c>
      <c r="K76" s="11"/>
      <c r="L76" s="12" t="str">
        <f t="shared" si="12"/>
        <v/>
      </c>
      <c r="M76" s="12" t="str">
        <f t="shared" si="13"/>
        <v/>
      </c>
      <c r="N76" s="8" t="str">
        <f t="shared" si="14"/>
        <v/>
      </c>
      <c r="O76" s="9"/>
      <c r="P76" s="31"/>
      <c r="Q76" s="8" t="str">
        <f t="shared" si="15"/>
        <v/>
      </c>
      <c r="R76" s="8" t="str">
        <f t="shared" si="16"/>
        <v/>
      </c>
      <c r="S76" s="8">
        <f>IF(OR(R76="",D76=""),0,IF(SUMPRODUCT(--(R$4:R76=R76))&gt;1,1,0))</f>
        <v>0</v>
      </c>
      <c r="T76" s="8">
        <f t="shared" si="17"/>
        <v>0</v>
      </c>
    </row>
    <row r="77" spans="1:20" x14ac:dyDescent="0.25">
      <c r="A77" s="8">
        <v>74</v>
      </c>
      <c r="B77" s="9"/>
      <c r="C77" s="33" t="str">
        <f t="shared" si="9"/>
        <v/>
      </c>
      <c r="D77" s="9"/>
      <c r="E77" s="31"/>
      <c r="F77" s="11"/>
      <c r="G77" s="11"/>
      <c r="H77" s="9"/>
      <c r="I77" s="12" t="str">
        <f t="shared" si="10"/>
        <v/>
      </c>
      <c r="J77" s="12" t="str">
        <f t="shared" si="11"/>
        <v/>
      </c>
      <c r="K77" s="11"/>
      <c r="L77" s="12" t="str">
        <f t="shared" si="12"/>
        <v/>
      </c>
      <c r="M77" s="12" t="str">
        <f t="shared" si="13"/>
        <v/>
      </c>
      <c r="N77" s="8" t="str">
        <f t="shared" si="14"/>
        <v/>
      </c>
      <c r="O77" s="9"/>
      <c r="P77" s="31"/>
      <c r="Q77" s="8" t="str">
        <f t="shared" si="15"/>
        <v/>
      </c>
      <c r="R77" s="8" t="str">
        <f t="shared" si="16"/>
        <v/>
      </c>
      <c r="S77" s="8">
        <f>IF(OR(R77="",D77=""),0,IF(SUMPRODUCT(--(R$4:R77=R77))&gt;1,1,0))</f>
        <v>0</v>
      </c>
      <c r="T77" s="8">
        <f t="shared" si="17"/>
        <v>0</v>
      </c>
    </row>
    <row r="78" spans="1:20" x14ac:dyDescent="0.25">
      <c r="A78" s="8">
        <v>75</v>
      </c>
      <c r="B78" s="9"/>
      <c r="C78" s="33" t="str">
        <f t="shared" si="9"/>
        <v/>
      </c>
      <c r="D78" s="9"/>
      <c r="E78" s="31"/>
      <c r="F78" s="11"/>
      <c r="G78" s="11"/>
      <c r="H78" s="9"/>
      <c r="I78" s="12" t="str">
        <f t="shared" si="10"/>
        <v/>
      </c>
      <c r="J78" s="12" t="str">
        <f t="shared" si="11"/>
        <v/>
      </c>
      <c r="K78" s="11"/>
      <c r="L78" s="12" t="str">
        <f t="shared" si="12"/>
        <v/>
      </c>
      <c r="M78" s="12" t="str">
        <f t="shared" si="13"/>
        <v/>
      </c>
      <c r="N78" s="8" t="str">
        <f t="shared" si="14"/>
        <v/>
      </c>
      <c r="O78" s="9"/>
      <c r="P78" s="31"/>
      <c r="Q78" s="8" t="str">
        <f t="shared" si="15"/>
        <v/>
      </c>
      <c r="R78" s="8" t="str">
        <f t="shared" si="16"/>
        <v/>
      </c>
      <c r="S78" s="8">
        <f>IF(OR(R78="",D78=""),0,IF(SUMPRODUCT(--(R$4:R78=R78))&gt;1,1,0))</f>
        <v>0</v>
      </c>
      <c r="T78" s="8">
        <f t="shared" si="17"/>
        <v>0</v>
      </c>
    </row>
    <row r="79" spans="1:20" x14ac:dyDescent="0.25">
      <c r="A79" s="8">
        <v>76</v>
      </c>
      <c r="B79" s="9"/>
      <c r="C79" s="33" t="str">
        <f t="shared" si="9"/>
        <v/>
      </c>
      <c r="D79" s="9"/>
      <c r="E79" s="31"/>
      <c r="F79" s="11"/>
      <c r="G79" s="11"/>
      <c r="H79" s="9"/>
      <c r="I79" s="12" t="str">
        <f t="shared" si="10"/>
        <v/>
      </c>
      <c r="J79" s="12" t="str">
        <f t="shared" si="11"/>
        <v/>
      </c>
      <c r="K79" s="11"/>
      <c r="L79" s="12" t="str">
        <f t="shared" si="12"/>
        <v/>
      </c>
      <c r="M79" s="12" t="str">
        <f t="shared" si="13"/>
        <v/>
      </c>
      <c r="N79" s="8" t="str">
        <f t="shared" si="14"/>
        <v/>
      </c>
      <c r="O79" s="9"/>
      <c r="P79" s="31"/>
      <c r="Q79" s="8" t="str">
        <f t="shared" si="15"/>
        <v/>
      </c>
      <c r="R79" s="8" t="str">
        <f t="shared" si="16"/>
        <v/>
      </c>
      <c r="S79" s="8">
        <f>IF(OR(R79="",D79=""),0,IF(SUMPRODUCT(--(R$4:R79=R79))&gt;1,1,0))</f>
        <v>0</v>
      </c>
      <c r="T79" s="8">
        <f t="shared" si="17"/>
        <v>0</v>
      </c>
    </row>
    <row r="80" spans="1:20" x14ac:dyDescent="0.25">
      <c r="A80" s="8">
        <v>77</v>
      </c>
      <c r="B80" s="9"/>
      <c r="C80" s="33" t="str">
        <f t="shared" si="9"/>
        <v/>
      </c>
      <c r="D80" s="9"/>
      <c r="E80" s="31"/>
      <c r="F80" s="11"/>
      <c r="G80" s="11"/>
      <c r="H80" s="9"/>
      <c r="I80" s="12" t="str">
        <f t="shared" si="10"/>
        <v/>
      </c>
      <c r="J80" s="12" t="str">
        <f t="shared" si="11"/>
        <v/>
      </c>
      <c r="K80" s="11"/>
      <c r="L80" s="12" t="str">
        <f t="shared" si="12"/>
        <v/>
      </c>
      <c r="M80" s="12" t="str">
        <f t="shared" si="13"/>
        <v/>
      </c>
      <c r="N80" s="8" t="str">
        <f t="shared" si="14"/>
        <v/>
      </c>
      <c r="O80" s="9"/>
      <c r="P80" s="31"/>
      <c r="Q80" s="8" t="str">
        <f t="shared" si="15"/>
        <v/>
      </c>
      <c r="R80" s="8" t="str">
        <f t="shared" si="16"/>
        <v/>
      </c>
      <c r="S80" s="8">
        <f>IF(OR(R80="",D80=""),0,IF(SUMPRODUCT(--(R$4:R80=R80))&gt;1,1,0))</f>
        <v>0</v>
      </c>
      <c r="T80" s="8">
        <f t="shared" si="17"/>
        <v>0</v>
      </c>
    </row>
    <row r="81" spans="1:20" x14ac:dyDescent="0.25">
      <c r="A81" s="8">
        <v>78</v>
      </c>
      <c r="B81" s="9"/>
      <c r="C81" s="33" t="str">
        <f t="shared" si="9"/>
        <v/>
      </c>
      <c r="D81" s="9"/>
      <c r="E81" s="31"/>
      <c r="F81" s="11"/>
      <c r="G81" s="11"/>
      <c r="H81" s="9"/>
      <c r="I81" s="12" t="str">
        <f t="shared" si="10"/>
        <v/>
      </c>
      <c r="J81" s="12" t="str">
        <f t="shared" si="11"/>
        <v/>
      </c>
      <c r="K81" s="11"/>
      <c r="L81" s="12" t="str">
        <f t="shared" si="12"/>
        <v/>
      </c>
      <c r="M81" s="12" t="str">
        <f t="shared" si="13"/>
        <v/>
      </c>
      <c r="N81" s="8" t="str">
        <f t="shared" si="14"/>
        <v/>
      </c>
      <c r="O81" s="9"/>
      <c r="P81" s="31"/>
      <c r="Q81" s="8" t="str">
        <f t="shared" si="15"/>
        <v/>
      </c>
      <c r="R81" s="8" t="str">
        <f t="shared" si="16"/>
        <v/>
      </c>
      <c r="S81" s="8">
        <f>IF(OR(R81="",D81=""),0,IF(SUMPRODUCT(--(R$4:R81=R81))&gt;1,1,0))</f>
        <v>0</v>
      </c>
      <c r="T81" s="8">
        <f t="shared" si="17"/>
        <v>0</v>
      </c>
    </row>
    <row r="82" spans="1:20" x14ac:dyDescent="0.25">
      <c r="A82" s="8">
        <v>79</v>
      </c>
      <c r="B82" s="9"/>
      <c r="C82" s="33" t="str">
        <f t="shared" si="9"/>
        <v/>
      </c>
      <c r="D82" s="9"/>
      <c r="E82" s="31"/>
      <c r="F82" s="11"/>
      <c r="G82" s="11"/>
      <c r="H82" s="9"/>
      <c r="I82" s="12" t="str">
        <f t="shared" si="10"/>
        <v/>
      </c>
      <c r="J82" s="12" t="str">
        <f t="shared" si="11"/>
        <v/>
      </c>
      <c r="K82" s="11"/>
      <c r="L82" s="12" t="str">
        <f t="shared" si="12"/>
        <v/>
      </c>
      <c r="M82" s="12" t="str">
        <f t="shared" si="13"/>
        <v/>
      </c>
      <c r="N82" s="8" t="str">
        <f t="shared" si="14"/>
        <v/>
      </c>
      <c r="O82" s="9"/>
      <c r="P82" s="31"/>
      <c r="Q82" s="8" t="str">
        <f t="shared" si="15"/>
        <v/>
      </c>
      <c r="R82" s="8" t="str">
        <f t="shared" si="16"/>
        <v/>
      </c>
      <c r="S82" s="8">
        <f>IF(OR(R82="",D82=""),0,IF(SUMPRODUCT(--(R$4:R82=R82))&gt;1,1,0))</f>
        <v>0</v>
      </c>
      <c r="T82" s="8">
        <f t="shared" si="17"/>
        <v>0</v>
      </c>
    </row>
    <row r="83" spans="1:20" x14ac:dyDescent="0.25">
      <c r="A83" s="8">
        <v>80</v>
      </c>
      <c r="B83" s="9"/>
      <c r="C83" s="33" t="str">
        <f t="shared" si="9"/>
        <v/>
      </c>
      <c r="D83" s="9"/>
      <c r="E83" s="31"/>
      <c r="F83" s="11"/>
      <c r="G83" s="11"/>
      <c r="H83" s="9"/>
      <c r="I83" s="12" t="str">
        <f t="shared" si="10"/>
        <v/>
      </c>
      <c r="J83" s="12" t="str">
        <f t="shared" si="11"/>
        <v/>
      </c>
      <c r="K83" s="11"/>
      <c r="L83" s="12" t="str">
        <f t="shared" si="12"/>
        <v/>
      </c>
      <c r="M83" s="12" t="str">
        <f t="shared" si="13"/>
        <v/>
      </c>
      <c r="N83" s="8" t="str">
        <f t="shared" si="14"/>
        <v/>
      </c>
      <c r="O83" s="9"/>
      <c r="P83" s="31"/>
      <c r="Q83" s="8" t="str">
        <f t="shared" si="15"/>
        <v/>
      </c>
      <c r="R83" s="8" t="str">
        <f t="shared" si="16"/>
        <v/>
      </c>
      <c r="S83" s="8">
        <f>IF(OR(R83="",D83=""),0,IF(SUMPRODUCT(--(R$4:R83=R83))&gt;1,1,0))</f>
        <v>0</v>
      </c>
      <c r="T83" s="8">
        <f t="shared" si="17"/>
        <v>0</v>
      </c>
    </row>
    <row r="84" spans="1:20" x14ac:dyDescent="0.25">
      <c r="A84" s="8">
        <v>81</v>
      </c>
      <c r="B84" s="9"/>
      <c r="C84" s="33" t="str">
        <f t="shared" si="9"/>
        <v/>
      </c>
      <c r="D84" s="9"/>
      <c r="E84" s="31"/>
      <c r="F84" s="11"/>
      <c r="G84" s="11"/>
      <c r="H84" s="9"/>
      <c r="I84" s="12" t="str">
        <f t="shared" si="10"/>
        <v/>
      </c>
      <c r="J84" s="12" t="str">
        <f t="shared" si="11"/>
        <v/>
      </c>
      <c r="K84" s="11"/>
      <c r="L84" s="12" t="str">
        <f t="shared" si="12"/>
        <v/>
      </c>
      <c r="M84" s="12" t="str">
        <f t="shared" si="13"/>
        <v/>
      </c>
      <c r="N84" s="8" t="str">
        <f t="shared" si="14"/>
        <v/>
      </c>
      <c r="O84" s="9"/>
      <c r="P84" s="31"/>
      <c r="Q84" s="8" t="str">
        <f t="shared" si="15"/>
        <v/>
      </c>
      <c r="R84" s="8" t="str">
        <f t="shared" si="16"/>
        <v/>
      </c>
      <c r="S84" s="8">
        <f>IF(OR(R84="",D84=""),0,IF(SUMPRODUCT(--(R$4:R84=R84))&gt;1,1,0))</f>
        <v>0</v>
      </c>
      <c r="T84" s="8">
        <f t="shared" si="17"/>
        <v>0</v>
      </c>
    </row>
    <row r="85" spans="1:20" x14ac:dyDescent="0.25">
      <c r="A85" s="8">
        <v>82</v>
      </c>
      <c r="B85" s="9"/>
      <c r="C85" s="33" t="str">
        <f t="shared" si="9"/>
        <v/>
      </c>
      <c r="D85" s="9"/>
      <c r="E85" s="31"/>
      <c r="F85" s="11"/>
      <c r="G85" s="11"/>
      <c r="H85" s="9"/>
      <c r="I85" s="12" t="str">
        <f t="shared" si="10"/>
        <v/>
      </c>
      <c r="J85" s="12" t="str">
        <f t="shared" si="11"/>
        <v/>
      </c>
      <c r="K85" s="11"/>
      <c r="L85" s="12" t="str">
        <f t="shared" si="12"/>
        <v/>
      </c>
      <c r="M85" s="12" t="str">
        <f t="shared" si="13"/>
        <v/>
      </c>
      <c r="N85" s="8" t="str">
        <f t="shared" si="14"/>
        <v/>
      </c>
      <c r="O85" s="9"/>
      <c r="P85" s="31"/>
      <c r="Q85" s="8" t="str">
        <f t="shared" si="15"/>
        <v/>
      </c>
      <c r="R85" s="8" t="str">
        <f t="shared" si="16"/>
        <v/>
      </c>
      <c r="S85" s="8">
        <f>IF(OR(R85="",D85=""),0,IF(SUMPRODUCT(--(R$4:R85=R85))&gt;1,1,0))</f>
        <v>0</v>
      </c>
      <c r="T85" s="8">
        <f t="shared" si="17"/>
        <v>0</v>
      </c>
    </row>
    <row r="86" spans="1:20" x14ac:dyDescent="0.25">
      <c r="A86" s="8">
        <v>83</v>
      </c>
      <c r="B86" s="9"/>
      <c r="C86" s="33" t="str">
        <f t="shared" si="9"/>
        <v/>
      </c>
      <c r="D86" s="9"/>
      <c r="E86" s="31"/>
      <c r="F86" s="11"/>
      <c r="G86" s="11"/>
      <c r="H86" s="9"/>
      <c r="I86" s="12" t="str">
        <f t="shared" si="10"/>
        <v/>
      </c>
      <c r="J86" s="12" t="str">
        <f t="shared" si="11"/>
        <v/>
      </c>
      <c r="K86" s="11"/>
      <c r="L86" s="12" t="str">
        <f t="shared" si="12"/>
        <v/>
      </c>
      <c r="M86" s="12" t="str">
        <f t="shared" si="13"/>
        <v/>
      </c>
      <c r="N86" s="8" t="str">
        <f t="shared" si="14"/>
        <v/>
      </c>
      <c r="O86" s="9"/>
      <c r="P86" s="31"/>
      <c r="Q86" s="8" t="str">
        <f t="shared" si="15"/>
        <v/>
      </c>
      <c r="R86" s="8" t="str">
        <f t="shared" si="16"/>
        <v/>
      </c>
      <c r="S86" s="8">
        <f>IF(OR(R86="",D86=""),0,IF(SUMPRODUCT(--(R$4:R86=R86))&gt;1,1,0))</f>
        <v>0</v>
      </c>
      <c r="T86" s="8">
        <f t="shared" si="17"/>
        <v>0</v>
      </c>
    </row>
    <row r="87" spans="1:20" x14ac:dyDescent="0.25">
      <c r="A87" s="8">
        <v>84</v>
      </c>
      <c r="B87" s="9"/>
      <c r="C87" s="33" t="str">
        <f t="shared" si="9"/>
        <v/>
      </c>
      <c r="D87" s="9"/>
      <c r="E87" s="31"/>
      <c r="F87" s="11"/>
      <c r="G87" s="11"/>
      <c r="H87" s="9"/>
      <c r="I87" s="12" t="str">
        <f t="shared" si="10"/>
        <v/>
      </c>
      <c r="J87" s="12" t="str">
        <f t="shared" si="11"/>
        <v/>
      </c>
      <c r="K87" s="11"/>
      <c r="L87" s="12" t="str">
        <f t="shared" si="12"/>
        <v/>
      </c>
      <c r="M87" s="12" t="str">
        <f t="shared" si="13"/>
        <v/>
      </c>
      <c r="N87" s="8" t="str">
        <f t="shared" si="14"/>
        <v/>
      </c>
      <c r="O87" s="9"/>
      <c r="P87" s="31"/>
      <c r="Q87" s="8" t="str">
        <f t="shared" si="15"/>
        <v/>
      </c>
      <c r="R87" s="8" t="str">
        <f t="shared" si="16"/>
        <v/>
      </c>
      <c r="S87" s="8">
        <f>IF(OR(R87="",D87=""),0,IF(SUMPRODUCT(--(R$4:R87=R87))&gt;1,1,0))</f>
        <v>0</v>
      </c>
      <c r="T87" s="8">
        <f t="shared" si="17"/>
        <v>0</v>
      </c>
    </row>
    <row r="88" spans="1:20" x14ac:dyDescent="0.25">
      <c r="A88" s="8">
        <v>85</v>
      </c>
      <c r="B88" s="9"/>
      <c r="C88" s="33" t="str">
        <f t="shared" si="9"/>
        <v/>
      </c>
      <c r="D88" s="9"/>
      <c r="E88" s="31"/>
      <c r="F88" s="11"/>
      <c r="G88" s="11"/>
      <c r="H88" s="9"/>
      <c r="I88" s="12" t="str">
        <f t="shared" si="10"/>
        <v/>
      </c>
      <c r="J88" s="12" t="str">
        <f t="shared" si="11"/>
        <v/>
      </c>
      <c r="K88" s="11"/>
      <c r="L88" s="12" t="str">
        <f t="shared" si="12"/>
        <v/>
      </c>
      <c r="M88" s="12" t="str">
        <f t="shared" si="13"/>
        <v/>
      </c>
      <c r="N88" s="8" t="str">
        <f t="shared" si="14"/>
        <v/>
      </c>
      <c r="O88" s="9"/>
      <c r="P88" s="31"/>
      <c r="Q88" s="8" t="str">
        <f t="shared" si="15"/>
        <v/>
      </c>
      <c r="R88" s="8" t="str">
        <f t="shared" si="16"/>
        <v/>
      </c>
      <c r="S88" s="8">
        <f>IF(OR(R88="",D88=""),0,IF(SUMPRODUCT(--(R$4:R88=R88))&gt;1,1,0))</f>
        <v>0</v>
      </c>
      <c r="T88" s="8">
        <f t="shared" si="17"/>
        <v>0</v>
      </c>
    </row>
    <row r="89" spans="1:20" x14ac:dyDescent="0.25">
      <c r="A89" s="8">
        <v>86</v>
      </c>
      <c r="B89" s="9"/>
      <c r="C89" s="33" t="str">
        <f t="shared" si="9"/>
        <v/>
      </c>
      <c r="D89" s="9"/>
      <c r="E89" s="31"/>
      <c r="F89" s="11"/>
      <c r="G89" s="11"/>
      <c r="H89" s="9"/>
      <c r="I89" s="12" t="str">
        <f t="shared" si="10"/>
        <v/>
      </c>
      <c r="J89" s="12" t="str">
        <f t="shared" si="11"/>
        <v/>
      </c>
      <c r="K89" s="11"/>
      <c r="L89" s="12" t="str">
        <f t="shared" si="12"/>
        <v/>
      </c>
      <c r="M89" s="12" t="str">
        <f t="shared" si="13"/>
        <v/>
      </c>
      <c r="N89" s="8" t="str">
        <f t="shared" si="14"/>
        <v/>
      </c>
      <c r="O89" s="9"/>
      <c r="P89" s="31"/>
      <c r="Q89" s="8" t="str">
        <f t="shared" si="15"/>
        <v/>
      </c>
      <c r="R89" s="8" t="str">
        <f t="shared" si="16"/>
        <v/>
      </c>
      <c r="S89" s="8">
        <f>IF(OR(R89="",D89=""),0,IF(SUMPRODUCT(--(R$4:R89=R89))&gt;1,1,0))</f>
        <v>0</v>
      </c>
      <c r="T89" s="8">
        <f t="shared" si="17"/>
        <v>0</v>
      </c>
    </row>
    <row r="90" spans="1:20" x14ac:dyDescent="0.25">
      <c r="A90" s="8">
        <v>87</v>
      </c>
      <c r="B90" s="9"/>
      <c r="C90" s="33" t="str">
        <f t="shared" si="9"/>
        <v/>
      </c>
      <c r="D90" s="9"/>
      <c r="E90" s="31"/>
      <c r="F90" s="11"/>
      <c r="G90" s="11"/>
      <c r="H90" s="9"/>
      <c r="I90" s="12" t="str">
        <f t="shared" si="10"/>
        <v/>
      </c>
      <c r="J90" s="12" t="str">
        <f t="shared" si="11"/>
        <v/>
      </c>
      <c r="K90" s="11"/>
      <c r="L90" s="12" t="str">
        <f t="shared" si="12"/>
        <v/>
      </c>
      <c r="M90" s="12" t="str">
        <f t="shared" si="13"/>
        <v/>
      </c>
      <c r="N90" s="8" t="str">
        <f t="shared" si="14"/>
        <v/>
      </c>
      <c r="O90" s="9"/>
      <c r="P90" s="31"/>
      <c r="Q90" s="8" t="str">
        <f t="shared" si="15"/>
        <v/>
      </c>
      <c r="R90" s="8" t="str">
        <f t="shared" si="16"/>
        <v/>
      </c>
      <c r="S90" s="8">
        <f>IF(OR(R90="",D90=""),0,IF(SUMPRODUCT(--(R$4:R90=R90))&gt;1,1,0))</f>
        <v>0</v>
      </c>
      <c r="T90" s="8">
        <f t="shared" si="17"/>
        <v>0</v>
      </c>
    </row>
    <row r="91" spans="1:20" x14ac:dyDescent="0.25">
      <c r="A91" s="8">
        <v>88</v>
      </c>
      <c r="B91" s="9"/>
      <c r="C91" s="33" t="str">
        <f t="shared" si="9"/>
        <v/>
      </c>
      <c r="D91" s="9"/>
      <c r="E91" s="31"/>
      <c r="F91" s="11"/>
      <c r="G91" s="11"/>
      <c r="H91" s="9"/>
      <c r="I91" s="12" t="str">
        <f t="shared" si="10"/>
        <v/>
      </c>
      <c r="J91" s="12" t="str">
        <f t="shared" si="11"/>
        <v/>
      </c>
      <c r="K91" s="11"/>
      <c r="L91" s="12" t="str">
        <f t="shared" si="12"/>
        <v/>
      </c>
      <c r="M91" s="12" t="str">
        <f t="shared" si="13"/>
        <v/>
      </c>
      <c r="N91" s="8" t="str">
        <f t="shared" si="14"/>
        <v/>
      </c>
      <c r="O91" s="9"/>
      <c r="P91" s="31"/>
      <c r="Q91" s="8" t="str">
        <f t="shared" si="15"/>
        <v/>
      </c>
      <c r="R91" s="8" t="str">
        <f t="shared" si="16"/>
        <v/>
      </c>
      <c r="S91" s="8">
        <f>IF(OR(R91="",D91=""),0,IF(SUMPRODUCT(--(R$4:R91=R91))&gt;1,1,0))</f>
        <v>0</v>
      </c>
      <c r="T91" s="8">
        <f t="shared" si="17"/>
        <v>0</v>
      </c>
    </row>
    <row r="92" spans="1:20" x14ac:dyDescent="0.25">
      <c r="A92" s="8">
        <v>89</v>
      </c>
      <c r="B92" s="9"/>
      <c r="C92" s="33" t="str">
        <f t="shared" si="9"/>
        <v/>
      </c>
      <c r="D92" s="9"/>
      <c r="E92" s="31"/>
      <c r="F92" s="11"/>
      <c r="G92" s="11"/>
      <c r="H92" s="9"/>
      <c r="I92" s="12" t="str">
        <f t="shared" si="10"/>
        <v/>
      </c>
      <c r="J92" s="12" t="str">
        <f t="shared" si="11"/>
        <v/>
      </c>
      <c r="K92" s="11"/>
      <c r="L92" s="12" t="str">
        <f t="shared" si="12"/>
        <v/>
      </c>
      <c r="M92" s="12" t="str">
        <f t="shared" si="13"/>
        <v/>
      </c>
      <c r="N92" s="8" t="str">
        <f t="shared" si="14"/>
        <v/>
      </c>
      <c r="O92" s="9"/>
      <c r="P92" s="31"/>
      <c r="Q92" s="8" t="str">
        <f t="shared" si="15"/>
        <v/>
      </c>
      <c r="R92" s="8" t="str">
        <f t="shared" si="16"/>
        <v/>
      </c>
      <c r="S92" s="8">
        <f>IF(OR(R92="",D92=""),0,IF(SUMPRODUCT(--(R$4:R92=R92))&gt;1,1,0))</f>
        <v>0</v>
      </c>
      <c r="T92" s="8">
        <f t="shared" si="17"/>
        <v>0</v>
      </c>
    </row>
    <row r="93" spans="1:20" x14ac:dyDescent="0.25">
      <c r="A93" s="8">
        <v>90</v>
      </c>
      <c r="B93" s="9"/>
      <c r="C93" s="33" t="str">
        <f t="shared" si="9"/>
        <v/>
      </c>
      <c r="D93" s="9"/>
      <c r="E93" s="31"/>
      <c r="F93" s="11"/>
      <c r="G93" s="11"/>
      <c r="H93" s="9"/>
      <c r="I93" s="12" t="str">
        <f t="shared" si="10"/>
        <v/>
      </c>
      <c r="J93" s="12" t="str">
        <f t="shared" si="11"/>
        <v/>
      </c>
      <c r="K93" s="11"/>
      <c r="L93" s="12" t="str">
        <f t="shared" si="12"/>
        <v/>
      </c>
      <c r="M93" s="12" t="str">
        <f t="shared" si="13"/>
        <v/>
      </c>
      <c r="N93" s="8" t="str">
        <f t="shared" si="14"/>
        <v/>
      </c>
      <c r="O93" s="9"/>
      <c r="P93" s="31"/>
      <c r="Q93" s="8" t="str">
        <f t="shared" si="15"/>
        <v/>
      </c>
      <c r="R93" s="8" t="str">
        <f t="shared" si="16"/>
        <v/>
      </c>
      <c r="S93" s="8">
        <f>IF(OR(R93="",D93=""),0,IF(SUMPRODUCT(--(R$4:R93=R93))&gt;1,1,0))</f>
        <v>0</v>
      </c>
      <c r="T93" s="8">
        <f t="shared" si="17"/>
        <v>0</v>
      </c>
    </row>
    <row r="94" spans="1:20" x14ac:dyDescent="0.25">
      <c r="A94" s="8">
        <v>91</v>
      </c>
      <c r="B94" s="9"/>
      <c r="C94" s="33" t="str">
        <f t="shared" si="9"/>
        <v/>
      </c>
      <c r="D94" s="9"/>
      <c r="E94" s="31"/>
      <c r="F94" s="11"/>
      <c r="G94" s="11"/>
      <c r="H94" s="9"/>
      <c r="I94" s="12" t="str">
        <f t="shared" si="10"/>
        <v/>
      </c>
      <c r="J94" s="12" t="str">
        <f t="shared" si="11"/>
        <v/>
      </c>
      <c r="K94" s="11"/>
      <c r="L94" s="12" t="str">
        <f t="shared" si="12"/>
        <v/>
      </c>
      <c r="M94" s="12" t="str">
        <f t="shared" si="13"/>
        <v/>
      </c>
      <c r="N94" s="8" t="str">
        <f t="shared" si="14"/>
        <v/>
      </c>
      <c r="O94" s="9"/>
      <c r="P94" s="31"/>
      <c r="Q94" s="8" t="str">
        <f t="shared" si="15"/>
        <v/>
      </c>
      <c r="R94" s="8" t="str">
        <f t="shared" si="16"/>
        <v/>
      </c>
      <c r="S94" s="8">
        <f>IF(OR(R94="",D94=""),0,IF(SUMPRODUCT(--(R$4:R94=R94))&gt;1,1,0))</f>
        <v>0</v>
      </c>
      <c r="T94" s="8">
        <f t="shared" si="17"/>
        <v>0</v>
      </c>
    </row>
    <row r="95" spans="1:20" x14ac:dyDescent="0.25">
      <c r="A95" s="8">
        <v>92</v>
      </c>
      <c r="B95" s="9"/>
      <c r="C95" s="33" t="str">
        <f t="shared" si="9"/>
        <v/>
      </c>
      <c r="D95" s="9"/>
      <c r="E95" s="31"/>
      <c r="F95" s="11"/>
      <c r="G95" s="11"/>
      <c r="H95" s="9"/>
      <c r="I95" s="12" t="str">
        <f t="shared" si="10"/>
        <v/>
      </c>
      <c r="J95" s="12" t="str">
        <f t="shared" si="11"/>
        <v/>
      </c>
      <c r="K95" s="11"/>
      <c r="L95" s="12" t="str">
        <f t="shared" si="12"/>
        <v/>
      </c>
      <c r="M95" s="12" t="str">
        <f t="shared" si="13"/>
        <v/>
      </c>
      <c r="N95" s="8" t="str">
        <f t="shared" si="14"/>
        <v/>
      </c>
      <c r="O95" s="9"/>
      <c r="P95" s="31"/>
      <c r="Q95" s="8" t="str">
        <f t="shared" si="15"/>
        <v/>
      </c>
      <c r="R95" s="8" t="str">
        <f t="shared" si="16"/>
        <v/>
      </c>
      <c r="S95" s="8">
        <f>IF(OR(R95="",D95=""),0,IF(SUMPRODUCT(--(R$4:R95=R95))&gt;1,1,0))</f>
        <v>0</v>
      </c>
      <c r="T95" s="8">
        <f t="shared" si="17"/>
        <v>0</v>
      </c>
    </row>
    <row r="96" spans="1:20" x14ac:dyDescent="0.25">
      <c r="A96" s="8">
        <v>93</v>
      </c>
      <c r="B96" s="9"/>
      <c r="C96" s="33" t="str">
        <f t="shared" si="9"/>
        <v/>
      </c>
      <c r="D96" s="9"/>
      <c r="E96" s="31"/>
      <c r="F96" s="11"/>
      <c r="G96" s="11"/>
      <c r="H96" s="9"/>
      <c r="I96" s="12" t="str">
        <f t="shared" si="10"/>
        <v/>
      </c>
      <c r="J96" s="12" t="str">
        <f t="shared" si="11"/>
        <v/>
      </c>
      <c r="K96" s="11"/>
      <c r="L96" s="12" t="str">
        <f t="shared" si="12"/>
        <v/>
      </c>
      <c r="M96" s="12" t="str">
        <f t="shared" si="13"/>
        <v/>
      </c>
      <c r="N96" s="8" t="str">
        <f t="shared" si="14"/>
        <v/>
      </c>
      <c r="O96" s="9"/>
      <c r="P96" s="31"/>
      <c r="Q96" s="8" t="str">
        <f t="shared" si="15"/>
        <v/>
      </c>
      <c r="R96" s="8" t="str">
        <f t="shared" si="16"/>
        <v/>
      </c>
      <c r="S96" s="8">
        <f>IF(OR(R96="",D96=""),0,IF(SUMPRODUCT(--(R$4:R96=R96))&gt;1,1,0))</f>
        <v>0</v>
      </c>
      <c r="T96" s="8">
        <f t="shared" si="17"/>
        <v>0</v>
      </c>
    </row>
    <row r="97" spans="1:20" x14ac:dyDescent="0.25">
      <c r="A97" s="8">
        <v>94</v>
      </c>
      <c r="B97" s="9"/>
      <c r="C97" s="33" t="str">
        <f t="shared" si="9"/>
        <v/>
      </c>
      <c r="D97" s="9"/>
      <c r="E97" s="31"/>
      <c r="F97" s="11"/>
      <c r="G97" s="11"/>
      <c r="H97" s="9"/>
      <c r="I97" s="12" t="str">
        <f t="shared" si="10"/>
        <v/>
      </c>
      <c r="J97" s="12" t="str">
        <f t="shared" si="11"/>
        <v/>
      </c>
      <c r="K97" s="11"/>
      <c r="L97" s="12" t="str">
        <f t="shared" si="12"/>
        <v/>
      </c>
      <c r="M97" s="12" t="str">
        <f t="shared" si="13"/>
        <v/>
      </c>
      <c r="N97" s="8" t="str">
        <f t="shared" si="14"/>
        <v/>
      </c>
      <c r="O97" s="9"/>
      <c r="P97" s="31"/>
      <c r="Q97" s="8" t="str">
        <f t="shared" si="15"/>
        <v/>
      </c>
      <c r="R97" s="8" t="str">
        <f t="shared" si="16"/>
        <v/>
      </c>
      <c r="S97" s="8">
        <f>IF(OR(R97="",D97=""),0,IF(SUMPRODUCT(--(R$4:R97=R97))&gt;1,1,0))</f>
        <v>0</v>
      </c>
      <c r="T97" s="8">
        <f t="shared" si="17"/>
        <v>0</v>
      </c>
    </row>
    <row r="98" spans="1:20" x14ac:dyDescent="0.25">
      <c r="A98" s="8">
        <v>95</v>
      </c>
      <c r="B98" s="9"/>
      <c r="C98" s="33" t="str">
        <f t="shared" si="9"/>
        <v/>
      </c>
      <c r="D98" s="9"/>
      <c r="E98" s="31"/>
      <c r="F98" s="11"/>
      <c r="G98" s="11"/>
      <c r="H98" s="9"/>
      <c r="I98" s="12" t="str">
        <f t="shared" si="10"/>
        <v/>
      </c>
      <c r="J98" s="12" t="str">
        <f t="shared" si="11"/>
        <v/>
      </c>
      <c r="K98" s="11"/>
      <c r="L98" s="12" t="str">
        <f t="shared" si="12"/>
        <v/>
      </c>
      <c r="M98" s="12" t="str">
        <f t="shared" si="13"/>
        <v/>
      </c>
      <c r="N98" s="8" t="str">
        <f t="shared" si="14"/>
        <v/>
      </c>
      <c r="O98" s="9"/>
      <c r="P98" s="31"/>
      <c r="Q98" s="8" t="str">
        <f t="shared" si="15"/>
        <v/>
      </c>
      <c r="R98" s="8" t="str">
        <f t="shared" si="16"/>
        <v/>
      </c>
      <c r="S98" s="8">
        <f>IF(OR(R98="",D98=""),0,IF(SUMPRODUCT(--(R$4:R98=R98))&gt;1,1,0))</f>
        <v>0</v>
      </c>
      <c r="T98" s="8">
        <f t="shared" si="17"/>
        <v>0</v>
      </c>
    </row>
    <row r="99" spans="1:20" x14ac:dyDescent="0.25">
      <c r="A99" s="8">
        <v>96</v>
      </c>
      <c r="B99" s="9"/>
      <c r="C99" s="33" t="str">
        <f t="shared" si="9"/>
        <v/>
      </c>
      <c r="D99" s="9"/>
      <c r="E99" s="31"/>
      <c r="F99" s="11"/>
      <c r="G99" s="11"/>
      <c r="H99" s="9"/>
      <c r="I99" s="12" t="str">
        <f t="shared" si="10"/>
        <v/>
      </c>
      <c r="J99" s="12" t="str">
        <f t="shared" si="11"/>
        <v/>
      </c>
      <c r="K99" s="11"/>
      <c r="L99" s="12" t="str">
        <f t="shared" si="12"/>
        <v/>
      </c>
      <c r="M99" s="12" t="str">
        <f t="shared" si="13"/>
        <v/>
      </c>
      <c r="N99" s="8" t="str">
        <f t="shared" si="14"/>
        <v/>
      </c>
      <c r="O99" s="9"/>
      <c r="P99" s="31"/>
      <c r="Q99" s="8" t="str">
        <f t="shared" si="15"/>
        <v/>
      </c>
      <c r="R99" s="8" t="str">
        <f t="shared" si="16"/>
        <v/>
      </c>
      <c r="S99" s="8">
        <f>IF(OR(R99="",D99=""),0,IF(SUMPRODUCT(--(R$4:R99=R99))&gt;1,1,0))</f>
        <v>0</v>
      </c>
      <c r="T99" s="8">
        <f t="shared" si="17"/>
        <v>0</v>
      </c>
    </row>
    <row r="100" spans="1:20" x14ac:dyDescent="0.25">
      <c r="A100" s="8">
        <v>97</v>
      </c>
      <c r="B100" s="9"/>
      <c r="C100" s="33" t="str">
        <f t="shared" si="9"/>
        <v/>
      </c>
      <c r="D100" s="9"/>
      <c r="E100" s="31"/>
      <c r="F100" s="11"/>
      <c r="G100" s="11"/>
      <c r="H100" s="9"/>
      <c r="I100" s="12" t="str">
        <f t="shared" si="10"/>
        <v/>
      </c>
      <c r="J100" s="12" t="str">
        <f t="shared" si="11"/>
        <v/>
      </c>
      <c r="K100" s="11"/>
      <c r="L100" s="12" t="str">
        <f t="shared" si="12"/>
        <v/>
      </c>
      <c r="M100" s="12" t="str">
        <f t="shared" si="13"/>
        <v/>
      </c>
      <c r="N100" s="8" t="str">
        <f t="shared" si="14"/>
        <v/>
      </c>
      <c r="O100" s="9"/>
      <c r="P100" s="31"/>
      <c r="Q100" s="8" t="str">
        <f t="shared" si="15"/>
        <v/>
      </c>
      <c r="R100" s="8" t="str">
        <f t="shared" si="16"/>
        <v/>
      </c>
      <c r="S100" s="8">
        <f>IF(OR(R100="",D100=""),0,IF(SUMPRODUCT(--(R$4:R100=R100))&gt;1,1,0))</f>
        <v>0</v>
      </c>
      <c r="T100" s="8">
        <f t="shared" si="17"/>
        <v>0</v>
      </c>
    </row>
    <row r="101" spans="1:20" x14ac:dyDescent="0.25">
      <c r="A101" s="8">
        <v>98</v>
      </c>
      <c r="B101" s="9"/>
      <c r="C101" s="33" t="str">
        <f t="shared" si="9"/>
        <v/>
      </c>
      <c r="D101" s="9"/>
      <c r="E101" s="31"/>
      <c r="F101" s="11"/>
      <c r="G101" s="11"/>
      <c r="H101" s="9"/>
      <c r="I101" s="12" t="str">
        <f t="shared" si="10"/>
        <v/>
      </c>
      <c r="J101" s="12" t="str">
        <f t="shared" si="11"/>
        <v/>
      </c>
      <c r="K101" s="11"/>
      <c r="L101" s="12" t="str">
        <f t="shared" si="12"/>
        <v/>
      </c>
      <c r="M101" s="12" t="str">
        <f t="shared" si="13"/>
        <v/>
      </c>
      <c r="N101" s="8" t="str">
        <f t="shared" si="14"/>
        <v/>
      </c>
      <c r="O101" s="9"/>
      <c r="P101" s="31"/>
      <c r="Q101" s="8" t="str">
        <f t="shared" si="15"/>
        <v/>
      </c>
      <c r="R101" s="8" t="str">
        <f t="shared" si="16"/>
        <v/>
      </c>
      <c r="S101" s="8">
        <f>IF(OR(R101="",D101=""),0,IF(SUMPRODUCT(--(R$4:R101=R101))&gt;1,1,0))</f>
        <v>0</v>
      </c>
      <c r="T101" s="8">
        <f t="shared" si="17"/>
        <v>0</v>
      </c>
    </row>
    <row r="102" spans="1:20" x14ac:dyDescent="0.25">
      <c r="A102" s="8">
        <v>99</v>
      </c>
      <c r="B102" s="9"/>
      <c r="C102" s="33" t="str">
        <f t="shared" si="9"/>
        <v/>
      </c>
      <c r="D102" s="9"/>
      <c r="E102" s="31"/>
      <c r="F102" s="11"/>
      <c r="G102" s="11"/>
      <c r="H102" s="9"/>
      <c r="I102" s="12" t="str">
        <f t="shared" si="10"/>
        <v/>
      </c>
      <c r="J102" s="12" t="str">
        <f t="shared" si="11"/>
        <v/>
      </c>
      <c r="K102" s="11"/>
      <c r="L102" s="12" t="str">
        <f t="shared" si="12"/>
        <v/>
      </c>
      <c r="M102" s="12" t="str">
        <f t="shared" si="13"/>
        <v/>
      </c>
      <c r="N102" s="8" t="str">
        <f t="shared" si="14"/>
        <v/>
      </c>
      <c r="O102" s="9"/>
      <c r="P102" s="31"/>
      <c r="Q102" s="8" t="str">
        <f t="shared" si="15"/>
        <v/>
      </c>
      <c r="R102" s="8" t="str">
        <f t="shared" si="16"/>
        <v/>
      </c>
      <c r="S102" s="8">
        <f>IF(OR(R102="",D102=""),0,IF(SUMPRODUCT(--(R$4:R102=R102))&gt;1,1,0))</f>
        <v>0</v>
      </c>
      <c r="T102" s="8">
        <f t="shared" si="17"/>
        <v>0</v>
      </c>
    </row>
    <row r="103" spans="1:20" x14ac:dyDescent="0.25">
      <c r="A103" s="8">
        <v>100</v>
      </c>
      <c r="B103" s="9"/>
      <c r="C103" s="33" t="str">
        <f t="shared" si="9"/>
        <v/>
      </c>
      <c r="D103" s="9"/>
      <c r="E103" s="31"/>
      <c r="F103" s="11"/>
      <c r="G103" s="11"/>
      <c r="H103" s="9"/>
      <c r="I103" s="12" t="str">
        <f t="shared" si="10"/>
        <v/>
      </c>
      <c r="J103" s="12" t="str">
        <f t="shared" si="11"/>
        <v/>
      </c>
      <c r="K103" s="11"/>
      <c r="L103" s="12" t="str">
        <f t="shared" si="12"/>
        <v/>
      </c>
      <c r="M103" s="12" t="str">
        <f t="shared" si="13"/>
        <v/>
      </c>
      <c r="N103" s="8" t="str">
        <f t="shared" si="14"/>
        <v/>
      </c>
      <c r="O103" s="9"/>
      <c r="P103" s="31"/>
      <c r="Q103" s="8" t="str">
        <f t="shared" si="15"/>
        <v/>
      </c>
      <c r="R103" s="8" t="str">
        <f t="shared" si="16"/>
        <v/>
      </c>
      <c r="S103" s="8">
        <f>IF(OR(R103="",D103=""),0,IF(SUMPRODUCT(--(R$4:R103=R103))&gt;1,1,0))</f>
        <v>0</v>
      </c>
      <c r="T103" s="8">
        <f t="shared" si="17"/>
        <v>0</v>
      </c>
    </row>
    <row r="104" spans="1:20" x14ac:dyDescent="0.25">
      <c r="A104" s="8">
        <v>101</v>
      </c>
      <c r="B104" s="9"/>
      <c r="C104" s="33" t="str">
        <f t="shared" si="9"/>
        <v/>
      </c>
      <c r="D104" s="9"/>
      <c r="E104" s="31"/>
      <c r="F104" s="11"/>
      <c r="G104" s="11"/>
      <c r="H104" s="9"/>
      <c r="I104" s="12" t="str">
        <f t="shared" si="10"/>
        <v/>
      </c>
      <c r="J104" s="12" t="str">
        <f t="shared" si="11"/>
        <v/>
      </c>
      <c r="K104" s="11"/>
      <c r="L104" s="12" t="str">
        <f t="shared" si="12"/>
        <v/>
      </c>
      <c r="M104" s="12" t="str">
        <f t="shared" si="13"/>
        <v/>
      </c>
      <c r="N104" s="8" t="str">
        <f t="shared" si="14"/>
        <v/>
      </c>
      <c r="O104" s="9"/>
      <c r="P104" s="31"/>
      <c r="Q104" s="8" t="str">
        <f t="shared" si="15"/>
        <v/>
      </c>
      <c r="R104" s="8" t="str">
        <f t="shared" si="16"/>
        <v/>
      </c>
      <c r="S104" s="8">
        <f>IF(OR(R104="",D104=""),0,IF(SUMPRODUCT(--(R$4:R104=R104))&gt;1,1,0))</f>
        <v>0</v>
      </c>
      <c r="T104" s="8">
        <f t="shared" si="17"/>
        <v>0</v>
      </c>
    </row>
    <row r="105" spans="1:20" x14ac:dyDescent="0.25">
      <c r="A105" s="8">
        <v>102</v>
      </c>
      <c r="B105" s="9"/>
      <c r="C105" s="33" t="str">
        <f t="shared" si="9"/>
        <v/>
      </c>
      <c r="D105" s="9"/>
      <c r="E105" s="31"/>
      <c r="F105" s="11"/>
      <c r="G105" s="11"/>
      <c r="H105" s="9"/>
      <c r="I105" s="12" t="str">
        <f t="shared" si="10"/>
        <v/>
      </c>
      <c r="J105" s="12" t="str">
        <f t="shared" si="11"/>
        <v/>
      </c>
      <c r="K105" s="11"/>
      <c r="L105" s="12" t="str">
        <f t="shared" si="12"/>
        <v/>
      </c>
      <c r="M105" s="12" t="str">
        <f t="shared" si="13"/>
        <v/>
      </c>
      <c r="N105" s="8" t="str">
        <f t="shared" si="14"/>
        <v/>
      </c>
      <c r="O105" s="9"/>
      <c r="P105" s="31"/>
      <c r="Q105" s="8" t="str">
        <f t="shared" si="15"/>
        <v/>
      </c>
      <c r="R105" s="8" t="str">
        <f t="shared" si="16"/>
        <v/>
      </c>
      <c r="S105" s="8">
        <f>IF(OR(R105="",D105=""),0,IF(SUMPRODUCT(--(R$4:R105=R105))&gt;1,1,0))</f>
        <v>0</v>
      </c>
      <c r="T105" s="8">
        <f t="shared" si="17"/>
        <v>0</v>
      </c>
    </row>
    <row r="106" spans="1:20" x14ac:dyDescent="0.25">
      <c r="A106" s="8">
        <v>103</v>
      </c>
      <c r="B106" s="9"/>
      <c r="C106" s="33" t="str">
        <f t="shared" si="9"/>
        <v/>
      </c>
      <c r="D106" s="9"/>
      <c r="E106" s="31"/>
      <c r="F106" s="11"/>
      <c r="G106" s="11"/>
      <c r="H106" s="9"/>
      <c r="I106" s="12" t="str">
        <f t="shared" si="10"/>
        <v/>
      </c>
      <c r="J106" s="12" t="str">
        <f t="shared" si="11"/>
        <v/>
      </c>
      <c r="K106" s="11"/>
      <c r="L106" s="12" t="str">
        <f t="shared" si="12"/>
        <v/>
      </c>
      <c r="M106" s="12" t="str">
        <f t="shared" si="13"/>
        <v/>
      </c>
      <c r="N106" s="8" t="str">
        <f t="shared" si="14"/>
        <v/>
      </c>
      <c r="O106" s="9"/>
      <c r="P106" s="31"/>
      <c r="Q106" s="8" t="str">
        <f t="shared" si="15"/>
        <v/>
      </c>
      <c r="R106" s="8" t="str">
        <f t="shared" si="16"/>
        <v/>
      </c>
      <c r="S106" s="8">
        <f>IF(OR(R106="",D106=""),0,IF(SUMPRODUCT(--(R$4:R106=R106))&gt;1,1,0))</f>
        <v>0</v>
      </c>
      <c r="T106" s="8">
        <f t="shared" si="17"/>
        <v>0</v>
      </c>
    </row>
    <row r="107" spans="1:20" x14ac:dyDescent="0.25">
      <c r="A107" s="8">
        <v>104</v>
      </c>
      <c r="B107" s="9"/>
      <c r="C107" s="33" t="str">
        <f t="shared" si="9"/>
        <v/>
      </c>
      <c r="D107" s="9"/>
      <c r="E107" s="31"/>
      <c r="F107" s="11"/>
      <c r="G107" s="11"/>
      <c r="H107" s="9"/>
      <c r="I107" s="12" t="str">
        <f t="shared" si="10"/>
        <v/>
      </c>
      <c r="J107" s="12" t="str">
        <f t="shared" si="11"/>
        <v/>
      </c>
      <c r="K107" s="11"/>
      <c r="L107" s="12" t="str">
        <f t="shared" si="12"/>
        <v/>
      </c>
      <c r="M107" s="12" t="str">
        <f t="shared" si="13"/>
        <v/>
      </c>
      <c r="N107" s="8" t="str">
        <f t="shared" si="14"/>
        <v/>
      </c>
      <c r="O107" s="9"/>
      <c r="P107" s="31"/>
      <c r="Q107" s="8" t="str">
        <f t="shared" si="15"/>
        <v/>
      </c>
      <c r="R107" s="8" t="str">
        <f t="shared" si="16"/>
        <v/>
      </c>
      <c r="S107" s="8">
        <f>IF(OR(R107="",D107=""),0,IF(SUMPRODUCT(--(R$4:R107=R107))&gt;1,1,0))</f>
        <v>0</v>
      </c>
      <c r="T107" s="8">
        <f t="shared" si="17"/>
        <v>0</v>
      </c>
    </row>
    <row r="108" spans="1:20" x14ac:dyDescent="0.25">
      <c r="A108" s="8">
        <v>105</v>
      </c>
      <c r="B108" s="9"/>
      <c r="C108" s="33" t="str">
        <f t="shared" si="9"/>
        <v/>
      </c>
      <c r="D108" s="9"/>
      <c r="E108" s="31"/>
      <c r="F108" s="11"/>
      <c r="G108" s="11"/>
      <c r="H108" s="9"/>
      <c r="I108" s="12" t="str">
        <f t="shared" si="10"/>
        <v/>
      </c>
      <c r="J108" s="12" t="str">
        <f t="shared" si="11"/>
        <v/>
      </c>
      <c r="K108" s="11"/>
      <c r="L108" s="12" t="str">
        <f t="shared" si="12"/>
        <v/>
      </c>
      <c r="M108" s="12" t="str">
        <f t="shared" si="13"/>
        <v/>
      </c>
      <c r="N108" s="8" t="str">
        <f t="shared" si="14"/>
        <v/>
      </c>
      <c r="O108" s="9"/>
      <c r="P108" s="31"/>
      <c r="Q108" s="8" t="str">
        <f t="shared" si="15"/>
        <v/>
      </c>
      <c r="R108" s="8" t="str">
        <f t="shared" si="16"/>
        <v/>
      </c>
      <c r="S108" s="8">
        <f>IF(OR(R108="",D108=""),0,IF(SUMPRODUCT(--(R$4:R108=R108))&gt;1,1,0))</f>
        <v>0</v>
      </c>
      <c r="T108" s="8">
        <f t="shared" si="17"/>
        <v>0</v>
      </c>
    </row>
    <row r="109" spans="1:20" x14ac:dyDescent="0.25">
      <c r="A109" s="8">
        <v>106</v>
      </c>
      <c r="B109" s="9"/>
      <c r="C109" s="33" t="str">
        <f t="shared" si="9"/>
        <v/>
      </c>
      <c r="D109" s="9"/>
      <c r="E109" s="31"/>
      <c r="F109" s="11"/>
      <c r="G109" s="11"/>
      <c r="H109" s="9"/>
      <c r="I109" s="12" t="str">
        <f t="shared" si="10"/>
        <v/>
      </c>
      <c r="J109" s="12" t="str">
        <f t="shared" si="11"/>
        <v/>
      </c>
      <c r="K109" s="11"/>
      <c r="L109" s="12" t="str">
        <f t="shared" si="12"/>
        <v/>
      </c>
      <c r="M109" s="12" t="str">
        <f t="shared" si="13"/>
        <v/>
      </c>
      <c r="N109" s="8" t="str">
        <f t="shared" si="14"/>
        <v/>
      </c>
      <c r="O109" s="9"/>
      <c r="P109" s="31"/>
      <c r="Q109" s="8" t="str">
        <f t="shared" si="15"/>
        <v/>
      </c>
      <c r="R109" s="8" t="str">
        <f t="shared" si="16"/>
        <v/>
      </c>
      <c r="S109" s="8">
        <f>IF(OR(R109="",D109=""),0,IF(SUMPRODUCT(--(R$4:R109=R109))&gt;1,1,0))</f>
        <v>0</v>
      </c>
      <c r="T109" s="8">
        <f t="shared" si="17"/>
        <v>0</v>
      </c>
    </row>
    <row r="110" spans="1:20" x14ac:dyDescent="0.25">
      <c r="A110" s="8">
        <v>107</v>
      </c>
      <c r="B110" s="9"/>
      <c r="C110" s="33" t="str">
        <f t="shared" si="9"/>
        <v/>
      </c>
      <c r="D110" s="9"/>
      <c r="E110" s="31"/>
      <c r="F110" s="11"/>
      <c r="G110" s="11"/>
      <c r="H110" s="9"/>
      <c r="I110" s="12" t="str">
        <f t="shared" si="10"/>
        <v/>
      </c>
      <c r="J110" s="12" t="str">
        <f t="shared" si="11"/>
        <v/>
      </c>
      <c r="K110" s="11"/>
      <c r="L110" s="12" t="str">
        <f t="shared" si="12"/>
        <v/>
      </c>
      <c r="M110" s="12" t="str">
        <f t="shared" si="13"/>
        <v/>
      </c>
      <c r="N110" s="8" t="str">
        <f t="shared" si="14"/>
        <v/>
      </c>
      <c r="O110" s="9"/>
      <c r="P110" s="31"/>
      <c r="Q110" s="8" t="str">
        <f t="shared" si="15"/>
        <v/>
      </c>
      <c r="R110" s="8" t="str">
        <f t="shared" si="16"/>
        <v/>
      </c>
      <c r="S110" s="8">
        <f>IF(OR(R110="",D110=""),0,IF(SUMPRODUCT(--(R$4:R110=R110))&gt;1,1,0))</f>
        <v>0</v>
      </c>
      <c r="T110" s="8">
        <f t="shared" si="17"/>
        <v>0</v>
      </c>
    </row>
    <row r="111" spans="1:20" x14ac:dyDescent="0.25">
      <c r="A111" s="8">
        <v>108</v>
      </c>
      <c r="B111" s="9"/>
      <c r="C111" s="33" t="str">
        <f t="shared" si="9"/>
        <v/>
      </c>
      <c r="D111" s="9"/>
      <c r="E111" s="31"/>
      <c r="F111" s="11"/>
      <c r="G111" s="11"/>
      <c r="H111" s="9"/>
      <c r="I111" s="12" t="str">
        <f t="shared" si="10"/>
        <v/>
      </c>
      <c r="J111" s="12" t="str">
        <f t="shared" si="11"/>
        <v/>
      </c>
      <c r="K111" s="11"/>
      <c r="L111" s="12" t="str">
        <f t="shared" si="12"/>
        <v/>
      </c>
      <c r="M111" s="12" t="str">
        <f t="shared" si="13"/>
        <v/>
      </c>
      <c r="N111" s="8" t="str">
        <f t="shared" si="14"/>
        <v/>
      </c>
      <c r="O111" s="9"/>
      <c r="P111" s="31"/>
      <c r="Q111" s="8" t="str">
        <f t="shared" si="15"/>
        <v/>
      </c>
      <c r="R111" s="8" t="str">
        <f t="shared" si="16"/>
        <v/>
      </c>
      <c r="S111" s="8">
        <f>IF(OR(R111="",D111=""),0,IF(SUMPRODUCT(--(R$4:R111=R111))&gt;1,1,0))</f>
        <v>0</v>
      </c>
      <c r="T111" s="8">
        <f t="shared" si="17"/>
        <v>0</v>
      </c>
    </row>
    <row r="112" spans="1:20" x14ac:dyDescent="0.25">
      <c r="A112" s="8">
        <v>109</v>
      </c>
      <c r="B112" s="9"/>
      <c r="C112" s="33" t="str">
        <f t="shared" si="9"/>
        <v/>
      </c>
      <c r="D112" s="9"/>
      <c r="E112" s="31"/>
      <c r="F112" s="11"/>
      <c r="G112" s="11"/>
      <c r="H112" s="9"/>
      <c r="I112" s="12" t="str">
        <f t="shared" si="10"/>
        <v/>
      </c>
      <c r="J112" s="12" t="str">
        <f t="shared" si="11"/>
        <v/>
      </c>
      <c r="K112" s="11"/>
      <c r="L112" s="12" t="str">
        <f t="shared" si="12"/>
        <v/>
      </c>
      <c r="M112" s="12" t="str">
        <f t="shared" si="13"/>
        <v/>
      </c>
      <c r="N112" s="8" t="str">
        <f t="shared" si="14"/>
        <v/>
      </c>
      <c r="O112" s="9"/>
      <c r="P112" s="31"/>
      <c r="Q112" s="8" t="str">
        <f t="shared" si="15"/>
        <v/>
      </c>
      <c r="R112" s="8" t="str">
        <f t="shared" si="16"/>
        <v/>
      </c>
      <c r="S112" s="8">
        <f>IF(OR(R112="",D112=""),0,IF(SUMPRODUCT(--(R$4:R112=R112))&gt;1,1,0))</f>
        <v>0</v>
      </c>
      <c r="T112" s="8">
        <f t="shared" si="17"/>
        <v>0</v>
      </c>
    </row>
    <row r="113" spans="1:20" x14ac:dyDescent="0.25">
      <c r="A113" s="8">
        <v>110</v>
      </c>
      <c r="B113" s="9"/>
      <c r="C113" s="33" t="str">
        <f t="shared" si="9"/>
        <v/>
      </c>
      <c r="D113" s="9"/>
      <c r="E113" s="31"/>
      <c r="F113" s="11"/>
      <c r="G113" s="11"/>
      <c r="H113" s="9"/>
      <c r="I113" s="12" t="str">
        <f t="shared" si="10"/>
        <v/>
      </c>
      <c r="J113" s="12" t="str">
        <f t="shared" si="11"/>
        <v/>
      </c>
      <c r="K113" s="11"/>
      <c r="L113" s="12" t="str">
        <f t="shared" si="12"/>
        <v/>
      </c>
      <c r="M113" s="12" t="str">
        <f t="shared" si="13"/>
        <v/>
      </c>
      <c r="N113" s="8" t="str">
        <f t="shared" si="14"/>
        <v/>
      </c>
      <c r="O113" s="9"/>
      <c r="P113" s="31"/>
      <c r="Q113" s="8" t="str">
        <f t="shared" si="15"/>
        <v/>
      </c>
      <c r="R113" s="8" t="str">
        <f t="shared" si="16"/>
        <v/>
      </c>
      <c r="S113" s="8">
        <f>IF(OR(R113="",D113=""),0,IF(SUMPRODUCT(--(R$4:R113=R113))&gt;1,1,0))</f>
        <v>0</v>
      </c>
      <c r="T113" s="8">
        <f t="shared" si="17"/>
        <v>0</v>
      </c>
    </row>
    <row r="114" spans="1:20" x14ac:dyDescent="0.25">
      <c r="A114" s="8">
        <v>111</v>
      </c>
      <c r="B114" s="9"/>
      <c r="C114" s="33" t="str">
        <f t="shared" si="9"/>
        <v/>
      </c>
      <c r="D114" s="9"/>
      <c r="E114" s="31"/>
      <c r="F114" s="11"/>
      <c r="G114" s="11"/>
      <c r="H114" s="9"/>
      <c r="I114" s="12" t="str">
        <f t="shared" si="10"/>
        <v/>
      </c>
      <c r="J114" s="12" t="str">
        <f t="shared" si="11"/>
        <v/>
      </c>
      <c r="K114" s="11"/>
      <c r="L114" s="12" t="str">
        <f t="shared" si="12"/>
        <v/>
      </c>
      <c r="M114" s="12" t="str">
        <f t="shared" si="13"/>
        <v/>
      </c>
      <c r="N114" s="8" t="str">
        <f t="shared" si="14"/>
        <v/>
      </c>
      <c r="O114" s="9"/>
      <c r="P114" s="31"/>
      <c r="Q114" s="8" t="str">
        <f t="shared" si="15"/>
        <v/>
      </c>
      <c r="R114" s="8" t="str">
        <f t="shared" si="16"/>
        <v/>
      </c>
      <c r="S114" s="8">
        <f>IF(OR(R114="",D114=""),0,IF(SUMPRODUCT(--(R$4:R114=R114))&gt;1,1,0))</f>
        <v>0</v>
      </c>
      <c r="T114" s="8">
        <f t="shared" si="17"/>
        <v>0</v>
      </c>
    </row>
    <row r="115" spans="1:20" x14ac:dyDescent="0.25">
      <c r="A115" s="8">
        <v>112</v>
      </c>
      <c r="B115" s="9"/>
      <c r="C115" s="33" t="str">
        <f t="shared" si="9"/>
        <v/>
      </c>
      <c r="D115" s="9"/>
      <c r="E115" s="31"/>
      <c r="F115" s="11"/>
      <c r="G115" s="11"/>
      <c r="H115" s="9"/>
      <c r="I115" s="12" t="str">
        <f t="shared" si="10"/>
        <v/>
      </c>
      <c r="J115" s="12" t="str">
        <f t="shared" si="11"/>
        <v/>
      </c>
      <c r="K115" s="11"/>
      <c r="L115" s="12" t="str">
        <f t="shared" si="12"/>
        <v/>
      </c>
      <c r="M115" s="12" t="str">
        <f t="shared" si="13"/>
        <v/>
      </c>
      <c r="N115" s="8" t="str">
        <f t="shared" si="14"/>
        <v/>
      </c>
      <c r="O115" s="9"/>
      <c r="P115" s="31"/>
      <c r="Q115" s="8" t="str">
        <f t="shared" si="15"/>
        <v/>
      </c>
      <c r="R115" s="8" t="str">
        <f t="shared" si="16"/>
        <v/>
      </c>
      <c r="S115" s="8">
        <f>IF(OR(R115="",D115=""),0,IF(SUMPRODUCT(--(R$4:R115=R115))&gt;1,1,0))</f>
        <v>0</v>
      </c>
      <c r="T115" s="8">
        <f t="shared" si="17"/>
        <v>0</v>
      </c>
    </row>
    <row r="116" spans="1:20" x14ac:dyDescent="0.25">
      <c r="A116" s="8">
        <v>113</v>
      </c>
      <c r="B116" s="9"/>
      <c r="C116" s="33" t="str">
        <f t="shared" si="9"/>
        <v/>
      </c>
      <c r="D116" s="9"/>
      <c r="E116" s="31"/>
      <c r="F116" s="11"/>
      <c r="G116" s="11"/>
      <c r="H116" s="9"/>
      <c r="I116" s="12" t="str">
        <f t="shared" si="10"/>
        <v/>
      </c>
      <c r="J116" s="12" t="str">
        <f t="shared" si="11"/>
        <v/>
      </c>
      <c r="K116" s="11"/>
      <c r="L116" s="12" t="str">
        <f t="shared" si="12"/>
        <v/>
      </c>
      <c r="M116" s="12" t="str">
        <f t="shared" si="13"/>
        <v/>
      </c>
      <c r="N116" s="8" t="str">
        <f t="shared" si="14"/>
        <v/>
      </c>
      <c r="O116" s="9"/>
      <c r="P116" s="31"/>
      <c r="Q116" s="8" t="str">
        <f t="shared" si="15"/>
        <v/>
      </c>
      <c r="R116" s="8" t="str">
        <f t="shared" si="16"/>
        <v/>
      </c>
      <c r="S116" s="8">
        <f>IF(OR(R116="",D116=""),0,IF(SUMPRODUCT(--(R$4:R116=R116))&gt;1,1,0))</f>
        <v>0</v>
      </c>
      <c r="T116" s="8">
        <f t="shared" si="17"/>
        <v>0</v>
      </c>
    </row>
    <row r="117" spans="1:20" x14ac:dyDescent="0.25">
      <c r="A117" s="8">
        <v>114</v>
      </c>
      <c r="B117" s="9"/>
      <c r="C117" s="33" t="str">
        <f t="shared" si="9"/>
        <v/>
      </c>
      <c r="D117" s="9"/>
      <c r="E117" s="31"/>
      <c r="F117" s="11"/>
      <c r="G117" s="11"/>
      <c r="H117" s="9"/>
      <c r="I117" s="12" t="str">
        <f t="shared" si="10"/>
        <v/>
      </c>
      <c r="J117" s="12" t="str">
        <f t="shared" si="11"/>
        <v/>
      </c>
      <c r="K117" s="11"/>
      <c r="L117" s="12" t="str">
        <f t="shared" si="12"/>
        <v/>
      </c>
      <c r="M117" s="12" t="str">
        <f t="shared" si="13"/>
        <v/>
      </c>
      <c r="N117" s="8" t="str">
        <f t="shared" si="14"/>
        <v/>
      </c>
      <c r="O117" s="9"/>
      <c r="P117" s="31"/>
      <c r="Q117" s="8" t="str">
        <f t="shared" si="15"/>
        <v/>
      </c>
      <c r="R117" s="8" t="str">
        <f t="shared" si="16"/>
        <v/>
      </c>
      <c r="S117" s="8">
        <f>IF(OR(R117="",D117=""),0,IF(SUMPRODUCT(--(R$4:R117=R117))&gt;1,1,0))</f>
        <v>0</v>
      </c>
      <c r="T117" s="8">
        <f t="shared" si="17"/>
        <v>0</v>
      </c>
    </row>
    <row r="118" spans="1:20" x14ac:dyDescent="0.25">
      <c r="A118" s="8">
        <v>115</v>
      </c>
      <c r="B118" s="9"/>
      <c r="C118" s="33" t="str">
        <f t="shared" si="9"/>
        <v/>
      </c>
      <c r="D118" s="9"/>
      <c r="E118" s="31"/>
      <c r="F118" s="11"/>
      <c r="G118" s="11"/>
      <c r="H118" s="9"/>
      <c r="I118" s="12" t="str">
        <f t="shared" si="10"/>
        <v/>
      </c>
      <c r="J118" s="12" t="str">
        <f t="shared" si="11"/>
        <v/>
      </c>
      <c r="K118" s="11"/>
      <c r="L118" s="12" t="str">
        <f t="shared" si="12"/>
        <v/>
      </c>
      <c r="M118" s="12" t="str">
        <f t="shared" si="13"/>
        <v/>
      </c>
      <c r="N118" s="8" t="str">
        <f t="shared" si="14"/>
        <v/>
      </c>
      <c r="O118" s="9"/>
      <c r="P118" s="31"/>
      <c r="Q118" s="8" t="str">
        <f t="shared" si="15"/>
        <v/>
      </c>
      <c r="R118" s="8" t="str">
        <f t="shared" si="16"/>
        <v/>
      </c>
      <c r="S118" s="8">
        <f>IF(OR(R118="",D118=""),0,IF(SUMPRODUCT(--(R$4:R118=R118))&gt;1,1,0))</f>
        <v>0</v>
      </c>
      <c r="T118" s="8">
        <f t="shared" si="17"/>
        <v>0</v>
      </c>
    </row>
    <row r="119" spans="1:20" x14ac:dyDescent="0.25">
      <c r="A119" s="8">
        <v>116</v>
      </c>
      <c r="B119" s="9"/>
      <c r="C119" s="33" t="str">
        <f t="shared" si="9"/>
        <v/>
      </c>
      <c r="D119" s="9"/>
      <c r="E119" s="31"/>
      <c r="F119" s="11"/>
      <c r="G119" s="11"/>
      <c r="H119" s="9"/>
      <c r="I119" s="12" t="str">
        <f t="shared" si="10"/>
        <v/>
      </c>
      <c r="J119" s="12" t="str">
        <f t="shared" si="11"/>
        <v/>
      </c>
      <c r="K119" s="11"/>
      <c r="L119" s="12" t="str">
        <f t="shared" si="12"/>
        <v/>
      </c>
      <c r="M119" s="12" t="str">
        <f t="shared" si="13"/>
        <v/>
      </c>
      <c r="N119" s="8" t="str">
        <f t="shared" si="14"/>
        <v/>
      </c>
      <c r="O119" s="9"/>
      <c r="P119" s="31"/>
      <c r="Q119" s="8" t="str">
        <f t="shared" si="15"/>
        <v/>
      </c>
      <c r="R119" s="8" t="str">
        <f t="shared" si="16"/>
        <v/>
      </c>
      <c r="S119" s="8">
        <f>IF(OR(R119="",D119=""),0,IF(SUMPRODUCT(--(R$4:R119=R119))&gt;1,1,0))</f>
        <v>0</v>
      </c>
      <c r="T119" s="8">
        <f t="shared" si="17"/>
        <v>0</v>
      </c>
    </row>
    <row r="120" spans="1:20" x14ac:dyDescent="0.25">
      <c r="A120" s="8">
        <v>117</v>
      </c>
      <c r="B120" s="9"/>
      <c r="C120" s="33" t="str">
        <f t="shared" si="9"/>
        <v/>
      </c>
      <c r="D120" s="9"/>
      <c r="E120" s="31"/>
      <c r="F120" s="11"/>
      <c r="G120" s="11"/>
      <c r="H120" s="9"/>
      <c r="I120" s="12" t="str">
        <f t="shared" si="10"/>
        <v/>
      </c>
      <c r="J120" s="12" t="str">
        <f t="shared" si="11"/>
        <v/>
      </c>
      <c r="K120" s="11"/>
      <c r="L120" s="12" t="str">
        <f t="shared" si="12"/>
        <v/>
      </c>
      <c r="M120" s="12" t="str">
        <f t="shared" si="13"/>
        <v/>
      </c>
      <c r="N120" s="8" t="str">
        <f t="shared" si="14"/>
        <v/>
      </c>
      <c r="O120" s="9"/>
      <c r="P120" s="31"/>
      <c r="Q120" s="8" t="str">
        <f t="shared" si="15"/>
        <v/>
      </c>
      <c r="R120" s="8" t="str">
        <f t="shared" si="16"/>
        <v/>
      </c>
      <c r="S120" s="8">
        <f>IF(OR(R120="",D120=""),0,IF(SUMPRODUCT(--(R$4:R120=R120))&gt;1,1,0))</f>
        <v>0</v>
      </c>
      <c r="T120" s="8">
        <f t="shared" si="17"/>
        <v>0</v>
      </c>
    </row>
    <row r="121" spans="1:20" x14ac:dyDescent="0.25">
      <c r="A121" s="8">
        <v>118</v>
      </c>
      <c r="B121" s="9"/>
      <c r="C121" s="33" t="str">
        <f t="shared" si="9"/>
        <v/>
      </c>
      <c r="D121" s="9"/>
      <c r="E121" s="31"/>
      <c r="F121" s="11"/>
      <c r="G121" s="11"/>
      <c r="H121" s="9"/>
      <c r="I121" s="12" t="str">
        <f t="shared" si="10"/>
        <v/>
      </c>
      <c r="J121" s="12" t="str">
        <f t="shared" si="11"/>
        <v/>
      </c>
      <c r="K121" s="11"/>
      <c r="L121" s="12" t="str">
        <f t="shared" si="12"/>
        <v/>
      </c>
      <c r="M121" s="12" t="str">
        <f t="shared" si="13"/>
        <v/>
      </c>
      <c r="N121" s="8" t="str">
        <f t="shared" si="14"/>
        <v/>
      </c>
      <c r="O121" s="9"/>
      <c r="P121" s="31"/>
      <c r="Q121" s="8" t="str">
        <f t="shared" si="15"/>
        <v/>
      </c>
      <c r="R121" s="8" t="str">
        <f t="shared" si="16"/>
        <v/>
      </c>
      <c r="S121" s="8">
        <f>IF(OR(R121="",D121=""),0,IF(SUMPRODUCT(--(R$4:R121=R121))&gt;1,1,0))</f>
        <v>0</v>
      </c>
      <c r="T121" s="8">
        <f t="shared" si="17"/>
        <v>0</v>
      </c>
    </row>
    <row r="122" spans="1:20" x14ac:dyDescent="0.25">
      <c r="A122" s="8">
        <v>119</v>
      </c>
      <c r="B122" s="9"/>
      <c r="C122" s="33" t="str">
        <f t="shared" si="9"/>
        <v/>
      </c>
      <c r="D122" s="9"/>
      <c r="E122" s="31"/>
      <c r="F122" s="11"/>
      <c r="G122" s="11"/>
      <c r="H122" s="9"/>
      <c r="I122" s="12" t="str">
        <f t="shared" si="10"/>
        <v/>
      </c>
      <c r="J122" s="12" t="str">
        <f t="shared" si="11"/>
        <v/>
      </c>
      <c r="K122" s="11"/>
      <c r="L122" s="12" t="str">
        <f t="shared" si="12"/>
        <v/>
      </c>
      <c r="M122" s="12" t="str">
        <f t="shared" si="13"/>
        <v/>
      </c>
      <c r="N122" s="8" t="str">
        <f t="shared" si="14"/>
        <v/>
      </c>
      <c r="O122" s="9"/>
      <c r="P122" s="31"/>
      <c r="Q122" s="8" t="str">
        <f t="shared" si="15"/>
        <v/>
      </c>
      <c r="R122" s="8" t="str">
        <f t="shared" si="16"/>
        <v/>
      </c>
      <c r="S122" s="8">
        <f>IF(OR(R122="",D122=""),0,IF(SUMPRODUCT(--(R$4:R122=R122))&gt;1,1,0))</f>
        <v>0</v>
      </c>
      <c r="T122" s="8">
        <f t="shared" si="17"/>
        <v>0</v>
      </c>
    </row>
    <row r="123" spans="1:20" x14ac:dyDescent="0.25">
      <c r="A123" s="8">
        <v>120</v>
      </c>
      <c r="B123" s="9"/>
      <c r="C123" s="33" t="str">
        <f t="shared" si="9"/>
        <v/>
      </c>
      <c r="D123" s="9"/>
      <c r="E123" s="31"/>
      <c r="F123" s="11"/>
      <c r="G123" s="11"/>
      <c r="H123" s="9"/>
      <c r="I123" s="12" t="str">
        <f t="shared" si="10"/>
        <v/>
      </c>
      <c r="J123" s="12" t="str">
        <f t="shared" si="11"/>
        <v/>
      </c>
      <c r="K123" s="11"/>
      <c r="L123" s="12" t="str">
        <f t="shared" si="12"/>
        <v/>
      </c>
      <c r="M123" s="12" t="str">
        <f t="shared" si="13"/>
        <v/>
      </c>
      <c r="N123" s="8" t="str">
        <f t="shared" si="14"/>
        <v/>
      </c>
      <c r="O123" s="9"/>
      <c r="P123" s="31"/>
      <c r="Q123" s="8" t="str">
        <f t="shared" si="15"/>
        <v/>
      </c>
      <c r="R123" s="8" t="str">
        <f t="shared" si="16"/>
        <v/>
      </c>
      <c r="S123" s="8">
        <f>IF(OR(R123="",D123=""),0,IF(SUMPRODUCT(--(R$4:R123=R123))&gt;1,1,0))</f>
        <v>0</v>
      </c>
      <c r="T123" s="8">
        <f t="shared" si="17"/>
        <v>0</v>
      </c>
    </row>
    <row r="124" spans="1:20" x14ac:dyDescent="0.25">
      <c r="A124" s="8">
        <v>121</v>
      </c>
      <c r="B124" s="9"/>
      <c r="C124" s="33" t="str">
        <f t="shared" si="9"/>
        <v/>
      </c>
      <c r="D124" s="9"/>
      <c r="E124" s="31"/>
      <c r="F124" s="11"/>
      <c r="G124" s="11"/>
      <c r="H124" s="9"/>
      <c r="I124" s="12" t="str">
        <f t="shared" si="10"/>
        <v/>
      </c>
      <c r="J124" s="12" t="str">
        <f t="shared" si="11"/>
        <v/>
      </c>
      <c r="K124" s="11"/>
      <c r="L124" s="12" t="str">
        <f t="shared" si="12"/>
        <v/>
      </c>
      <c r="M124" s="12" t="str">
        <f t="shared" si="13"/>
        <v/>
      </c>
      <c r="N124" s="8" t="str">
        <f t="shared" si="14"/>
        <v/>
      </c>
      <c r="O124" s="9"/>
      <c r="P124" s="31"/>
      <c r="Q124" s="8" t="str">
        <f t="shared" si="15"/>
        <v/>
      </c>
      <c r="R124" s="8" t="str">
        <f t="shared" si="16"/>
        <v/>
      </c>
      <c r="S124" s="8">
        <f>IF(OR(R124="",D124=""),0,IF(SUMPRODUCT(--(R$4:R124=R124))&gt;1,1,0))</f>
        <v>0</v>
      </c>
      <c r="T124" s="8">
        <f t="shared" si="17"/>
        <v>0</v>
      </c>
    </row>
    <row r="125" spans="1:20" x14ac:dyDescent="0.25">
      <c r="A125" s="8">
        <v>122</v>
      </c>
      <c r="B125" s="9"/>
      <c r="C125" s="33" t="str">
        <f t="shared" si="9"/>
        <v/>
      </c>
      <c r="D125" s="9"/>
      <c r="E125" s="31"/>
      <c r="F125" s="11"/>
      <c r="G125" s="11"/>
      <c r="H125" s="9"/>
      <c r="I125" s="12" t="str">
        <f t="shared" si="10"/>
        <v/>
      </c>
      <c r="J125" s="12" t="str">
        <f t="shared" si="11"/>
        <v/>
      </c>
      <c r="K125" s="11"/>
      <c r="L125" s="12" t="str">
        <f t="shared" si="12"/>
        <v/>
      </c>
      <c r="M125" s="12" t="str">
        <f t="shared" si="13"/>
        <v/>
      </c>
      <c r="N125" s="8" t="str">
        <f t="shared" si="14"/>
        <v/>
      </c>
      <c r="O125" s="9"/>
      <c r="P125" s="31"/>
      <c r="Q125" s="8" t="str">
        <f t="shared" si="15"/>
        <v/>
      </c>
      <c r="R125" s="8" t="str">
        <f t="shared" si="16"/>
        <v/>
      </c>
      <c r="S125" s="8">
        <f>IF(OR(R125="",D125=""),0,IF(SUMPRODUCT(--(R$4:R125=R125))&gt;1,1,0))</f>
        <v>0</v>
      </c>
      <c r="T125" s="8">
        <f t="shared" si="17"/>
        <v>0</v>
      </c>
    </row>
    <row r="126" spans="1:20" x14ac:dyDescent="0.25">
      <c r="A126" s="8">
        <v>123</v>
      </c>
      <c r="B126" s="9"/>
      <c r="C126" s="33" t="str">
        <f t="shared" si="9"/>
        <v/>
      </c>
      <c r="D126" s="9"/>
      <c r="E126" s="31"/>
      <c r="F126" s="11"/>
      <c r="G126" s="11"/>
      <c r="H126" s="9"/>
      <c r="I126" s="12" t="str">
        <f t="shared" si="10"/>
        <v/>
      </c>
      <c r="J126" s="12" t="str">
        <f t="shared" si="11"/>
        <v/>
      </c>
      <c r="K126" s="11"/>
      <c r="L126" s="12" t="str">
        <f t="shared" si="12"/>
        <v/>
      </c>
      <c r="M126" s="12" t="str">
        <f t="shared" si="13"/>
        <v/>
      </c>
      <c r="N126" s="8" t="str">
        <f t="shared" si="14"/>
        <v/>
      </c>
      <c r="O126" s="9"/>
      <c r="P126" s="31"/>
      <c r="Q126" s="8" t="str">
        <f t="shared" si="15"/>
        <v/>
      </c>
      <c r="R126" s="8" t="str">
        <f t="shared" si="16"/>
        <v/>
      </c>
      <c r="S126" s="8">
        <f>IF(OR(R126="",D126=""),0,IF(SUMPRODUCT(--(R$4:R126=R126))&gt;1,1,0))</f>
        <v>0</v>
      </c>
      <c r="T126" s="8">
        <f t="shared" si="17"/>
        <v>0</v>
      </c>
    </row>
    <row r="127" spans="1:20" x14ac:dyDescent="0.25">
      <c r="A127" s="8">
        <v>124</v>
      </c>
      <c r="B127" s="9"/>
      <c r="C127" s="33" t="str">
        <f t="shared" si="9"/>
        <v/>
      </c>
      <c r="D127" s="9"/>
      <c r="E127" s="31"/>
      <c r="F127" s="11"/>
      <c r="G127" s="11"/>
      <c r="H127" s="9"/>
      <c r="I127" s="12" t="str">
        <f t="shared" si="10"/>
        <v/>
      </c>
      <c r="J127" s="12" t="str">
        <f t="shared" si="11"/>
        <v/>
      </c>
      <c r="K127" s="11"/>
      <c r="L127" s="12" t="str">
        <f t="shared" si="12"/>
        <v/>
      </c>
      <c r="M127" s="12" t="str">
        <f t="shared" si="13"/>
        <v/>
      </c>
      <c r="N127" s="8" t="str">
        <f t="shared" si="14"/>
        <v/>
      </c>
      <c r="O127" s="9"/>
      <c r="P127" s="31"/>
      <c r="Q127" s="8" t="str">
        <f t="shared" si="15"/>
        <v/>
      </c>
      <c r="R127" s="8" t="str">
        <f t="shared" si="16"/>
        <v/>
      </c>
      <c r="S127" s="8">
        <f>IF(OR(R127="",D127=""),0,IF(SUMPRODUCT(--(R$4:R127=R127))&gt;1,1,0))</f>
        <v>0</v>
      </c>
      <c r="T127" s="8">
        <f t="shared" si="17"/>
        <v>0</v>
      </c>
    </row>
    <row r="128" spans="1:20" x14ac:dyDescent="0.25">
      <c r="A128" s="8">
        <v>125</v>
      </c>
      <c r="B128" s="9"/>
      <c r="C128" s="33" t="str">
        <f t="shared" si="9"/>
        <v/>
      </c>
      <c r="D128" s="9"/>
      <c r="E128" s="31"/>
      <c r="F128" s="11"/>
      <c r="G128" s="11"/>
      <c r="H128" s="9"/>
      <c r="I128" s="12" t="str">
        <f t="shared" si="10"/>
        <v/>
      </c>
      <c r="J128" s="12" t="str">
        <f t="shared" si="11"/>
        <v/>
      </c>
      <c r="K128" s="11"/>
      <c r="L128" s="12" t="str">
        <f t="shared" si="12"/>
        <v/>
      </c>
      <c r="M128" s="12" t="str">
        <f t="shared" si="13"/>
        <v/>
      </c>
      <c r="N128" s="8" t="str">
        <f t="shared" si="14"/>
        <v/>
      </c>
      <c r="O128" s="9"/>
      <c r="P128" s="31"/>
      <c r="Q128" s="8" t="str">
        <f t="shared" si="15"/>
        <v/>
      </c>
      <c r="R128" s="8" t="str">
        <f t="shared" si="16"/>
        <v/>
      </c>
      <c r="S128" s="8">
        <f>IF(OR(R128="",D128=""),0,IF(SUMPRODUCT(--(R$4:R128=R128))&gt;1,1,0))</f>
        <v>0</v>
      </c>
      <c r="T128" s="8">
        <f t="shared" si="17"/>
        <v>0</v>
      </c>
    </row>
    <row r="129" spans="1:20" x14ac:dyDescent="0.25">
      <c r="A129" s="8">
        <v>126</v>
      </c>
      <c r="B129" s="9"/>
      <c r="C129" s="33" t="str">
        <f t="shared" si="9"/>
        <v/>
      </c>
      <c r="D129" s="9"/>
      <c r="E129" s="31"/>
      <c r="F129" s="11"/>
      <c r="G129" s="11"/>
      <c r="H129" s="9"/>
      <c r="I129" s="12" t="str">
        <f t="shared" si="10"/>
        <v/>
      </c>
      <c r="J129" s="12" t="str">
        <f t="shared" si="11"/>
        <v/>
      </c>
      <c r="K129" s="11"/>
      <c r="L129" s="12" t="str">
        <f t="shared" si="12"/>
        <v/>
      </c>
      <c r="M129" s="12" t="str">
        <f t="shared" si="13"/>
        <v/>
      </c>
      <c r="N129" s="8" t="str">
        <f t="shared" si="14"/>
        <v/>
      </c>
      <c r="O129" s="9"/>
      <c r="P129" s="31"/>
      <c r="Q129" s="8" t="str">
        <f t="shared" si="15"/>
        <v/>
      </c>
      <c r="R129" s="8" t="str">
        <f t="shared" si="16"/>
        <v/>
      </c>
      <c r="S129" s="8">
        <f>IF(OR(R129="",D129=""),0,IF(SUMPRODUCT(--(R$4:R129=R129))&gt;1,1,0))</f>
        <v>0</v>
      </c>
      <c r="T129" s="8">
        <f t="shared" si="17"/>
        <v>0</v>
      </c>
    </row>
    <row r="130" spans="1:20" x14ac:dyDescent="0.25">
      <c r="A130" s="8">
        <v>127</v>
      </c>
      <c r="B130" s="9"/>
      <c r="C130" s="33" t="str">
        <f t="shared" si="9"/>
        <v/>
      </c>
      <c r="D130" s="9"/>
      <c r="E130" s="31"/>
      <c r="F130" s="11"/>
      <c r="G130" s="11"/>
      <c r="H130" s="9"/>
      <c r="I130" s="12" t="str">
        <f t="shared" si="10"/>
        <v/>
      </c>
      <c r="J130" s="12" t="str">
        <f t="shared" si="11"/>
        <v/>
      </c>
      <c r="K130" s="11"/>
      <c r="L130" s="12" t="str">
        <f t="shared" si="12"/>
        <v/>
      </c>
      <c r="M130" s="12" t="str">
        <f t="shared" si="13"/>
        <v/>
      </c>
      <c r="N130" s="8" t="str">
        <f t="shared" si="14"/>
        <v/>
      </c>
      <c r="O130" s="9"/>
      <c r="P130" s="31"/>
      <c r="Q130" s="8" t="str">
        <f t="shared" si="15"/>
        <v/>
      </c>
      <c r="R130" s="8" t="str">
        <f t="shared" si="16"/>
        <v/>
      </c>
      <c r="S130" s="8">
        <f>IF(OR(R130="",D130=""),0,IF(SUMPRODUCT(--(R$4:R130=R130))&gt;1,1,0))</f>
        <v>0</v>
      </c>
      <c r="T130" s="8">
        <f t="shared" si="17"/>
        <v>0</v>
      </c>
    </row>
    <row r="131" spans="1:20" x14ac:dyDescent="0.25">
      <c r="A131" s="8">
        <v>128</v>
      </c>
      <c r="B131" s="9"/>
      <c r="C131" s="33" t="str">
        <f t="shared" si="9"/>
        <v/>
      </c>
      <c r="D131" s="9"/>
      <c r="E131" s="31"/>
      <c r="F131" s="11"/>
      <c r="G131" s="11"/>
      <c r="H131" s="9"/>
      <c r="I131" s="12" t="str">
        <f t="shared" si="10"/>
        <v/>
      </c>
      <c r="J131" s="12" t="str">
        <f t="shared" si="11"/>
        <v/>
      </c>
      <c r="K131" s="11"/>
      <c r="L131" s="12" t="str">
        <f t="shared" si="12"/>
        <v/>
      </c>
      <c r="M131" s="12" t="str">
        <f t="shared" si="13"/>
        <v/>
      </c>
      <c r="N131" s="8" t="str">
        <f t="shared" si="14"/>
        <v/>
      </c>
      <c r="O131" s="9"/>
      <c r="P131" s="31"/>
      <c r="Q131" s="8" t="str">
        <f t="shared" si="15"/>
        <v/>
      </c>
      <c r="R131" s="8" t="str">
        <f t="shared" si="16"/>
        <v/>
      </c>
      <c r="S131" s="8">
        <f>IF(OR(R131="",D131=""),0,IF(SUMPRODUCT(--(R$4:R131=R131))&gt;1,1,0))</f>
        <v>0</v>
      </c>
      <c r="T131" s="8">
        <f t="shared" si="17"/>
        <v>0</v>
      </c>
    </row>
    <row r="132" spans="1:20" x14ac:dyDescent="0.25">
      <c r="A132" s="8">
        <v>129</v>
      </c>
      <c r="B132" s="9"/>
      <c r="C132" s="33" t="str">
        <f t="shared" ref="C132:C195" si="18">IF(B132="","",IFERROR(INDEX(SpaceNames,MATCH(B132,SpaceCodes,0))&amp;"",""))</f>
        <v/>
      </c>
      <c r="D132" s="9"/>
      <c r="E132" s="31"/>
      <c r="F132" s="11"/>
      <c r="G132" s="11"/>
      <c r="H132" s="9"/>
      <c r="I132" s="12" t="str">
        <f t="shared" ref="I132:I195" si="19">IF(R132="","",IF(S132=1,0,IF(AND(F132&lt;&gt;"",G132&lt;&gt;""),F132*G132*IF(H132="",1,H132),"")))</f>
        <v/>
      </c>
      <c r="J132" s="12" t="str">
        <f t="shared" ref="J132:J195" si="20">IF(R132="","",IF(T132=0,0,T132*SUMIFS(OP_Area,OP_Space,B132,OP_Wall,D132,OP_DedPl,"نعم")))</f>
        <v/>
      </c>
      <c r="K132" s="11"/>
      <c r="L132" s="12" t="str">
        <f t="shared" ref="L132:L195" si="21">IF(OR(R132="",I132=""),"",N(J132)+N(K132))</f>
        <v/>
      </c>
      <c r="M132" s="12" t="str">
        <f t="shared" ref="M132:M195" si="22">IF(OR(R132="",I132=""),"",I132-L132)</f>
        <v/>
      </c>
      <c r="N132" s="8" t="str">
        <f t="shared" ref="N132:N195" si="23">IF(E132="","",IFERROR(IF(INDEX(PlUnit,MATCH(E132,PlMat,0))="","م²",INDEX(PlUnit,MATCH(E132,PlMat,0))),"م²"))</f>
        <v/>
      </c>
      <c r="O132" s="9"/>
      <c r="P132" s="31"/>
      <c r="Q132" s="8" t="str">
        <f t="shared" ref="Q132:Q195" si="24">IF(R132="","",IF(S132=1,"تكرار — غير محتسب",IF(B132="","ناقص بيانات: كود الفراغ",IF(COUNTIF(SpaceCodes,B132)=0,"ناقص بيانات: الفراغ غير مسجل",IF(D132="","ناقص بيانات: كود الحائط",IF(E132="","ناقص بيانات: نوع البند",IF(I132="","ناقص قياس",IF(L132&gt;I132+0.000001,"خطأ خصم: الخصم أكبر من الإجمالي",IF(O132="نعم","يحتاج مراجعة","مكتمل")))))))))</f>
        <v/>
      </c>
      <c r="R132" s="8" t="str">
        <f t="shared" ref="R132:R195" si="25">IF(COUNTA(B132,D132:H132,K132)=0,"",B132&amp;"|"&amp;D132&amp;"|"&amp;E132)</f>
        <v/>
      </c>
      <c r="S132" s="8">
        <f>IF(OR(R132="",D132=""),0,IF(SUMPRODUCT(--(R$4:R132=R132))&gt;1,1,0))</f>
        <v>0</v>
      </c>
      <c r="T132" s="8">
        <f t="shared" ref="T132:T195" si="26">IF(OR(R132="",S132=1,B132="",D132=""),0,IF(H132="",1,H132))</f>
        <v>0</v>
      </c>
    </row>
    <row r="133" spans="1:20" x14ac:dyDescent="0.25">
      <c r="A133" s="8">
        <v>130</v>
      </c>
      <c r="B133" s="9"/>
      <c r="C133" s="33" t="str">
        <f t="shared" si="18"/>
        <v/>
      </c>
      <c r="D133" s="9"/>
      <c r="E133" s="31"/>
      <c r="F133" s="11"/>
      <c r="G133" s="11"/>
      <c r="H133" s="9"/>
      <c r="I133" s="12" t="str">
        <f t="shared" si="19"/>
        <v/>
      </c>
      <c r="J133" s="12" t="str">
        <f t="shared" si="20"/>
        <v/>
      </c>
      <c r="K133" s="11"/>
      <c r="L133" s="12" t="str">
        <f t="shared" si="21"/>
        <v/>
      </c>
      <c r="M133" s="12" t="str">
        <f t="shared" si="22"/>
        <v/>
      </c>
      <c r="N133" s="8" t="str">
        <f t="shared" si="23"/>
        <v/>
      </c>
      <c r="O133" s="9"/>
      <c r="P133" s="31"/>
      <c r="Q133" s="8" t="str">
        <f t="shared" si="24"/>
        <v/>
      </c>
      <c r="R133" s="8" t="str">
        <f t="shared" si="25"/>
        <v/>
      </c>
      <c r="S133" s="8">
        <f>IF(OR(R133="",D133=""),0,IF(SUMPRODUCT(--(R$4:R133=R133))&gt;1,1,0))</f>
        <v>0</v>
      </c>
      <c r="T133" s="8">
        <f t="shared" si="26"/>
        <v>0</v>
      </c>
    </row>
    <row r="134" spans="1:20" x14ac:dyDescent="0.25">
      <c r="A134" s="8">
        <v>131</v>
      </c>
      <c r="B134" s="9"/>
      <c r="C134" s="33" t="str">
        <f t="shared" si="18"/>
        <v/>
      </c>
      <c r="D134" s="9"/>
      <c r="E134" s="31"/>
      <c r="F134" s="11"/>
      <c r="G134" s="11"/>
      <c r="H134" s="9"/>
      <c r="I134" s="12" t="str">
        <f t="shared" si="19"/>
        <v/>
      </c>
      <c r="J134" s="12" t="str">
        <f t="shared" si="20"/>
        <v/>
      </c>
      <c r="K134" s="11"/>
      <c r="L134" s="12" t="str">
        <f t="shared" si="21"/>
        <v/>
      </c>
      <c r="M134" s="12" t="str">
        <f t="shared" si="22"/>
        <v/>
      </c>
      <c r="N134" s="8" t="str">
        <f t="shared" si="23"/>
        <v/>
      </c>
      <c r="O134" s="9"/>
      <c r="P134" s="31"/>
      <c r="Q134" s="8" t="str">
        <f t="shared" si="24"/>
        <v/>
      </c>
      <c r="R134" s="8" t="str">
        <f t="shared" si="25"/>
        <v/>
      </c>
      <c r="S134" s="8">
        <f>IF(OR(R134="",D134=""),0,IF(SUMPRODUCT(--(R$4:R134=R134))&gt;1,1,0))</f>
        <v>0</v>
      </c>
      <c r="T134" s="8">
        <f t="shared" si="26"/>
        <v>0</v>
      </c>
    </row>
    <row r="135" spans="1:20" x14ac:dyDescent="0.25">
      <c r="A135" s="8">
        <v>132</v>
      </c>
      <c r="B135" s="9"/>
      <c r="C135" s="33" t="str">
        <f t="shared" si="18"/>
        <v/>
      </c>
      <c r="D135" s="9"/>
      <c r="E135" s="31"/>
      <c r="F135" s="11"/>
      <c r="G135" s="11"/>
      <c r="H135" s="9"/>
      <c r="I135" s="12" t="str">
        <f t="shared" si="19"/>
        <v/>
      </c>
      <c r="J135" s="12" t="str">
        <f t="shared" si="20"/>
        <v/>
      </c>
      <c r="K135" s="11"/>
      <c r="L135" s="12" t="str">
        <f t="shared" si="21"/>
        <v/>
      </c>
      <c r="M135" s="12" t="str">
        <f t="shared" si="22"/>
        <v/>
      </c>
      <c r="N135" s="8" t="str">
        <f t="shared" si="23"/>
        <v/>
      </c>
      <c r="O135" s="9"/>
      <c r="P135" s="31"/>
      <c r="Q135" s="8" t="str">
        <f t="shared" si="24"/>
        <v/>
      </c>
      <c r="R135" s="8" t="str">
        <f t="shared" si="25"/>
        <v/>
      </c>
      <c r="S135" s="8">
        <f>IF(OR(R135="",D135=""),0,IF(SUMPRODUCT(--(R$4:R135=R135))&gt;1,1,0))</f>
        <v>0</v>
      </c>
      <c r="T135" s="8">
        <f t="shared" si="26"/>
        <v>0</v>
      </c>
    </row>
    <row r="136" spans="1:20" x14ac:dyDescent="0.25">
      <c r="A136" s="8">
        <v>133</v>
      </c>
      <c r="B136" s="9"/>
      <c r="C136" s="33" t="str">
        <f t="shared" si="18"/>
        <v/>
      </c>
      <c r="D136" s="9"/>
      <c r="E136" s="31"/>
      <c r="F136" s="11"/>
      <c r="G136" s="11"/>
      <c r="H136" s="9"/>
      <c r="I136" s="12" t="str">
        <f t="shared" si="19"/>
        <v/>
      </c>
      <c r="J136" s="12" t="str">
        <f t="shared" si="20"/>
        <v/>
      </c>
      <c r="K136" s="11"/>
      <c r="L136" s="12" t="str">
        <f t="shared" si="21"/>
        <v/>
      </c>
      <c r="M136" s="12" t="str">
        <f t="shared" si="22"/>
        <v/>
      </c>
      <c r="N136" s="8" t="str">
        <f t="shared" si="23"/>
        <v/>
      </c>
      <c r="O136" s="9"/>
      <c r="P136" s="31"/>
      <c r="Q136" s="8" t="str">
        <f t="shared" si="24"/>
        <v/>
      </c>
      <c r="R136" s="8" t="str">
        <f t="shared" si="25"/>
        <v/>
      </c>
      <c r="S136" s="8">
        <f>IF(OR(R136="",D136=""),0,IF(SUMPRODUCT(--(R$4:R136=R136))&gt;1,1,0))</f>
        <v>0</v>
      </c>
      <c r="T136" s="8">
        <f t="shared" si="26"/>
        <v>0</v>
      </c>
    </row>
    <row r="137" spans="1:20" x14ac:dyDescent="0.25">
      <c r="A137" s="8">
        <v>134</v>
      </c>
      <c r="B137" s="9"/>
      <c r="C137" s="33" t="str">
        <f t="shared" si="18"/>
        <v/>
      </c>
      <c r="D137" s="9"/>
      <c r="E137" s="31"/>
      <c r="F137" s="11"/>
      <c r="G137" s="11"/>
      <c r="H137" s="9"/>
      <c r="I137" s="12" t="str">
        <f t="shared" si="19"/>
        <v/>
      </c>
      <c r="J137" s="12" t="str">
        <f t="shared" si="20"/>
        <v/>
      </c>
      <c r="K137" s="11"/>
      <c r="L137" s="12" t="str">
        <f t="shared" si="21"/>
        <v/>
      </c>
      <c r="M137" s="12" t="str">
        <f t="shared" si="22"/>
        <v/>
      </c>
      <c r="N137" s="8" t="str">
        <f t="shared" si="23"/>
        <v/>
      </c>
      <c r="O137" s="9"/>
      <c r="P137" s="31"/>
      <c r="Q137" s="8" t="str">
        <f t="shared" si="24"/>
        <v/>
      </c>
      <c r="R137" s="8" t="str">
        <f t="shared" si="25"/>
        <v/>
      </c>
      <c r="S137" s="8">
        <f>IF(OR(R137="",D137=""),0,IF(SUMPRODUCT(--(R$4:R137=R137))&gt;1,1,0))</f>
        <v>0</v>
      </c>
      <c r="T137" s="8">
        <f t="shared" si="26"/>
        <v>0</v>
      </c>
    </row>
    <row r="138" spans="1:20" x14ac:dyDescent="0.25">
      <c r="A138" s="8">
        <v>135</v>
      </c>
      <c r="B138" s="9"/>
      <c r="C138" s="33" t="str">
        <f t="shared" si="18"/>
        <v/>
      </c>
      <c r="D138" s="9"/>
      <c r="E138" s="31"/>
      <c r="F138" s="11"/>
      <c r="G138" s="11"/>
      <c r="H138" s="9"/>
      <c r="I138" s="12" t="str">
        <f t="shared" si="19"/>
        <v/>
      </c>
      <c r="J138" s="12" t="str">
        <f t="shared" si="20"/>
        <v/>
      </c>
      <c r="K138" s="11"/>
      <c r="L138" s="12" t="str">
        <f t="shared" si="21"/>
        <v/>
      </c>
      <c r="M138" s="12" t="str">
        <f t="shared" si="22"/>
        <v/>
      </c>
      <c r="N138" s="8" t="str">
        <f t="shared" si="23"/>
        <v/>
      </c>
      <c r="O138" s="9"/>
      <c r="P138" s="31"/>
      <c r="Q138" s="8" t="str">
        <f t="shared" si="24"/>
        <v/>
      </c>
      <c r="R138" s="8" t="str">
        <f t="shared" si="25"/>
        <v/>
      </c>
      <c r="S138" s="8">
        <f>IF(OR(R138="",D138=""),0,IF(SUMPRODUCT(--(R$4:R138=R138))&gt;1,1,0))</f>
        <v>0</v>
      </c>
      <c r="T138" s="8">
        <f t="shared" si="26"/>
        <v>0</v>
      </c>
    </row>
    <row r="139" spans="1:20" x14ac:dyDescent="0.25">
      <c r="A139" s="8">
        <v>136</v>
      </c>
      <c r="B139" s="9"/>
      <c r="C139" s="33" t="str">
        <f t="shared" si="18"/>
        <v/>
      </c>
      <c r="D139" s="9"/>
      <c r="E139" s="31"/>
      <c r="F139" s="11"/>
      <c r="G139" s="11"/>
      <c r="H139" s="9"/>
      <c r="I139" s="12" t="str">
        <f t="shared" si="19"/>
        <v/>
      </c>
      <c r="J139" s="12" t="str">
        <f t="shared" si="20"/>
        <v/>
      </c>
      <c r="K139" s="11"/>
      <c r="L139" s="12" t="str">
        <f t="shared" si="21"/>
        <v/>
      </c>
      <c r="M139" s="12" t="str">
        <f t="shared" si="22"/>
        <v/>
      </c>
      <c r="N139" s="8" t="str">
        <f t="shared" si="23"/>
        <v/>
      </c>
      <c r="O139" s="9"/>
      <c r="P139" s="31"/>
      <c r="Q139" s="8" t="str">
        <f t="shared" si="24"/>
        <v/>
      </c>
      <c r="R139" s="8" t="str">
        <f t="shared" si="25"/>
        <v/>
      </c>
      <c r="S139" s="8">
        <f>IF(OR(R139="",D139=""),0,IF(SUMPRODUCT(--(R$4:R139=R139))&gt;1,1,0))</f>
        <v>0</v>
      </c>
      <c r="T139" s="8">
        <f t="shared" si="26"/>
        <v>0</v>
      </c>
    </row>
    <row r="140" spans="1:20" x14ac:dyDescent="0.25">
      <c r="A140" s="8">
        <v>137</v>
      </c>
      <c r="B140" s="9"/>
      <c r="C140" s="33" t="str">
        <f t="shared" si="18"/>
        <v/>
      </c>
      <c r="D140" s="9"/>
      <c r="E140" s="31"/>
      <c r="F140" s="11"/>
      <c r="G140" s="11"/>
      <c r="H140" s="9"/>
      <c r="I140" s="12" t="str">
        <f t="shared" si="19"/>
        <v/>
      </c>
      <c r="J140" s="12" t="str">
        <f t="shared" si="20"/>
        <v/>
      </c>
      <c r="K140" s="11"/>
      <c r="L140" s="12" t="str">
        <f t="shared" si="21"/>
        <v/>
      </c>
      <c r="M140" s="12" t="str">
        <f t="shared" si="22"/>
        <v/>
      </c>
      <c r="N140" s="8" t="str">
        <f t="shared" si="23"/>
        <v/>
      </c>
      <c r="O140" s="9"/>
      <c r="P140" s="31"/>
      <c r="Q140" s="8" t="str">
        <f t="shared" si="24"/>
        <v/>
      </c>
      <c r="R140" s="8" t="str">
        <f t="shared" si="25"/>
        <v/>
      </c>
      <c r="S140" s="8">
        <f>IF(OR(R140="",D140=""),0,IF(SUMPRODUCT(--(R$4:R140=R140))&gt;1,1,0))</f>
        <v>0</v>
      </c>
      <c r="T140" s="8">
        <f t="shared" si="26"/>
        <v>0</v>
      </c>
    </row>
    <row r="141" spans="1:20" x14ac:dyDescent="0.25">
      <c r="A141" s="8">
        <v>138</v>
      </c>
      <c r="B141" s="9"/>
      <c r="C141" s="33" t="str">
        <f t="shared" si="18"/>
        <v/>
      </c>
      <c r="D141" s="9"/>
      <c r="E141" s="31"/>
      <c r="F141" s="11"/>
      <c r="G141" s="11"/>
      <c r="H141" s="9"/>
      <c r="I141" s="12" t="str">
        <f t="shared" si="19"/>
        <v/>
      </c>
      <c r="J141" s="12" t="str">
        <f t="shared" si="20"/>
        <v/>
      </c>
      <c r="K141" s="11"/>
      <c r="L141" s="12" t="str">
        <f t="shared" si="21"/>
        <v/>
      </c>
      <c r="M141" s="12" t="str">
        <f t="shared" si="22"/>
        <v/>
      </c>
      <c r="N141" s="8" t="str">
        <f t="shared" si="23"/>
        <v/>
      </c>
      <c r="O141" s="9"/>
      <c r="P141" s="31"/>
      <c r="Q141" s="8" t="str">
        <f t="shared" si="24"/>
        <v/>
      </c>
      <c r="R141" s="8" t="str">
        <f t="shared" si="25"/>
        <v/>
      </c>
      <c r="S141" s="8">
        <f>IF(OR(R141="",D141=""),0,IF(SUMPRODUCT(--(R$4:R141=R141))&gt;1,1,0))</f>
        <v>0</v>
      </c>
      <c r="T141" s="8">
        <f t="shared" si="26"/>
        <v>0</v>
      </c>
    </row>
    <row r="142" spans="1:20" x14ac:dyDescent="0.25">
      <c r="A142" s="8">
        <v>139</v>
      </c>
      <c r="B142" s="9"/>
      <c r="C142" s="33" t="str">
        <f t="shared" si="18"/>
        <v/>
      </c>
      <c r="D142" s="9"/>
      <c r="E142" s="31"/>
      <c r="F142" s="11"/>
      <c r="G142" s="11"/>
      <c r="H142" s="9"/>
      <c r="I142" s="12" t="str">
        <f t="shared" si="19"/>
        <v/>
      </c>
      <c r="J142" s="12" t="str">
        <f t="shared" si="20"/>
        <v/>
      </c>
      <c r="K142" s="11"/>
      <c r="L142" s="12" t="str">
        <f t="shared" si="21"/>
        <v/>
      </c>
      <c r="M142" s="12" t="str">
        <f t="shared" si="22"/>
        <v/>
      </c>
      <c r="N142" s="8" t="str">
        <f t="shared" si="23"/>
        <v/>
      </c>
      <c r="O142" s="9"/>
      <c r="P142" s="31"/>
      <c r="Q142" s="8" t="str">
        <f t="shared" si="24"/>
        <v/>
      </c>
      <c r="R142" s="8" t="str">
        <f t="shared" si="25"/>
        <v/>
      </c>
      <c r="S142" s="8">
        <f>IF(OR(R142="",D142=""),0,IF(SUMPRODUCT(--(R$4:R142=R142))&gt;1,1,0))</f>
        <v>0</v>
      </c>
      <c r="T142" s="8">
        <f t="shared" si="26"/>
        <v>0</v>
      </c>
    </row>
    <row r="143" spans="1:20" x14ac:dyDescent="0.25">
      <c r="A143" s="8">
        <v>140</v>
      </c>
      <c r="B143" s="9"/>
      <c r="C143" s="33" t="str">
        <f t="shared" si="18"/>
        <v/>
      </c>
      <c r="D143" s="9"/>
      <c r="E143" s="31"/>
      <c r="F143" s="11"/>
      <c r="G143" s="11"/>
      <c r="H143" s="9"/>
      <c r="I143" s="12" t="str">
        <f t="shared" si="19"/>
        <v/>
      </c>
      <c r="J143" s="12" t="str">
        <f t="shared" si="20"/>
        <v/>
      </c>
      <c r="K143" s="11"/>
      <c r="L143" s="12" t="str">
        <f t="shared" si="21"/>
        <v/>
      </c>
      <c r="M143" s="12" t="str">
        <f t="shared" si="22"/>
        <v/>
      </c>
      <c r="N143" s="8" t="str">
        <f t="shared" si="23"/>
        <v/>
      </c>
      <c r="O143" s="9"/>
      <c r="P143" s="31"/>
      <c r="Q143" s="8" t="str">
        <f t="shared" si="24"/>
        <v/>
      </c>
      <c r="R143" s="8" t="str">
        <f t="shared" si="25"/>
        <v/>
      </c>
      <c r="S143" s="8">
        <f>IF(OR(R143="",D143=""),0,IF(SUMPRODUCT(--(R$4:R143=R143))&gt;1,1,0))</f>
        <v>0</v>
      </c>
      <c r="T143" s="8">
        <f t="shared" si="26"/>
        <v>0</v>
      </c>
    </row>
    <row r="144" spans="1:20" x14ac:dyDescent="0.25">
      <c r="A144" s="8">
        <v>141</v>
      </c>
      <c r="B144" s="9"/>
      <c r="C144" s="33" t="str">
        <f t="shared" si="18"/>
        <v/>
      </c>
      <c r="D144" s="9"/>
      <c r="E144" s="31"/>
      <c r="F144" s="11"/>
      <c r="G144" s="11"/>
      <c r="H144" s="9"/>
      <c r="I144" s="12" t="str">
        <f t="shared" si="19"/>
        <v/>
      </c>
      <c r="J144" s="12" t="str">
        <f t="shared" si="20"/>
        <v/>
      </c>
      <c r="K144" s="11"/>
      <c r="L144" s="12" t="str">
        <f t="shared" si="21"/>
        <v/>
      </c>
      <c r="M144" s="12" t="str">
        <f t="shared" si="22"/>
        <v/>
      </c>
      <c r="N144" s="8" t="str">
        <f t="shared" si="23"/>
        <v/>
      </c>
      <c r="O144" s="9"/>
      <c r="P144" s="31"/>
      <c r="Q144" s="8" t="str">
        <f t="shared" si="24"/>
        <v/>
      </c>
      <c r="R144" s="8" t="str">
        <f t="shared" si="25"/>
        <v/>
      </c>
      <c r="S144" s="8">
        <f>IF(OR(R144="",D144=""),0,IF(SUMPRODUCT(--(R$4:R144=R144))&gt;1,1,0))</f>
        <v>0</v>
      </c>
      <c r="T144" s="8">
        <f t="shared" si="26"/>
        <v>0</v>
      </c>
    </row>
    <row r="145" spans="1:20" x14ac:dyDescent="0.25">
      <c r="A145" s="8">
        <v>142</v>
      </c>
      <c r="B145" s="9"/>
      <c r="C145" s="33" t="str">
        <f t="shared" si="18"/>
        <v/>
      </c>
      <c r="D145" s="9"/>
      <c r="E145" s="31"/>
      <c r="F145" s="11"/>
      <c r="G145" s="11"/>
      <c r="H145" s="9"/>
      <c r="I145" s="12" t="str">
        <f t="shared" si="19"/>
        <v/>
      </c>
      <c r="J145" s="12" t="str">
        <f t="shared" si="20"/>
        <v/>
      </c>
      <c r="K145" s="11"/>
      <c r="L145" s="12" t="str">
        <f t="shared" si="21"/>
        <v/>
      </c>
      <c r="M145" s="12" t="str">
        <f t="shared" si="22"/>
        <v/>
      </c>
      <c r="N145" s="8" t="str">
        <f t="shared" si="23"/>
        <v/>
      </c>
      <c r="O145" s="9"/>
      <c r="P145" s="31"/>
      <c r="Q145" s="8" t="str">
        <f t="shared" si="24"/>
        <v/>
      </c>
      <c r="R145" s="8" t="str">
        <f t="shared" si="25"/>
        <v/>
      </c>
      <c r="S145" s="8">
        <f>IF(OR(R145="",D145=""),0,IF(SUMPRODUCT(--(R$4:R145=R145))&gt;1,1,0))</f>
        <v>0</v>
      </c>
      <c r="T145" s="8">
        <f t="shared" si="26"/>
        <v>0</v>
      </c>
    </row>
    <row r="146" spans="1:20" x14ac:dyDescent="0.25">
      <c r="A146" s="8">
        <v>143</v>
      </c>
      <c r="B146" s="9"/>
      <c r="C146" s="33" t="str">
        <f t="shared" si="18"/>
        <v/>
      </c>
      <c r="D146" s="9"/>
      <c r="E146" s="31"/>
      <c r="F146" s="11"/>
      <c r="G146" s="11"/>
      <c r="H146" s="9"/>
      <c r="I146" s="12" t="str">
        <f t="shared" si="19"/>
        <v/>
      </c>
      <c r="J146" s="12" t="str">
        <f t="shared" si="20"/>
        <v/>
      </c>
      <c r="K146" s="11"/>
      <c r="L146" s="12" t="str">
        <f t="shared" si="21"/>
        <v/>
      </c>
      <c r="M146" s="12" t="str">
        <f t="shared" si="22"/>
        <v/>
      </c>
      <c r="N146" s="8" t="str">
        <f t="shared" si="23"/>
        <v/>
      </c>
      <c r="O146" s="9"/>
      <c r="P146" s="31"/>
      <c r="Q146" s="8" t="str">
        <f t="shared" si="24"/>
        <v/>
      </c>
      <c r="R146" s="8" t="str">
        <f t="shared" si="25"/>
        <v/>
      </c>
      <c r="S146" s="8">
        <f>IF(OR(R146="",D146=""),0,IF(SUMPRODUCT(--(R$4:R146=R146))&gt;1,1,0))</f>
        <v>0</v>
      </c>
      <c r="T146" s="8">
        <f t="shared" si="26"/>
        <v>0</v>
      </c>
    </row>
    <row r="147" spans="1:20" x14ac:dyDescent="0.25">
      <c r="A147" s="8">
        <v>144</v>
      </c>
      <c r="B147" s="9"/>
      <c r="C147" s="33" t="str">
        <f t="shared" si="18"/>
        <v/>
      </c>
      <c r="D147" s="9"/>
      <c r="E147" s="31"/>
      <c r="F147" s="11"/>
      <c r="G147" s="11"/>
      <c r="H147" s="9"/>
      <c r="I147" s="12" t="str">
        <f t="shared" si="19"/>
        <v/>
      </c>
      <c r="J147" s="12" t="str">
        <f t="shared" si="20"/>
        <v/>
      </c>
      <c r="K147" s="11"/>
      <c r="L147" s="12" t="str">
        <f t="shared" si="21"/>
        <v/>
      </c>
      <c r="M147" s="12" t="str">
        <f t="shared" si="22"/>
        <v/>
      </c>
      <c r="N147" s="8" t="str">
        <f t="shared" si="23"/>
        <v/>
      </c>
      <c r="O147" s="9"/>
      <c r="P147" s="31"/>
      <c r="Q147" s="8" t="str">
        <f t="shared" si="24"/>
        <v/>
      </c>
      <c r="R147" s="8" t="str">
        <f t="shared" si="25"/>
        <v/>
      </c>
      <c r="S147" s="8">
        <f>IF(OR(R147="",D147=""),0,IF(SUMPRODUCT(--(R$4:R147=R147))&gt;1,1,0))</f>
        <v>0</v>
      </c>
      <c r="T147" s="8">
        <f t="shared" si="26"/>
        <v>0</v>
      </c>
    </row>
    <row r="148" spans="1:20" x14ac:dyDescent="0.25">
      <c r="A148" s="8">
        <v>145</v>
      </c>
      <c r="B148" s="9"/>
      <c r="C148" s="33" t="str">
        <f t="shared" si="18"/>
        <v/>
      </c>
      <c r="D148" s="9"/>
      <c r="E148" s="31"/>
      <c r="F148" s="11"/>
      <c r="G148" s="11"/>
      <c r="H148" s="9"/>
      <c r="I148" s="12" t="str">
        <f t="shared" si="19"/>
        <v/>
      </c>
      <c r="J148" s="12" t="str">
        <f t="shared" si="20"/>
        <v/>
      </c>
      <c r="K148" s="11"/>
      <c r="L148" s="12" t="str">
        <f t="shared" si="21"/>
        <v/>
      </c>
      <c r="M148" s="12" t="str">
        <f t="shared" si="22"/>
        <v/>
      </c>
      <c r="N148" s="8" t="str">
        <f t="shared" si="23"/>
        <v/>
      </c>
      <c r="O148" s="9"/>
      <c r="P148" s="31"/>
      <c r="Q148" s="8" t="str">
        <f t="shared" si="24"/>
        <v/>
      </c>
      <c r="R148" s="8" t="str">
        <f t="shared" si="25"/>
        <v/>
      </c>
      <c r="S148" s="8">
        <f>IF(OR(R148="",D148=""),0,IF(SUMPRODUCT(--(R$4:R148=R148))&gt;1,1,0))</f>
        <v>0</v>
      </c>
      <c r="T148" s="8">
        <f t="shared" si="26"/>
        <v>0</v>
      </c>
    </row>
    <row r="149" spans="1:20" x14ac:dyDescent="0.25">
      <c r="A149" s="8">
        <v>146</v>
      </c>
      <c r="B149" s="9"/>
      <c r="C149" s="33" t="str">
        <f t="shared" si="18"/>
        <v/>
      </c>
      <c r="D149" s="9"/>
      <c r="E149" s="31"/>
      <c r="F149" s="11"/>
      <c r="G149" s="11"/>
      <c r="H149" s="9"/>
      <c r="I149" s="12" t="str">
        <f t="shared" si="19"/>
        <v/>
      </c>
      <c r="J149" s="12" t="str">
        <f t="shared" si="20"/>
        <v/>
      </c>
      <c r="K149" s="11"/>
      <c r="L149" s="12" t="str">
        <f t="shared" si="21"/>
        <v/>
      </c>
      <c r="M149" s="12" t="str">
        <f t="shared" si="22"/>
        <v/>
      </c>
      <c r="N149" s="8" t="str">
        <f t="shared" si="23"/>
        <v/>
      </c>
      <c r="O149" s="9"/>
      <c r="P149" s="31"/>
      <c r="Q149" s="8" t="str">
        <f t="shared" si="24"/>
        <v/>
      </c>
      <c r="R149" s="8" t="str">
        <f t="shared" si="25"/>
        <v/>
      </c>
      <c r="S149" s="8">
        <f>IF(OR(R149="",D149=""),0,IF(SUMPRODUCT(--(R$4:R149=R149))&gt;1,1,0))</f>
        <v>0</v>
      </c>
      <c r="T149" s="8">
        <f t="shared" si="26"/>
        <v>0</v>
      </c>
    </row>
    <row r="150" spans="1:20" x14ac:dyDescent="0.25">
      <c r="A150" s="8">
        <v>147</v>
      </c>
      <c r="B150" s="9"/>
      <c r="C150" s="33" t="str">
        <f t="shared" si="18"/>
        <v/>
      </c>
      <c r="D150" s="9"/>
      <c r="E150" s="31"/>
      <c r="F150" s="11"/>
      <c r="G150" s="11"/>
      <c r="H150" s="9"/>
      <c r="I150" s="12" t="str">
        <f t="shared" si="19"/>
        <v/>
      </c>
      <c r="J150" s="12" t="str">
        <f t="shared" si="20"/>
        <v/>
      </c>
      <c r="K150" s="11"/>
      <c r="L150" s="12" t="str">
        <f t="shared" si="21"/>
        <v/>
      </c>
      <c r="M150" s="12" t="str">
        <f t="shared" si="22"/>
        <v/>
      </c>
      <c r="N150" s="8" t="str">
        <f t="shared" si="23"/>
        <v/>
      </c>
      <c r="O150" s="9"/>
      <c r="P150" s="31"/>
      <c r="Q150" s="8" t="str">
        <f t="shared" si="24"/>
        <v/>
      </c>
      <c r="R150" s="8" t="str">
        <f t="shared" si="25"/>
        <v/>
      </c>
      <c r="S150" s="8">
        <f>IF(OR(R150="",D150=""),0,IF(SUMPRODUCT(--(R$4:R150=R150))&gt;1,1,0))</f>
        <v>0</v>
      </c>
      <c r="T150" s="8">
        <f t="shared" si="26"/>
        <v>0</v>
      </c>
    </row>
    <row r="151" spans="1:20" x14ac:dyDescent="0.25">
      <c r="A151" s="8">
        <v>148</v>
      </c>
      <c r="B151" s="9"/>
      <c r="C151" s="33" t="str">
        <f t="shared" si="18"/>
        <v/>
      </c>
      <c r="D151" s="9"/>
      <c r="E151" s="31"/>
      <c r="F151" s="11"/>
      <c r="G151" s="11"/>
      <c r="H151" s="9"/>
      <c r="I151" s="12" t="str">
        <f t="shared" si="19"/>
        <v/>
      </c>
      <c r="J151" s="12" t="str">
        <f t="shared" si="20"/>
        <v/>
      </c>
      <c r="K151" s="11"/>
      <c r="L151" s="12" t="str">
        <f t="shared" si="21"/>
        <v/>
      </c>
      <c r="M151" s="12" t="str">
        <f t="shared" si="22"/>
        <v/>
      </c>
      <c r="N151" s="8" t="str">
        <f t="shared" si="23"/>
        <v/>
      </c>
      <c r="O151" s="9"/>
      <c r="P151" s="31"/>
      <c r="Q151" s="8" t="str">
        <f t="shared" si="24"/>
        <v/>
      </c>
      <c r="R151" s="8" t="str">
        <f t="shared" si="25"/>
        <v/>
      </c>
      <c r="S151" s="8">
        <f>IF(OR(R151="",D151=""),0,IF(SUMPRODUCT(--(R$4:R151=R151))&gt;1,1,0))</f>
        <v>0</v>
      </c>
      <c r="T151" s="8">
        <f t="shared" si="26"/>
        <v>0</v>
      </c>
    </row>
    <row r="152" spans="1:20" x14ac:dyDescent="0.25">
      <c r="A152" s="8">
        <v>149</v>
      </c>
      <c r="B152" s="9"/>
      <c r="C152" s="33" t="str">
        <f t="shared" si="18"/>
        <v/>
      </c>
      <c r="D152" s="9"/>
      <c r="E152" s="31"/>
      <c r="F152" s="11"/>
      <c r="G152" s="11"/>
      <c r="H152" s="9"/>
      <c r="I152" s="12" t="str">
        <f t="shared" si="19"/>
        <v/>
      </c>
      <c r="J152" s="12" t="str">
        <f t="shared" si="20"/>
        <v/>
      </c>
      <c r="K152" s="11"/>
      <c r="L152" s="12" t="str">
        <f t="shared" si="21"/>
        <v/>
      </c>
      <c r="M152" s="12" t="str">
        <f t="shared" si="22"/>
        <v/>
      </c>
      <c r="N152" s="8" t="str">
        <f t="shared" si="23"/>
        <v/>
      </c>
      <c r="O152" s="9"/>
      <c r="P152" s="31"/>
      <c r="Q152" s="8" t="str">
        <f t="shared" si="24"/>
        <v/>
      </c>
      <c r="R152" s="8" t="str">
        <f t="shared" si="25"/>
        <v/>
      </c>
      <c r="S152" s="8">
        <f>IF(OR(R152="",D152=""),0,IF(SUMPRODUCT(--(R$4:R152=R152))&gt;1,1,0))</f>
        <v>0</v>
      </c>
      <c r="T152" s="8">
        <f t="shared" si="26"/>
        <v>0</v>
      </c>
    </row>
    <row r="153" spans="1:20" x14ac:dyDescent="0.25">
      <c r="A153" s="8">
        <v>150</v>
      </c>
      <c r="B153" s="9"/>
      <c r="C153" s="33" t="str">
        <f t="shared" si="18"/>
        <v/>
      </c>
      <c r="D153" s="9"/>
      <c r="E153" s="31"/>
      <c r="F153" s="11"/>
      <c r="G153" s="11"/>
      <c r="H153" s="9"/>
      <c r="I153" s="12" t="str">
        <f t="shared" si="19"/>
        <v/>
      </c>
      <c r="J153" s="12" t="str">
        <f t="shared" si="20"/>
        <v/>
      </c>
      <c r="K153" s="11"/>
      <c r="L153" s="12" t="str">
        <f t="shared" si="21"/>
        <v/>
      </c>
      <c r="M153" s="12" t="str">
        <f t="shared" si="22"/>
        <v/>
      </c>
      <c r="N153" s="8" t="str">
        <f t="shared" si="23"/>
        <v/>
      </c>
      <c r="O153" s="9"/>
      <c r="P153" s="31"/>
      <c r="Q153" s="8" t="str">
        <f t="shared" si="24"/>
        <v/>
      </c>
      <c r="R153" s="8" t="str">
        <f t="shared" si="25"/>
        <v/>
      </c>
      <c r="S153" s="8">
        <f>IF(OR(R153="",D153=""),0,IF(SUMPRODUCT(--(R$4:R153=R153))&gt;1,1,0))</f>
        <v>0</v>
      </c>
      <c r="T153" s="8">
        <f t="shared" si="26"/>
        <v>0</v>
      </c>
    </row>
    <row r="154" spans="1:20" x14ac:dyDescent="0.25">
      <c r="A154" s="8">
        <v>151</v>
      </c>
      <c r="B154" s="9"/>
      <c r="C154" s="33" t="str">
        <f t="shared" si="18"/>
        <v/>
      </c>
      <c r="D154" s="9"/>
      <c r="E154" s="31"/>
      <c r="F154" s="11"/>
      <c r="G154" s="11"/>
      <c r="H154" s="9"/>
      <c r="I154" s="12" t="str">
        <f t="shared" si="19"/>
        <v/>
      </c>
      <c r="J154" s="12" t="str">
        <f t="shared" si="20"/>
        <v/>
      </c>
      <c r="K154" s="11"/>
      <c r="L154" s="12" t="str">
        <f t="shared" si="21"/>
        <v/>
      </c>
      <c r="M154" s="12" t="str">
        <f t="shared" si="22"/>
        <v/>
      </c>
      <c r="N154" s="8" t="str">
        <f t="shared" si="23"/>
        <v/>
      </c>
      <c r="O154" s="9"/>
      <c r="P154" s="31"/>
      <c r="Q154" s="8" t="str">
        <f t="shared" si="24"/>
        <v/>
      </c>
      <c r="R154" s="8" t="str">
        <f t="shared" si="25"/>
        <v/>
      </c>
      <c r="S154" s="8">
        <f>IF(OR(R154="",D154=""),0,IF(SUMPRODUCT(--(R$4:R154=R154))&gt;1,1,0))</f>
        <v>0</v>
      </c>
      <c r="T154" s="8">
        <f t="shared" si="26"/>
        <v>0</v>
      </c>
    </row>
    <row r="155" spans="1:20" x14ac:dyDescent="0.25">
      <c r="A155" s="8">
        <v>152</v>
      </c>
      <c r="B155" s="9"/>
      <c r="C155" s="33" t="str">
        <f t="shared" si="18"/>
        <v/>
      </c>
      <c r="D155" s="9"/>
      <c r="E155" s="31"/>
      <c r="F155" s="11"/>
      <c r="G155" s="11"/>
      <c r="H155" s="9"/>
      <c r="I155" s="12" t="str">
        <f t="shared" si="19"/>
        <v/>
      </c>
      <c r="J155" s="12" t="str">
        <f t="shared" si="20"/>
        <v/>
      </c>
      <c r="K155" s="11"/>
      <c r="L155" s="12" t="str">
        <f t="shared" si="21"/>
        <v/>
      </c>
      <c r="M155" s="12" t="str">
        <f t="shared" si="22"/>
        <v/>
      </c>
      <c r="N155" s="8" t="str">
        <f t="shared" si="23"/>
        <v/>
      </c>
      <c r="O155" s="9"/>
      <c r="P155" s="31"/>
      <c r="Q155" s="8" t="str">
        <f t="shared" si="24"/>
        <v/>
      </c>
      <c r="R155" s="8" t="str">
        <f t="shared" si="25"/>
        <v/>
      </c>
      <c r="S155" s="8">
        <f>IF(OR(R155="",D155=""),0,IF(SUMPRODUCT(--(R$4:R155=R155))&gt;1,1,0))</f>
        <v>0</v>
      </c>
      <c r="T155" s="8">
        <f t="shared" si="26"/>
        <v>0</v>
      </c>
    </row>
    <row r="156" spans="1:20" x14ac:dyDescent="0.25">
      <c r="A156" s="8">
        <v>153</v>
      </c>
      <c r="B156" s="9"/>
      <c r="C156" s="33" t="str">
        <f t="shared" si="18"/>
        <v/>
      </c>
      <c r="D156" s="9"/>
      <c r="E156" s="31"/>
      <c r="F156" s="11"/>
      <c r="G156" s="11"/>
      <c r="H156" s="9"/>
      <c r="I156" s="12" t="str">
        <f t="shared" si="19"/>
        <v/>
      </c>
      <c r="J156" s="12" t="str">
        <f t="shared" si="20"/>
        <v/>
      </c>
      <c r="K156" s="11"/>
      <c r="L156" s="12" t="str">
        <f t="shared" si="21"/>
        <v/>
      </c>
      <c r="M156" s="12" t="str">
        <f t="shared" si="22"/>
        <v/>
      </c>
      <c r="N156" s="8" t="str">
        <f t="shared" si="23"/>
        <v/>
      </c>
      <c r="O156" s="9"/>
      <c r="P156" s="31"/>
      <c r="Q156" s="8" t="str">
        <f t="shared" si="24"/>
        <v/>
      </c>
      <c r="R156" s="8" t="str">
        <f t="shared" si="25"/>
        <v/>
      </c>
      <c r="S156" s="8">
        <f>IF(OR(R156="",D156=""),0,IF(SUMPRODUCT(--(R$4:R156=R156))&gt;1,1,0))</f>
        <v>0</v>
      </c>
      <c r="T156" s="8">
        <f t="shared" si="26"/>
        <v>0</v>
      </c>
    </row>
    <row r="157" spans="1:20" x14ac:dyDescent="0.25">
      <c r="A157" s="8">
        <v>154</v>
      </c>
      <c r="B157" s="9"/>
      <c r="C157" s="33" t="str">
        <f t="shared" si="18"/>
        <v/>
      </c>
      <c r="D157" s="9"/>
      <c r="E157" s="31"/>
      <c r="F157" s="11"/>
      <c r="G157" s="11"/>
      <c r="H157" s="9"/>
      <c r="I157" s="12" t="str">
        <f t="shared" si="19"/>
        <v/>
      </c>
      <c r="J157" s="12" t="str">
        <f t="shared" si="20"/>
        <v/>
      </c>
      <c r="K157" s="11"/>
      <c r="L157" s="12" t="str">
        <f t="shared" si="21"/>
        <v/>
      </c>
      <c r="M157" s="12" t="str">
        <f t="shared" si="22"/>
        <v/>
      </c>
      <c r="N157" s="8" t="str">
        <f t="shared" si="23"/>
        <v/>
      </c>
      <c r="O157" s="9"/>
      <c r="P157" s="31"/>
      <c r="Q157" s="8" t="str">
        <f t="shared" si="24"/>
        <v/>
      </c>
      <c r="R157" s="8" t="str">
        <f t="shared" si="25"/>
        <v/>
      </c>
      <c r="S157" s="8">
        <f>IF(OR(R157="",D157=""),0,IF(SUMPRODUCT(--(R$4:R157=R157))&gt;1,1,0))</f>
        <v>0</v>
      </c>
      <c r="T157" s="8">
        <f t="shared" si="26"/>
        <v>0</v>
      </c>
    </row>
    <row r="158" spans="1:20" x14ac:dyDescent="0.25">
      <c r="A158" s="8">
        <v>155</v>
      </c>
      <c r="B158" s="9"/>
      <c r="C158" s="33" t="str">
        <f t="shared" si="18"/>
        <v/>
      </c>
      <c r="D158" s="9"/>
      <c r="E158" s="31"/>
      <c r="F158" s="11"/>
      <c r="G158" s="11"/>
      <c r="H158" s="9"/>
      <c r="I158" s="12" t="str">
        <f t="shared" si="19"/>
        <v/>
      </c>
      <c r="J158" s="12" t="str">
        <f t="shared" si="20"/>
        <v/>
      </c>
      <c r="K158" s="11"/>
      <c r="L158" s="12" t="str">
        <f t="shared" si="21"/>
        <v/>
      </c>
      <c r="M158" s="12" t="str">
        <f t="shared" si="22"/>
        <v/>
      </c>
      <c r="N158" s="8" t="str">
        <f t="shared" si="23"/>
        <v/>
      </c>
      <c r="O158" s="9"/>
      <c r="P158" s="31"/>
      <c r="Q158" s="8" t="str">
        <f t="shared" si="24"/>
        <v/>
      </c>
      <c r="R158" s="8" t="str">
        <f t="shared" si="25"/>
        <v/>
      </c>
      <c r="S158" s="8">
        <f>IF(OR(R158="",D158=""),0,IF(SUMPRODUCT(--(R$4:R158=R158))&gt;1,1,0))</f>
        <v>0</v>
      </c>
      <c r="T158" s="8">
        <f t="shared" si="26"/>
        <v>0</v>
      </c>
    </row>
    <row r="159" spans="1:20" x14ac:dyDescent="0.25">
      <c r="A159" s="8">
        <v>156</v>
      </c>
      <c r="B159" s="9"/>
      <c r="C159" s="33" t="str">
        <f t="shared" si="18"/>
        <v/>
      </c>
      <c r="D159" s="9"/>
      <c r="E159" s="31"/>
      <c r="F159" s="11"/>
      <c r="G159" s="11"/>
      <c r="H159" s="9"/>
      <c r="I159" s="12" t="str">
        <f t="shared" si="19"/>
        <v/>
      </c>
      <c r="J159" s="12" t="str">
        <f t="shared" si="20"/>
        <v/>
      </c>
      <c r="K159" s="11"/>
      <c r="L159" s="12" t="str">
        <f t="shared" si="21"/>
        <v/>
      </c>
      <c r="M159" s="12" t="str">
        <f t="shared" si="22"/>
        <v/>
      </c>
      <c r="N159" s="8" t="str">
        <f t="shared" si="23"/>
        <v/>
      </c>
      <c r="O159" s="9"/>
      <c r="P159" s="31"/>
      <c r="Q159" s="8" t="str">
        <f t="shared" si="24"/>
        <v/>
      </c>
      <c r="R159" s="8" t="str">
        <f t="shared" si="25"/>
        <v/>
      </c>
      <c r="S159" s="8">
        <f>IF(OR(R159="",D159=""),0,IF(SUMPRODUCT(--(R$4:R159=R159))&gt;1,1,0))</f>
        <v>0</v>
      </c>
      <c r="T159" s="8">
        <f t="shared" si="26"/>
        <v>0</v>
      </c>
    </row>
    <row r="160" spans="1:20" x14ac:dyDescent="0.25">
      <c r="A160" s="8">
        <v>157</v>
      </c>
      <c r="B160" s="9"/>
      <c r="C160" s="33" t="str">
        <f t="shared" si="18"/>
        <v/>
      </c>
      <c r="D160" s="9"/>
      <c r="E160" s="31"/>
      <c r="F160" s="11"/>
      <c r="G160" s="11"/>
      <c r="H160" s="9"/>
      <c r="I160" s="12" t="str">
        <f t="shared" si="19"/>
        <v/>
      </c>
      <c r="J160" s="12" t="str">
        <f t="shared" si="20"/>
        <v/>
      </c>
      <c r="K160" s="11"/>
      <c r="L160" s="12" t="str">
        <f t="shared" si="21"/>
        <v/>
      </c>
      <c r="M160" s="12" t="str">
        <f t="shared" si="22"/>
        <v/>
      </c>
      <c r="N160" s="8" t="str">
        <f t="shared" si="23"/>
        <v/>
      </c>
      <c r="O160" s="9"/>
      <c r="P160" s="31"/>
      <c r="Q160" s="8" t="str">
        <f t="shared" si="24"/>
        <v/>
      </c>
      <c r="R160" s="8" t="str">
        <f t="shared" si="25"/>
        <v/>
      </c>
      <c r="S160" s="8">
        <f>IF(OR(R160="",D160=""),0,IF(SUMPRODUCT(--(R$4:R160=R160))&gt;1,1,0))</f>
        <v>0</v>
      </c>
      <c r="T160" s="8">
        <f t="shared" si="26"/>
        <v>0</v>
      </c>
    </row>
    <row r="161" spans="1:20" x14ac:dyDescent="0.25">
      <c r="A161" s="8">
        <v>158</v>
      </c>
      <c r="B161" s="9"/>
      <c r="C161" s="33" t="str">
        <f t="shared" si="18"/>
        <v/>
      </c>
      <c r="D161" s="9"/>
      <c r="E161" s="31"/>
      <c r="F161" s="11"/>
      <c r="G161" s="11"/>
      <c r="H161" s="9"/>
      <c r="I161" s="12" t="str">
        <f t="shared" si="19"/>
        <v/>
      </c>
      <c r="J161" s="12" t="str">
        <f t="shared" si="20"/>
        <v/>
      </c>
      <c r="K161" s="11"/>
      <c r="L161" s="12" t="str">
        <f t="shared" si="21"/>
        <v/>
      </c>
      <c r="M161" s="12" t="str">
        <f t="shared" si="22"/>
        <v/>
      </c>
      <c r="N161" s="8" t="str">
        <f t="shared" si="23"/>
        <v/>
      </c>
      <c r="O161" s="9"/>
      <c r="P161" s="31"/>
      <c r="Q161" s="8" t="str">
        <f t="shared" si="24"/>
        <v/>
      </c>
      <c r="R161" s="8" t="str">
        <f t="shared" si="25"/>
        <v/>
      </c>
      <c r="S161" s="8">
        <f>IF(OR(R161="",D161=""),0,IF(SUMPRODUCT(--(R$4:R161=R161))&gt;1,1,0))</f>
        <v>0</v>
      </c>
      <c r="T161" s="8">
        <f t="shared" si="26"/>
        <v>0</v>
      </c>
    </row>
    <row r="162" spans="1:20" x14ac:dyDescent="0.25">
      <c r="A162" s="8">
        <v>159</v>
      </c>
      <c r="B162" s="9"/>
      <c r="C162" s="33" t="str">
        <f t="shared" si="18"/>
        <v/>
      </c>
      <c r="D162" s="9"/>
      <c r="E162" s="31"/>
      <c r="F162" s="11"/>
      <c r="G162" s="11"/>
      <c r="H162" s="9"/>
      <c r="I162" s="12" t="str">
        <f t="shared" si="19"/>
        <v/>
      </c>
      <c r="J162" s="12" t="str">
        <f t="shared" si="20"/>
        <v/>
      </c>
      <c r="K162" s="11"/>
      <c r="L162" s="12" t="str">
        <f t="shared" si="21"/>
        <v/>
      </c>
      <c r="M162" s="12" t="str">
        <f t="shared" si="22"/>
        <v/>
      </c>
      <c r="N162" s="8" t="str">
        <f t="shared" si="23"/>
        <v/>
      </c>
      <c r="O162" s="9"/>
      <c r="P162" s="31"/>
      <c r="Q162" s="8" t="str">
        <f t="shared" si="24"/>
        <v/>
      </c>
      <c r="R162" s="8" t="str">
        <f t="shared" si="25"/>
        <v/>
      </c>
      <c r="S162" s="8">
        <f>IF(OR(R162="",D162=""),0,IF(SUMPRODUCT(--(R$4:R162=R162))&gt;1,1,0))</f>
        <v>0</v>
      </c>
      <c r="T162" s="8">
        <f t="shared" si="26"/>
        <v>0</v>
      </c>
    </row>
    <row r="163" spans="1:20" x14ac:dyDescent="0.25">
      <c r="A163" s="8">
        <v>160</v>
      </c>
      <c r="B163" s="9"/>
      <c r="C163" s="33" t="str">
        <f t="shared" si="18"/>
        <v/>
      </c>
      <c r="D163" s="9"/>
      <c r="E163" s="31"/>
      <c r="F163" s="11"/>
      <c r="G163" s="11"/>
      <c r="H163" s="9"/>
      <c r="I163" s="12" t="str">
        <f t="shared" si="19"/>
        <v/>
      </c>
      <c r="J163" s="12" t="str">
        <f t="shared" si="20"/>
        <v/>
      </c>
      <c r="K163" s="11"/>
      <c r="L163" s="12" t="str">
        <f t="shared" si="21"/>
        <v/>
      </c>
      <c r="M163" s="12" t="str">
        <f t="shared" si="22"/>
        <v/>
      </c>
      <c r="N163" s="8" t="str">
        <f t="shared" si="23"/>
        <v/>
      </c>
      <c r="O163" s="9"/>
      <c r="P163" s="31"/>
      <c r="Q163" s="8" t="str">
        <f t="shared" si="24"/>
        <v/>
      </c>
      <c r="R163" s="8" t="str">
        <f t="shared" si="25"/>
        <v/>
      </c>
      <c r="S163" s="8">
        <f>IF(OR(R163="",D163=""),0,IF(SUMPRODUCT(--(R$4:R163=R163))&gt;1,1,0))</f>
        <v>0</v>
      </c>
      <c r="T163" s="8">
        <f t="shared" si="26"/>
        <v>0</v>
      </c>
    </row>
    <row r="164" spans="1:20" x14ac:dyDescent="0.25">
      <c r="A164" s="8">
        <v>161</v>
      </c>
      <c r="B164" s="9"/>
      <c r="C164" s="33" t="str">
        <f t="shared" si="18"/>
        <v/>
      </c>
      <c r="D164" s="9"/>
      <c r="E164" s="31"/>
      <c r="F164" s="11"/>
      <c r="G164" s="11"/>
      <c r="H164" s="9"/>
      <c r="I164" s="12" t="str">
        <f t="shared" si="19"/>
        <v/>
      </c>
      <c r="J164" s="12" t="str">
        <f t="shared" si="20"/>
        <v/>
      </c>
      <c r="K164" s="11"/>
      <c r="L164" s="12" t="str">
        <f t="shared" si="21"/>
        <v/>
      </c>
      <c r="M164" s="12" t="str">
        <f t="shared" si="22"/>
        <v/>
      </c>
      <c r="N164" s="8" t="str">
        <f t="shared" si="23"/>
        <v/>
      </c>
      <c r="O164" s="9"/>
      <c r="P164" s="31"/>
      <c r="Q164" s="8" t="str">
        <f t="shared" si="24"/>
        <v/>
      </c>
      <c r="R164" s="8" t="str">
        <f t="shared" si="25"/>
        <v/>
      </c>
      <c r="S164" s="8">
        <f>IF(OR(R164="",D164=""),0,IF(SUMPRODUCT(--(R$4:R164=R164))&gt;1,1,0))</f>
        <v>0</v>
      </c>
      <c r="T164" s="8">
        <f t="shared" si="26"/>
        <v>0</v>
      </c>
    </row>
    <row r="165" spans="1:20" x14ac:dyDescent="0.25">
      <c r="A165" s="8">
        <v>162</v>
      </c>
      <c r="B165" s="9"/>
      <c r="C165" s="33" t="str">
        <f t="shared" si="18"/>
        <v/>
      </c>
      <c r="D165" s="9"/>
      <c r="E165" s="31"/>
      <c r="F165" s="11"/>
      <c r="G165" s="11"/>
      <c r="H165" s="9"/>
      <c r="I165" s="12" t="str">
        <f t="shared" si="19"/>
        <v/>
      </c>
      <c r="J165" s="12" t="str">
        <f t="shared" si="20"/>
        <v/>
      </c>
      <c r="K165" s="11"/>
      <c r="L165" s="12" t="str">
        <f t="shared" si="21"/>
        <v/>
      </c>
      <c r="M165" s="12" t="str">
        <f t="shared" si="22"/>
        <v/>
      </c>
      <c r="N165" s="8" t="str">
        <f t="shared" si="23"/>
        <v/>
      </c>
      <c r="O165" s="9"/>
      <c r="P165" s="31"/>
      <c r="Q165" s="8" t="str">
        <f t="shared" si="24"/>
        <v/>
      </c>
      <c r="R165" s="8" t="str">
        <f t="shared" si="25"/>
        <v/>
      </c>
      <c r="S165" s="8">
        <f>IF(OR(R165="",D165=""),0,IF(SUMPRODUCT(--(R$4:R165=R165))&gt;1,1,0))</f>
        <v>0</v>
      </c>
      <c r="T165" s="8">
        <f t="shared" si="26"/>
        <v>0</v>
      </c>
    </row>
    <row r="166" spans="1:20" x14ac:dyDescent="0.25">
      <c r="A166" s="8">
        <v>163</v>
      </c>
      <c r="B166" s="9"/>
      <c r="C166" s="33" t="str">
        <f t="shared" si="18"/>
        <v/>
      </c>
      <c r="D166" s="9"/>
      <c r="E166" s="31"/>
      <c r="F166" s="11"/>
      <c r="G166" s="11"/>
      <c r="H166" s="9"/>
      <c r="I166" s="12" t="str">
        <f t="shared" si="19"/>
        <v/>
      </c>
      <c r="J166" s="12" t="str">
        <f t="shared" si="20"/>
        <v/>
      </c>
      <c r="K166" s="11"/>
      <c r="L166" s="12" t="str">
        <f t="shared" si="21"/>
        <v/>
      </c>
      <c r="M166" s="12" t="str">
        <f t="shared" si="22"/>
        <v/>
      </c>
      <c r="N166" s="8" t="str">
        <f t="shared" si="23"/>
        <v/>
      </c>
      <c r="O166" s="9"/>
      <c r="P166" s="31"/>
      <c r="Q166" s="8" t="str">
        <f t="shared" si="24"/>
        <v/>
      </c>
      <c r="R166" s="8" t="str">
        <f t="shared" si="25"/>
        <v/>
      </c>
      <c r="S166" s="8">
        <f>IF(OR(R166="",D166=""),0,IF(SUMPRODUCT(--(R$4:R166=R166))&gt;1,1,0))</f>
        <v>0</v>
      </c>
      <c r="T166" s="8">
        <f t="shared" si="26"/>
        <v>0</v>
      </c>
    </row>
    <row r="167" spans="1:20" x14ac:dyDescent="0.25">
      <c r="A167" s="8">
        <v>164</v>
      </c>
      <c r="B167" s="9"/>
      <c r="C167" s="33" t="str">
        <f t="shared" si="18"/>
        <v/>
      </c>
      <c r="D167" s="9"/>
      <c r="E167" s="31"/>
      <c r="F167" s="11"/>
      <c r="G167" s="11"/>
      <c r="H167" s="9"/>
      <c r="I167" s="12" t="str">
        <f t="shared" si="19"/>
        <v/>
      </c>
      <c r="J167" s="12" t="str">
        <f t="shared" si="20"/>
        <v/>
      </c>
      <c r="K167" s="11"/>
      <c r="L167" s="12" t="str">
        <f t="shared" si="21"/>
        <v/>
      </c>
      <c r="M167" s="12" t="str">
        <f t="shared" si="22"/>
        <v/>
      </c>
      <c r="N167" s="8" t="str">
        <f t="shared" si="23"/>
        <v/>
      </c>
      <c r="O167" s="9"/>
      <c r="P167" s="31"/>
      <c r="Q167" s="8" t="str">
        <f t="shared" si="24"/>
        <v/>
      </c>
      <c r="R167" s="8" t="str">
        <f t="shared" si="25"/>
        <v/>
      </c>
      <c r="S167" s="8">
        <f>IF(OR(R167="",D167=""),0,IF(SUMPRODUCT(--(R$4:R167=R167))&gt;1,1,0))</f>
        <v>0</v>
      </c>
      <c r="T167" s="8">
        <f t="shared" si="26"/>
        <v>0</v>
      </c>
    </row>
    <row r="168" spans="1:20" x14ac:dyDescent="0.25">
      <c r="A168" s="8">
        <v>165</v>
      </c>
      <c r="B168" s="9"/>
      <c r="C168" s="33" t="str">
        <f t="shared" si="18"/>
        <v/>
      </c>
      <c r="D168" s="9"/>
      <c r="E168" s="31"/>
      <c r="F168" s="11"/>
      <c r="G168" s="11"/>
      <c r="H168" s="9"/>
      <c r="I168" s="12" t="str">
        <f t="shared" si="19"/>
        <v/>
      </c>
      <c r="J168" s="12" t="str">
        <f t="shared" si="20"/>
        <v/>
      </c>
      <c r="K168" s="11"/>
      <c r="L168" s="12" t="str">
        <f t="shared" si="21"/>
        <v/>
      </c>
      <c r="M168" s="12" t="str">
        <f t="shared" si="22"/>
        <v/>
      </c>
      <c r="N168" s="8" t="str">
        <f t="shared" si="23"/>
        <v/>
      </c>
      <c r="O168" s="9"/>
      <c r="P168" s="31"/>
      <c r="Q168" s="8" t="str">
        <f t="shared" si="24"/>
        <v/>
      </c>
      <c r="R168" s="8" t="str">
        <f t="shared" si="25"/>
        <v/>
      </c>
      <c r="S168" s="8">
        <f>IF(OR(R168="",D168=""),0,IF(SUMPRODUCT(--(R$4:R168=R168))&gt;1,1,0))</f>
        <v>0</v>
      </c>
      <c r="T168" s="8">
        <f t="shared" si="26"/>
        <v>0</v>
      </c>
    </row>
    <row r="169" spans="1:20" x14ac:dyDescent="0.25">
      <c r="A169" s="8">
        <v>166</v>
      </c>
      <c r="B169" s="9"/>
      <c r="C169" s="33" t="str">
        <f t="shared" si="18"/>
        <v/>
      </c>
      <c r="D169" s="9"/>
      <c r="E169" s="31"/>
      <c r="F169" s="11"/>
      <c r="G169" s="11"/>
      <c r="H169" s="9"/>
      <c r="I169" s="12" t="str">
        <f t="shared" si="19"/>
        <v/>
      </c>
      <c r="J169" s="12" t="str">
        <f t="shared" si="20"/>
        <v/>
      </c>
      <c r="K169" s="11"/>
      <c r="L169" s="12" t="str">
        <f t="shared" si="21"/>
        <v/>
      </c>
      <c r="M169" s="12" t="str">
        <f t="shared" si="22"/>
        <v/>
      </c>
      <c r="N169" s="8" t="str">
        <f t="shared" si="23"/>
        <v/>
      </c>
      <c r="O169" s="9"/>
      <c r="P169" s="31"/>
      <c r="Q169" s="8" t="str">
        <f t="shared" si="24"/>
        <v/>
      </c>
      <c r="R169" s="8" t="str">
        <f t="shared" si="25"/>
        <v/>
      </c>
      <c r="S169" s="8">
        <f>IF(OR(R169="",D169=""),0,IF(SUMPRODUCT(--(R$4:R169=R169))&gt;1,1,0))</f>
        <v>0</v>
      </c>
      <c r="T169" s="8">
        <f t="shared" si="26"/>
        <v>0</v>
      </c>
    </row>
    <row r="170" spans="1:20" x14ac:dyDescent="0.25">
      <c r="A170" s="8">
        <v>167</v>
      </c>
      <c r="B170" s="9"/>
      <c r="C170" s="33" t="str">
        <f t="shared" si="18"/>
        <v/>
      </c>
      <c r="D170" s="9"/>
      <c r="E170" s="31"/>
      <c r="F170" s="11"/>
      <c r="G170" s="11"/>
      <c r="H170" s="9"/>
      <c r="I170" s="12" t="str">
        <f t="shared" si="19"/>
        <v/>
      </c>
      <c r="J170" s="12" t="str">
        <f t="shared" si="20"/>
        <v/>
      </c>
      <c r="K170" s="11"/>
      <c r="L170" s="12" t="str">
        <f t="shared" si="21"/>
        <v/>
      </c>
      <c r="M170" s="12" t="str">
        <f t="shared" si="22"/>
        <v/>
      </c>
      <c r="N170" s="8" t="str">
        <f t="shared" si="23"/>
        <v/>
      </c>
      <c r="O170" s="9"/>
      <c r="P170" s="31"/>
      <c r="Q170" s="8" t="str">
        <f t="shared" si="24"/>
        <v/>
      </c>
      <c r="R170" s="8" t="str">
        <f t="shared" si="25"/>
        <v/>
      </c>
      <c r="S170" s="8">
        <f>IF(OR(R170="",D170=""),0,IF(SUMPRODUCT(--(R$4:R170=R170))&gt;1,1,0))</f>
        <v>0</v>
      </c>
      <c r="T170" s="8">
        <f t="shared" si="26"/>
        <v>0</v>
      </c>
    </row>
    <row r="171" spans="1:20" x14ac:dyDescent="0.25">
      <c r="A171" s="8">
        <v>168</v>
      </c>
      <c r="B171" s="9"/>
      <c r="C171" s="33" t="str">
        <f t="shared" si="18"/>
        <v/>
      </c>
      <c r="D171" s="9"/>
      <c r="E171" s="31"/>
      <c r="F171" s="11"/>
      <c r="G171" s="11"/>
      <c r="H171" s="9"/>
      <c r="I171" s="12" t="str">
        <f t="shared" si="19"/>
        <v/>
      </c>
      <c r="J171" s="12" t="str">
        <f t="shared" si="20"/>
        <v/>
      </c>
      <c r="K171" s="11"/>
      <c r="L171" s="12" t="str">
        <f t="shared" si="21"/>
        <v/>
      </c>
      <c r="M171" s="12" t="str">
        <f t="shared" si="22"/>
        <v/>
      </c>
      <c r="N171" s="8" t="str">
        <f t="shared" si="23"/>
        <v/>
      </c>
      <c r="O171" s="9"/>
      <c r="P171" s="31"/>
      <c r="Q171" s="8" t="str">
        <f t="shared" si="24"/>
        <v/>
      </c>
      <c r="R171" s="8" t="str">
        <f t="shared" si="25"/>
        <v/>
      </c>
      <c r="S171" s="8">
        <f>IF(OR(R171="",D171=""),0,IF(SUMPRODUCT(--(R$4:R171=R171))&gt;1,1,0))</f>
        <v>0</v>
      </c>
      <c r="T171" s="8">
        <f t="shared" si="26"/>
        <v>0</v>
      </c>
    </row>
    <row r="172" spans="1:20" x14ac:dyDescent="0.25">
      <c r="A172" s="8">
        <v>169</v>
      </c>
      <c r="B172" s="9"/>
      <c r="C172" s="33" t="str">
        <f t="shared" si="18"/>
        <v/>
      </c>
      <c r="D172" s="9"/>
      <c r="E172" s="31"/>
      <c r="F172" s="11"/>
      <c r="G172" s="11"/>
      <c r="H172" s="9"/>
      <c r="I172" s="12" t="str">
        <f t="shared" si="19"/>
        <v/>
      </c>
      <c r="J172" s="12" t="str">
        <f t="shared" si="20"/>
        <v/>
      </c>
      <c r="K172" s="11"/>
      <c r="L172" s="12" t="str">
        <f t="shared" si="21"/>
        <v/>
      </c>
      <c r="M172" s="12" t="str">
        <f t="shared" si="22"/>
        <v/>
      </c>
      <c r="N172" s="8" t="str">
        <f t="shared" si="23"/>
        <v/>
      </c>
      <c r="O172" s="9"/>
      <c r="P172" s="31"/>
      <c r="Q172" s="8" t="str">
        <f t="shared" si="24"/>
        <v/>
      </c>
      <c r="R172" s="8" t="str">
        <f t="shared" si="25"/>
        <v/>
      </c>
      <c r="S172" s="8">
        <f>IF(OR(R172="",D172=""),0,IF(SUMPRODUCT(--(R$4:R172=R172))&gt;1,1,0))</f>
        <v>0</v>
      </c>
      <c r="T172" s="8">
        <f t="shared" si="26"/>
        <v>0</v>
      </c>
    </row>
    <row r="173" spans="1:20" x14ac:dyDescent="0.25">
      <c r="A173" s="8">
        <v>170</v>
      </c>
      <c r="B173" s="9"/>
      <c r="C173" s="33" t="str">
        <f t="shared" si="18"/>
        <v/>
      </c>
      <c r="D173" s="9"/>
      <c r="E173" s="31"/>
      <c r="F173" s="11"/>
      <c r="G173" s="11"/>
      <c r="H173" s="9"/>
      <c r="I173" s="12" t="str">
        <f t="shared" si="19"/>
        <v/>
      </c>
      <c r="J173" s="12" t="str">
        <f t="shared" si="20"/>
        <v/>
      </c>
      <c r="K173" s="11"/>
      <c r="L173" s="12" t="str">
        <f t="shared" si="21"/>
        <v/>
      </c>
      <c r="M173" s="12" t="str">
        <f t="shared" si="22"/>
        <v/>
      </c>
      <c r="N173" s="8" t="str">
        <f t="shared" si="23"/>
        <v/>
      </c>
      <c r="O173" s="9"/>
      <c r="P173" s="31"/>
      <c r="Q173" s="8" t="str">
        <f t="shared" si="24"/>
        <v/>
      </c>
      <c r="R173" s="8" t="str">
        <f t="shared" si="25"/>
        <v/>
      </c>
      <c r="S173" s="8">
        <f>IF(OR(R173="",D173=""),0,IF(SUMPRODUCT(--(R$4:R173=R173))&gt;1,1,0))</f>
        <v>0</v>
      </c>
      <c r="T173" s="8">
        <f t="shared" si="26"/>
        <v>0</v>
      </c>
    </row>
    <row r="174" spans="1:20" x14ac:dyDescent="0.25">
      <c r="A174" s="8">
        <v>171</v>
      </c>
      <c r="B174" s="9"/>
      <c r="C174" s="33" t="str">
        <f t="shared" si="18"/>
        <v/>
      </c>
      <c r="D174" s="9"/>
      <c r="E174" s="31"/>
      <c r="F174" s="11"/>
      <c r="G174" s="11"/>
      <c r="H174" s="9"/>
      <c r="I174" s="12" t="str">
        <f t="shared" si="19"/>
        <v/>
      </c>
      <c r="J174" s="12" t="str">
        <f t="shared" si="20"/>
        <v/>
      </c>
      <c r="K174" s="11"/>
      <c r="L174" s="12" t="str">
        <f t="shared" si="21"/>
        <v/>
      </c>
      <c r="M174" s="12" t="str">
        <f t="shared" si="22"/>
        <v/>
      </c>
      <c r="N174" s="8" t="str">
        <f t="shared" si="23"/>
        <v/>
      </c>
      <c r="O174" s="9"/>
      <c r="P174" s="31"/>
      <c r="Q174" s="8" t="str">
        <f t="shared" si="24"/>
        <v/>
      </c>
      <c r="R174" s="8" t="str">
        <f t="shared" si="25"/>
        <v/>
      </c>
      <c r="S174" s="8">
        <f>IF(OR(R174="",D174=""),0,IF(SUMPRODUCT(--(R$4:R174=R174))&gt;1,1,0))</f>
        <v>0</v>
      </c>
      <c r="T174" s="8">
        <f t="shared" si="26"/>
        <v>0</v>
      </c>
    </row>
    <row r="175" spans="1:20" x14ac:dyDescent="0.25">
      <c r="A175" s="8">
        <v>172</v>
      </c>
      <c r="B175" s="9"/>
      <c r="C175" s="33" t="str">
        <f t="shared" si="18"/>
        <v/>
      </c>
      <c r="D175" s="9"/>
      <c r="E175" s="31"/>
      <c r="F175" s="11"/>
      <c r="G175" s="11"/>
      <c r="H175" s="9"/>
      <c r="I175" s="12" t="str">
        <f t="shared" si="19"/>
        <v/>
      </c>
      <c r="J175" s="12" t="str">
        <f t="shared" si="20"/>
        <v/>
      </c>
      <c r="K175" s="11"/>
      <c r="L175" s="12" t="str">
        <f t="shared" si="21"/>
        <v/>
      </c>
      <c r="M175" s="12" t="str">
        <f t="shared" si="22"/>
        <v/>
      </c>
      <c r="N175" s="8" t="str">
        <f t="shared" si="23"/>
        <v/>
      </c>
      <c r="O175" s="9"/>
      <c r="P175" s="31"/>
      <c r="Q175" s="8" t="str">
        <f t="shared" si="24"/>
        <v/>
      </c>
      <c r="R175" s="8" t="str">
        <f t="shared" si="25"/>
        <v/>
      </c>
      <c r="S175" s="8">
        <f>IF(OR(R175="",D175=""),0,IF(SUMPRODUCT(--(R$4:R175=R175))&gt;1,1,0))</f>
        <v>0</v>
      </c>
      <c r="T175" s="8">
        <f t="shared" si="26"/>
        <v>0</v>
      </c>
    </row>
    <row r="176" spans="1:20" x14ac:dyDescent="0.25">
      <c r="A176" s="8">
        <v>173</v>
      </c>
      <c r="B176" s="9"/>
      <c r="C176" s="33" t="str">
        <f t="shared" si="18"/>
        <v/>
      </c>
      <c r="D176" s="9"/>
      <c r="E176" s="31"/>
      <c r="F176" s="11"/>
      <c r="G176" s="11"/>
      <c r="H176" s="9"/>
      <c r="I176" s="12" t="str">
        <f t="shared" si="19"/>
        <v/>
      </c>
      <c r="J176" s="12" t="str">
        <f t="shared" si="20"/>
        <v/>
      </c>
      <c r="K176" s="11"/>
      <c r="L176" s="12" t="str">
        <f t="shared" si="21"/>
        <v/>
      </c>
      <c r="M176" s="12" t="str">
        <f t="shared" si="22"/>
        <v/>
      </c>
      <c r="N176" s="8" t="str">
        <f t="shared" si="23"/>
        <v/>
      </c>
      <c r="O176" s="9"/>
      <c r="P176" s="31"/>
      <c r="Q176" s="8" t="str">
        <f t="shared" si="24"/>
        <v/>
      </c>
      <c r="R176" s="8" t="str">
        <f t="shared" si="25"/>
        <v/>
      </c>
      <c r="S176" s="8">
        <f>IF(OR(R176="",D176=""),0,IF(SUMPRODUCT(--(R$4:R176=R176))&gt;1,1,0))</f>
        <v>0</v>
      </c>
      <c r="T176" s="8">
        <f t="shared" si="26"/>
        <v>0</v>
      </c>
    </row>
    <row r="177" spans="1:20" x14ac:dyDescent="0.25">
      <c r="A177" s="8">
        <v>174</v>
      </c>
      <c r="B177" s="9"/>
      <c r="C177" s="33" t="str">
        <f t="shared" si="18"/>
        <v/>
      </c>
      <c r="D177" s="9"/>
      <c r="E177" s="31"/>
      <c r="F177" s="11"/>
      <c r="G177" s="11"/>
      <c r="H177" s="9"/>
      <c r="I177" s="12" t="str">
        <f t="shared" si="19"/>
        <v/>
      </c>
      <c r="J177" s="12" t="str">
        <f t="shared" si="20"/>
        <v/>
      </c>
      <c r="K177" s="11"/>
      <c r="L177" s="12" t="str">
        <f t="shared" si="21"/>
        <v/>
      </c>
      <c r="M177" s="12" t="str">
        <f t="shared" si="22"/>
        <v/>
      </c>
      <c r="N177" s="8" t="str">
        <f t="shared" si="23"/>
        <v/>
      </c>
      <c r="O177" s="9"/>
      <c r="P177" s="31"/>
      <c r="Q177" s="8" t="str">
        <f t="shared" si="24"/>
        <v/>
      </c>
      <c r="R177" s="8" t="str">
        <f t="shared" si="25"/>
        <v/>
      </c>
      <c r="S177" s="8">
        <f>IF(OR(R177="",D177=""),0,IF(SUMPRODUCT(--(R$4:R177=R177))&gt;1,1,0))</f>
        <v>0</v>
      </c>
      <c r="T177" s="8">
        <f t="shared" si="26"/>
        <v>0</v>
      </c>
    </row>
    <row r="178" spans="1:20" x14ac:dyDescent="0.25">
      <c r="A178" s="8">
        <v>175</v>
      </c>
      <c r="B178" s="9"/>
      <c r="C178" s="33" t="str">
        <f t="shared" si="18"/>
        <v/>
      </c>
      <c r="D178" s="9"/>
      <c r="E178" s="31"/>
      <c r="F178" s="11"/>
      <c r="G178" s="11"/>
      <c r="H178" s="9"/>
      <c r="I178" s="12" t="str">
        <f t="shared" si="19"/>
        <v/>
      </c>
      <c r="J178" s="12" t="str">
        <f t="shared" si="20"/>
        <v/>
      </c>
      <c r="K178" s="11"/>
      <c r="L178" s="12" t="str">
        <f t="shared" si="21"/>
        <v/>
      </c>
      <c r="M178" s="12" t="str">
        <f t="shared" si="22"/>
        <v/>
      </c>
      <c r="N178" s="8" t="str">
        <f t="shared" si="23"/>
        <v/>
      </c>
      <c r="O178" s="9"/>
      <c r="P178" s="31"/>
      <c r="Q178" s="8" t="str">
        <f t="shared" si="24"/>
        <v/>
      </c>
      <c r="R178" s="8" t="str">
        <f t="shared" si="25"/>
        <v/>
      </c>
      <c r="S178" s="8">
        <f>IF(OR(R178="",D178=""),0,IF(SUMPRODUCT(--(R$4:R178=R178))&gt;1,1,0))</f>
        <v>0</v>
      </c>
      <c r="T178" s="8">
        <f t="shared" si="26"/>
        <v>0</v>
      </c>
    </row>
    <row r="179" spans="1:20" x14ac:dyDescent="0.25">
      <c r="A179" s="8">
        <v>176</v>
      </c>
      <c r="B179" s="9"/>
      <c r="C179" s="33" t="str">
        <f t="shared" si="18"/>
        <v/>
      </c>
      <c r="D179" s="9"/>
      <c r="E179" s="31"/>
      <c r="F179" s="11"/>
      <c r="G179" s="11"/>
      <c r="H179" s="9"/>
      <c r="I179" s="12" t="str">
        <f t="shared" si="19"/>
        <v/>
      </c>
      <c r="J179" s="12" t="str">
        <f t="shared" si="20"/>
        <v/>
      </c>
      <c r="K179" s="11"/>
      <c r="L179" s="12" t="str">
        <f t="shared" si="21"/>
        <v/>
      </c>
      <c r="M179" s="12" t="str">
        <f t="shared" si="22"/>
        <v/>
      </c>
      <c r="N179" s="8" t="str">
        <f t="shared" si="23"/>
        <v/>
      </c>
      <c r="O179" s="9"/>
      <c r="P179" s="31"/>
      <c r="Q179" s="8" t="str">
        <f t="shared" si="24"/>
        <v/>
      </c>
      <c r="R179" s="8" t="str">
        <f t="shared" si="25"/>
        <v/>
      </c>
      <c r="S179" s="8">
        <f>IF(OR(R179="",D179=""),0,IF(SUMPRODUCT(--(R$4:R179=R179))&gt;1,1,0))</f>
        <v>0</v>
      </c>
      <c r="T179" s="8">
        <f t="shared" si="26"/>
        <v>0</v>
      </c>
    </row>
    <row r="180" spans="1:20" x14ac:dyDescent="0.25">
      <c r="A180" s="8">
        <v>177</v>
      </c>
      <c r="B180" s="9"/>
      <c r="C180" s="33" t="str">
        <f t="shared" si="18"/>
        <v/>
      </c>
      <c r="D180" s="9"/>
      <c r="E180" s="31"/>
      <c r="F180" s="11"/>
      <c r="G180" s="11"/>
      <c r="H180" s="9"/>
      <c r="I180" s="12" t="str">
        <f t="shared" si="19"/>
        <v/>
      </c>
      <c r="J180" s="12" t="str">
        <f t="shared" si="20"/>
        <v/>
      </c>
      <c r="K180" s="11"/>
      <c r="L180" s="12" t="str">
        <f t="shared" si="21"/>
        <v/>
      </c>
      <c r="M180" s="12" t="str">
        <f t="shared" si="22"/>
        <v/>
      </c>
      <c r="N180" s="8" t="str">
        <f t="shared" si="23"/>
        <v/>
      </c>
      <c r="O180" s="9"/>
      <c r="P180" s="31"/>
      <c r="Q180" s="8" t="str">
        <f t="shared" si="24"/>
        <v/>
      </c>
      <c r="R180" s="8" t="str">
        <f t="shared" si="25"/>
        <v/>
      </c>
      <c r="S180" s="8">
        <f>IF(OR(R180="",D180=""),0,IF(SUMPRODUCT(--(R$4:R180=R180))&gt;1,1,0))</f>
        <v>0</v>
      </c>
      <c r="T180" s="8">
        <f t="shared" si="26"/>
        <v>0</v>
      </c>
    </row>
    <row r="181" spans="1:20" x14ac:dyDescent="0.25">
      <c r="A181" s="8">
        <v>178</v>
      </c>
      <c r="B181" s="9"/>
      <c r="C181" s="33" t="str">
        <f t="shared" si="18"/>
        <v/>
      </c>
      <c r="D181" s="9"/>
      <c r="E181" s="31"/>
      <c r="F181" s="11"/>
      <c r="G181" s="11"/>
      <c r="H181" s="9"/>
      <c r="I181" s="12" t="str">
        <f t="shared" si="19"/>
        <v/>
      </c>
      <c r="J181" s="12" t="str">
        <f t="shared" si="20"/>
        <v/>
      </c>
      <c r="K181" s="11"/>
      <c r="L181" s="12" t="str">
        <f t="shared" si="21"/>
        <v/>
      </c>
      <c r="M181" s="12" t="str">
        <f t="shared" si="22"/>
        <v/>
      </c>
      <c r="N181" s="8" t="str">
        <f t="shared" si="23"/>
        <v/>
      </c>
      <c r="O181" s="9"/>
      <c r="P181" s="31"/>
      <c r="Q181" s="8" t="str">
        <f t="shared" si="24"/>
        <v/>
      </c>
      <c r="R181" s="8" t="str">
        <f t="shared" si="25"/>
        <v/>
      </c>
      <c r="S181" s="8">
        <f>IF(OR(R181="",D181=""),0,IF(SUMPRODUCT(--(R$4:R181=R181))&gt;1,1,0))</f>
        <v>0</v>
      </c>
      <c r="T181" s="8">
        <f t="shared" si="26"/>
        <v>0</v>
      </c>
    </row>
    <row r="182" spans="1:20" x14ac:dyDescent="0.25">
      <c r="A182" s="8">
        <v>179</v>
      </c>
      <c r="B182" s="9"/>
      <c r="C182" s="33" t="str">
        <f t="shared" si="18"/>
        <v/>
      </c>
      <c r="D182" s="9"/>
      <c r="E182" s="31"/>
      <c r="F182" s="11"/>
      <c r="G182" s="11"/>
      <c r="H182" s="9"/>
      <c r="I182" s="12" t="str">
        <f t="shared" si="19"/>
        <v/>
      </c>
      <c r="J182" s="12" t="str">
        <f t="shared" si="20"/>
        <v/>
      </c>
      <c r="K182" s="11"/>
      <c r="L182" s="12" t="str">
        <f t="shared" si="21"/>
        <v/>
      </c>
      <c r="M182" s="12" t="str">
        <f t="shared" si="22"/>
        <v/>
      </c>
      <c r="N182" s="8" t="str">
        <f t="shared" si="23"/>
        <v/>
      </c>
      <c r="O182" s="9"/>
      <c r="P182" s="31"/>
      <c r="Q182" s="8" t="str">
        <f t="shared" si="24"/>
        <v/>
      </c>
      <c r="R182" s="8" t="str">
        <f t="shared" si="25"/>
        <v/>
      </c>
      <c r="S182" s="8">
        <f>IF(OR(R182="",D182=""),0,IF(SUMPRODUCT(--(R$4:R182=R182))&gt;1,1,0))</f>
        <v>0</v>
      </c>
      <c r="T182" s="8">
        <f t="shared" si="26"/>
        <v>0</v>
      </c>
    </row>
    <row r="183" spans="1:20" x14ac:dyDescent="0.25">
      <c r="A183" s="8">
        <v>180</v>
      </c>
      <c r="B183" s="9"/>
      <c r="C183" s="33" t="str">
        <f t="shared" si="18"/>
        <v/>
      </c>
      <c r="D183" s="9"/>
      <c r="E183" s="31"/>
      <c r="F183" s="11"/>
      <c r="G183" s="11"/>
      <c r="H183" s="9"/>
      <c r="I183" s="12" t="str">
        <f t="shared" si="19"/>
        <v/>
      </c>
      <c r="J183" s="12" t="str">
        <f t="shared" si="20"/>
        <v/>
      </c>
      <c r="K183" s="11"/>
      <c r="L183" s="12" t="str">
        <f t="shared" si="21"/>
        <v/>
      </c>
      <c r="M183" s="12" t="str">
        <f t="shared" si="22"/>
        <v/>
      </c>
      <c r="N183" s="8" t="str">
        <f t="shared" si="23"/>
        <v/>
      </c>
      <c r="O183" s="9"/>
      <c r="P183" s="31"/>
      <c r="Q183" s="8" t="str">
        <f t="shared" si="24"/>
        <v/>
      </c>
      <c r="R183" s="8" t="str">
        <f t="shared" si="25"/>
        <v/>
      </c>
      <c r="S183" s="8">
        <f>IF(OR(R183="",D183=""),0,IF(SUMPRODUCT(--(R$4:R183=R183))&gt;1,1,0))</f>
        <v>0</v>
      </c>
      <c r="T183" s="8">
        <f t="shared" si="26"/>
        <v>0</v>
      </c>
    </row>
    <row r="184" spans="1:20" x14ac:dyDescent="0.25">
      <c r="A184" s="8">
        <v>181</v>
      </c>
      <c r="B184" s="9"/>
      <c r="C184" s="33" t="str">
        <f t="shared" si="18"/>
        <v/>
      </c>
      <c r="D184" s="9"/>
      <c r="E184" s="31"/>
      <c r="F184" s="11"/>
      <c r="G184" s="11"/>
      <c r="H184" s="9"/>
      <c r="I184" s="12" t="str">
        <f t="shared" si="19"/>
        <v/>
      </c>
      <c r="J184" s="12" t="str">
        <f t="shared" si="20"/>
        <v/>
      </c>
      <c r="K184" s="11"/>
      <c r="L184" s="12" t="str">
        <f t="shared" si="21"/>
        <v/>
      </c>
      <c r="M184" s="12" t="str">
        <f t="shared" si="22"/>
        <v/>
      </c>
      <c r="N184" s="8" t="str">
        <f t="shared" si="23"/>
        <v/>
      </c>
      <c r="O184" s="9"/>
      <c r="P184" s="31"/>
      <c r="Q184" s="8" t="str">
        <f t="shared" si="24"/>
        <v/>
      </c>
      <c r="R184" s="8" t="str">
        <f t="shared" si="25"/>
        <v/>
      </c>
      <c r="S184" s="8">
        <f>IF(OR(R184="",D184=""),0,IF(SUMPRODUCT(--(R$4:R184=R184))&gt;1,1,0))</f>
        <v>0</v>
      </c>
      <c r="T184" s="8">
        <f t="shared" si="26"/>
        <v>0</v>
      </c>
    </row>
    <row r="185" spans="1:20" x14ac:dyDescent="0.25">
      <c r="A185" s="8">
        <v>182</v>
      </c>
      <c r="B185" s="9"/>
      <c r="C185" s="33" t="str">
        <f t="shared" si="18"/>
        <v/>
      </c>
      <c r="D185" s="9"/>
      <c r="E185" s="31"/>
      <c r="F185" s="11"/>
      <c r="G185" s="11"/>
      <c r="H185" s="9"/>
      <c r="I185" s="12" t="str">
        <f t="shared" si="19"/>
        <v/>
      </c>
      <c r="J185" s="12" t="str">
        <f t="shared" si="20"/>
        <v/>
      </c>
      <c r="K185" s="11"/>
      <c r="L185" s="12" t="str">
        <f t="shared" si="21"/>
        <v/>
      </c>
      <c r="M185" s="12" t="str">
        <f t="shared" si="22"/>
        <v/>
      </c>
      <c r="N185" s="8" t="str">
        <f t="shared" si="23"/>
        <v/>
      </c>
      <c r="O185" s="9"/>
      <c r="P185" s="31"/>
      <c r="Q185" s="8" t="str">
        <f t="shared" si="24"/>
        <v/>
      </c>
      <c r="R185" s="8" t="str">
        <f t="shared" si="25"/>
        <v/>
      </c>
      <c r="S185" s="8">
        <f>IF(OR(R185="",D185=""),0,IF(SUMPRODUCT(--(R$4:R185=R185))&gt;1,1,0))</f>
        <v>0</v>
      </c>
      <c r="T185" s="8">
        <f t="shared" si="26"/>
        <v>0</v>
      </c>
    </row>
    <row r="186" spans="1:20" x14ac:dyDescent="0.25">
      <c r="A186" s="8">
        <v>183</v>
      </c>
      <c r="B186" s="9"/>
      <c r="C186" s="33" t="str">
        <f t="shared" si="18"/>
        <v/>
      </c>
      <c r="D186" s="9"/>
      <c r="E186" s="31"/>
      <c r="F186" s="11"/>
      <c r="G186" s="11"/>
      <c r="H186" s="9"/>
      <c r="I186" s="12" t="str">
        <f t="shared" si="19"/>
        <v/>
      </c>
      <c r="J186" s="12" t="str">
        <f t="shared" si="20"/>
        <v/>
      </c>
      <c r="K186" s="11"/>
      <c r="L186" s="12" t="str">
        <f t="shared" si="21"/>
        <v/>
      </c>
      <c r="M186" s="12" t="str">
        <f t="shared" si="22"/>
        <v/>
      </c>
      <c r="N186" s="8" t="str">
        <f t="shared" si="23"/>
        <v/>
      </c>
      <c r="O186" s="9"/>
      <c r="P186" s="31"/>
      <c r="Q186" s="8" t="str">
        <f t="shared" si="24"/>
        <v/>
      </c>
      <c r="R186" s="8" t="str">
        <f t="shared" si="25"/>
        <v/>
      </c>
      <c r="S186" s="8">
        <f>IF(OR(R186="",D186=""),0,IF(SUMPRODUCT(--(R$4:R186=R186))&gt;1,1,0))</f>
        <v>0</v>
      </c>
      <c r="T186" s="8">
        <f t="shared" si="26"/>
        <v>0</v>
      </c>
    </row>
    <row r="187" spans="1:20" x14ac:dyDescent="0.25">
      <c r="A187" s="8">
        <v>184</v>
      </c>
      <c r="B187" s="9"/>
      <c r="C187" s="33" t="str">
        <f t="shared" si="18"/>
        <v/>
      </c>
      <c r="D187" s="9"/>
      <c r="E187" s="31"/>
      <c r="F187" s="11"/>
      <c r="G187" s="11"/>
      <c r="H187" s="9"/>
      <c r="I187" s="12" t="str">
        <f t="shared" si="19"/>
        <v/>
      </c>
      <c r="J187" s="12" t="str">
        <f t="shared" si="20"/>
        <v/>
      </c>
      <c r="K187" s="11"/>
      <c r="L187" s="12" t="str">
        <f t="shared" si="21"/>
        <v/>
      </c>
      <c r="M187" s="12" t="str">
        <f t="shared" si="22"/>
        <v/>
      </c>
      <c r="N187" s="8" t="str">
        <f t="shared" si="23"/>
        <v/>
      </c>
      <c r="O187" s="9"/>
      <c r="P187" s="31"/>
      <c r="Q187" s="8" t="str">
        <f t="shared" si="24"/>
        <v/>
      </c>
      <c r="R187" s="8" t="str">
        <f t="shared" si="25"/>
        <v/>
      </c>
      <c r="S187" s="8">
        <f>IF(OR(R187="",D187=""),0,IF(SUMPRODUCT(--(R$4:R187=R187))&gt;1,1,0))</f>
        <v>0</v>
      </c>
      <c r="T187" s="8">
        <f t="shared" si="26"/>
        <v>0</v>
      </c>
    </row>
    <row r="188" spans="1:20" x14ac:dyDescent="0.25">
      <c r="A188" s="8">
        <v>185</v>
      </c>
      <c r="B188" s="9"/>
      <c r="C188" s="33" t="str">
        <f t="shared" si="18"/>
        <v/>
      </c>
      <c r="D188" s="9"/>
      <c r="E188" s="31"/>
      <c r="F188" s="11"/>
      <c r="G188" s="11"/>
      <c r="H188" s="9"/>
      <c r="I188" s="12" t="str">
        <f t="shared" si="19"/>
        <v/>
      </c>
      <c r="J188" s="12" t="str">
        <f t="shared" si="20"/>
        <v/>
      </c>
      <c r="K188" s="11"/>
      <c r="L188" s="12" t="str">
        <f t="shared" si="21"/>
        <v/>
      </c>
      <c r="M188" s="12" t="str">
        <f t="shared" si="22"/>
        <v/>
      </c>
      <c r="N188" s="8" t="str">
        <f t="shared" si="23"/>
        <v/>
      </c>
      <c r="O188" s="9"/>
      <c r="P188" s="31"/>
      <c r="Q188" s="8" t="str">
        <f t="shared" si="24"/>
        <v/>
      </c>
      <c r="R188" s="8" t="str">
        <f t="shared" si="25"/>
        <v/>
      </c>
      <c r="S188" s="8">
        <f>IF(OR(R188="",D188=""),0,IF(SUMPRODUCT(--(R$4:R188=R188))&gt;1,1,0))</f>
        <v>0</v>
      </c>
      <c r="T188" s="8">
        <f t="shared" si="26"/>
        <v>0</v>
      </c>
    </row>
    <row r="189" spans="1:20" x14ac:dyDescent="0.25">
      <c r="A189" s="8">
        <v>186</v>
      </c>
      <c r="B189" s="9"/>
      <c r="C189" s="33" t="str">
        <f t="shared" si="18"/>
        <v/>
      </c>
      <c r="D189" s="9"/>
      <c r="E189" s="31"/>
      <c r="F189" s="11"/>
      <c r="G189" s="11"/>
      <c r="H189" s="9"/>
      <c r="I189" s="12" t="str">
        <f t="shared" si="19"/>
        <v/>
      </c>
      <c r="J189" s="12" t="str">
        <f t="shared" si="20"/>
        <v/>
      </c>
      <c r="K189" s="11"/>
      <c r="L189" s="12" t="str">
        <f t="shared" si="21"/>
        <v/>
      </c>
      <c r="M189" s="12" t="str">
        <f t="shared" si="22"/>
        <v/>
      </c>
      <c r="N189" s="8" t="str">
        <f t="shared" si="23"/>
        <v/>
      </c>
      <c r="O189" s="9"/>
      <c r="P189" s="31"/>
      <c r="Q189" s="8" t="str">
        <f t="shared" si="24"/>
        <v/>
      </c>
      <c r="R189" s="8" t="str">
        <f t="shared" si="25"/>
        <v/>
      </c>
      <c r="S189" s="8">
        <f>IF(OR(R189="",D189=""),0,IF(SUMPRODUCT(--(R$4:R189=R189))&gt;1,1,0))</f>
        <v>0</v>
      </c>
      <c r="T189" s="8">
        <f t="shared" si="26"/>
        <v>0</v>
      </c>
    </row>
    <row r="190" spans="1:20" x14ac:dyDescent="0.25">
      <c r="A190" s="8">
        <v>187</v>
      </c>
      <c r="B190" s="9"/>
      <c r="C190" s="33" t="str">
        <f t="shared" si="18"/>
        <v/>
      </c>
      <c r="D190" s="9"/>
      <c r="E190" s="31"/>
      <c r="F190" s="11"/>
      <c r="G190" s="11"/>
      <c r="H190" s="9"/>
      <c r="I190" s="12" t="str">
        <f t="shared" si="19"/>
        <v/>
      </c>
      <c r="J190" s="12" t="str">
        <f t="shared" si="20"/>
        <v/>
      </c>
      <c r="K190" s="11"/>
      <c r="L190" s="12" t="str">
        <f t="shared" si="21"/>
        <v/>
      </c>
      <c r="M190" s="12" t="str">
        <f t="shared" si="22"/>
        <v/>
      </c>
      <c r="N190" s="8" t="str">
        <f t="shared" si="23"/>
        <v/>
      </c>
      <c r="O190" s="9"/>
      <c r="P190" s="31"/>
      <c r="Q190" s="8" t="str">
        <f t="shared" si="24"/>
        <v/>
      </c>
      <c r="R190" s="8" t="str">
        <f t="shared" si="25"/>
        <v/>
      </c>
      <c r="S190" s="8">
        <f>IF(OR(R190="",D190=""),0,IF(SUMPRODUCT(--(R$4:R190=R190))&gt;1,1,0))</f>
        <v>0</v>
      </c>
      <c r="T190" s="8">
        <f t="shared" si="26"/>
        <v>0</v>
      </c>
    </row>
    <row r="191" spans="1:20" x14ac:dyDescent="0.25">
      <c r="A191" s="8">
        <v>188</v>
      </c>
      <c r="B191" s="9"/>
      <c r="C191" s="33" t="str">
        <f t="shared" si="18"/>
        <v/>
      </c>
      <c r="D191" s="9"/>
      <c r="E191" s="31"/>
      <c r="F191" s="11"/>
      <c r="G191" s="11"/>
      <c r="H191" s="9"/>
      <c r="I191" s="12" t="str">
        <f t="shared" si="19"/>
        <v/>
      </c>
      <c r="J191" s="12" t="str">
        <f t="shared" si="20"/>
        <v/>
      </c>
      <c r="K191" s="11"/>
      <c r="L191" s="12" t="str">
        <f t="shared" si="21"/>
        <v/>
      </c>
      <c r="M191" s="12" t="str">
        <f t="shared" si="22"/>
        <v/>
      </c>
      <c r="N191" s="8" t="str">
        <f t="shared" si="23"/>
        <v/>
      </c>
      <c r="O191" s="9"/>
      <c r="P191" s="31"/>
      <c r="Q191" s="8" t="str">
        <f t="shared" si="24"/>
        <v/>
      </c>
      <c r="R191" s="8" t="str">
        <f t="shared" si="25"/>
        <v/>
      </c>
      <c r="S191" s="8">
        <f>IF(OR(R191="",D191=""),0,IF(SUMPRODUCT(--(R$4:R191=R191))&gt;1,1,0))</f>
        <v>0</v>
      </c>
      <c r="T191" s="8">
        <f t="shared" si="26"/>
        <v>0</v>
      </c>
    </row>
    <row r="192" spans="1:20" x14ac:dyDescent="0.25">
      <c r="A192" s="8">
        <v>189</v>
      </c>
      <c r="B192" s="9"/>
      <c r="C192" s="33" t="str">
        <f t="shared" si="18"/>
        <v/>
      </c>
      <c r="D192" s="9"/>
      <c r="E192" s="31"/>
      <c r="F192" s="11"/>
      <c r="G192" s="11"/>
      <c r="H192" s="9"/>
      <c r="I192" s="12" t="str">
        <f t="shared" si="19"/>
        <v/>
      </c>
      <c r="J192" s="12" t="str">
        <f t="shared" si="20"/>
        <v/>
      </c>
      <c r="K192" s="11"/>
      <c r="L192" s="12" t="str">
        <f t="shared" si="21"/>
        <v/>
      </c>
      <c r="M192" s="12" t="str">
        <f t="shared" si="22"/>
        <v/>
      </c>
      <c r="N192" s="8" t="str">
        <f t="shared" si="23"/>
        <v/>
      </c>
      <c r="O192" s="9"/>
      <c r="P192" s="31"/>
      <c r="Q192" s="8" t="str">
        <f t="shared" si="24"/>
        <v/>
      </c>
      <c r="R192" s="8" t="str">
        <f t="shared" si="25"/>
        <v/>
      </c>
      <c r="S192" s="8">
        <f>IF(OR(R192="",D192=""),0,IF(SUMPRODUCT(--(R$4:R192=R192))&gt;1,1,0))</f>
        <v>0</v>
      </c>
      <c r="T192" s="8">
        <f t="shared" si="26"/>
        <v>0</v>
      </c>
    </row>
    <row r="193" spans="1:20" x14ac:dyDescent="0.25">
      <c r="A193" s="8">
        <v>190</v>
      </c>
      <c r="B193" s="9"/>
      <c r="C193" s="33" t="str">
        <f t="shared" si="18"/>
        <v/>
      </c>
      <c r="D193" s="9"/>
      <c r="E193" s="31"/>
      <c r="F193" s="11"/>
      <c r="G193" s="11"/>
      <c r="H193" s="9"/>
      <c r="I193" s="12" t="str">
        <f t="shared" si="19"/>
        <v/>
      </c>
      <c r="J193" s="12" t="str">
        <f t="shared" si="20"/>
        <v/>
      </c>
      <c r="K193" s="11"/>
      <c r="L193" s="12" t="str">
        <f t="shared" si="21"/>
        <v/>
      </c>
      <c r="M193" s="12" t="str">
        <f t="shared" si="22"/>
        <v/>
      </c>
      <c r="N193" s="8" t="str">
        <f t="shared" si="23"/>
        <v/>
      </c>
      <c r="O193" s="9"/>
      <c r="P193" s="31"/>
      <c r="Q193" s="8" t="str">
        <f t="shared" si="24"/>
        <v/>
      </c>
      <c r="R193" s="8" t="str">
        <f t="shared" si="25"/>
        <v/>
      </c>
      <c r="S193" s="8">
        <f>IF(OR(R193="",D193=""),0,IF(SUMPRODUCT(--(R$4:R193=R193))&gt;1,1,0))</f>
        <v>0</v>
      </c>
      <c r="T193" s="8">
        <f t="shared" si="26"/>
        <v>0</v>
      </c>
    </row>
    <row r="194" spans="1:20" x14ac:dyDescent="0.25">
      <c r="A194" s="8">
        <v>191</v>
      </c>
      <c r="B194" s="9"/>
      <c r="C194" s="33" t="str">
        <f t="shared" si="18"/>
        <v/>
      </c>
      <c r="D194" s="9"/>
      <c r="E194" s="31"/>
      <c r="F194" s="11"/>
      <c r="G194" s="11"/>
      <c r="H194" s="9"/>
      <c r="I194" s="12" t="str">
        <f t="shared" si="19"/>
        <v/>
      </c>
      <c r="J194" s="12" t="str">
        <f t="shared" si="20"/>
        <v/>
      </c>
      <c r="K194" s="11"/>
      <c r="L194" s="12" t="str">
        <f t="shared" si="21"/>
        <v/>
      </c>
      <c r="M194" s="12" t="str">
        <f t="shared" si="22"/>
        <v/>
      </c>
      <c r="N194" s="8" t="str">
        <f t="shared" si="23"/>
        <v/>
      </c>
      <c r="O194" s="9"/>
      <c r="P194" s="31"/>
      <c r="Q194" s="8" t="str">
        <f t="shared" si="24"/>
        <v/>
      </c>
      <c r="R194" s="8" t="str">
        <f t="shared" si="25"/>
        <v/>
      </c>
      <c r="S194" s="8">
        <f>IF(OR(R194="",D194=""),0,IF(SUMPRODUCT(--(R$4:R194=R194))&gt;1,1,0))</f>
        <v>0</v>
      </c>
      <c r="T194" s="8">
        <f t="shared" si="26"/>
        <v>0</v>
      </c>
    </row>
    <row r="195" spans="1:20" x14ac:dyDescent="0.25">
      <c r="A195" s="8">
        <v>192</v>
      </c>
      <c r="B195" s="9"/>
      <c r="C195" s="33" t="str">
        <f t="shared" si="18"/>
        <v/>
      </c>
      <c r="D195" s="9"/>
      <c r="E195" s="31"/>
      <c r="F195" s="11"/>
      <c r="G195" s="11"/>
      <c r="H195" s="9"/>
      <c r="I195" s="12" t="str">
        <f t="shared" si="19"/>
        <v/>
      </c>
      <c r="J195" s="12" t="str">
        <f t="shared" si="20"/>
        <v/>
      </c>
      <c r="K195" s="11"/>
      <c r="L195" s="12" t="str">
        <f t="shared" si="21"/>
        <v/>
      </c>
      <c r="M195" s="12" t="str">
        <f t="shared" si="22"/>
        <v/>
      </c>
      <c r="N195" s="8" t="str">
        <f t="shared" si="23"/>
        <v/>
      </c>
      <c r="O195" s="9"/>
      <c r="P195" s="31"/>
      <c r="Q195" s="8" t="str">
        <f t="shared" si="24"/>
        <v/>
      </c>
      <c r="R195" s="8" t="str">
        <f t="shared" si="25"/>
        <v/>
      </c>
      <c r="S195" s="8">
        <f>IF(OR(R195="",D195=""),0,IF(SUMPRODUCT(--(R$4:R195=R195))&gt;1,1,0))</f>
        <v>0</v>
      </c>
      <c r="T195" s="8">
        <f t="shared" si="26"/>
        <v>0</v>
      </c>
    </row>
    <row r="196" spans="1:20" x14ac:dyDescent="0.25">
      <c r="A196" s="8">
        <v>193</v>
      </c>
      <c r="B196" s="9"/>
      <c r="C196" s="33" t="str">
        <f t="shared" ref="C196:C259" si="27">IF(B196="","",IFERROR(INDEX(SpaceNames,MATCH(B196,SpaceCodes,0))&amp;"",""))</f>
        <v/>
      </c>
      <c r="D196" s="9"/>
      <c r="E196" s="31"/>
      <c r="F196" s="11"/>
      <c r="G196" s="11"/>
      <c r="H196" s="9"/>
      <c r="I196" s="12" t="str">
        <f t="shared" ref="I196:I259" si="28">IF(R196="","",IF(S196=1,0,IF(AND(F196&lt;&gt;"",G196&lt;&gt;""),F196*G196*IF(H196="",1,H196),"")))</f>
        <v/>
      </c>
      <c r="J196" s="12" t="str">
        <f t="shared" ref="J196:J259" si="29">IF(R196="","",IF(T196=0,0,T196*SUMIFS(OP_Area,OP_Space,B196,OP_Wall,D196,OP_DedPl,"نعم")))</f>
        <v/>
      </c>
      <c r="K196" s="11"/>
      <c r="L196" s="12" t="str">
        <f t="shared" ref="L196:L259" si="30">IF(OR(R196="",I196=""),"",N(J196)+N(K196))</f>
        <v/>
      </c>
      <c r="M196" s="12" t="str">
        <f t="shared" ref="M196:M259" si="31">IF(OR(R196="",I196=""),"",I196-L196)</f>
        <v/>
      </c>
      <c r="N196" s="8" t="str">
        <f t="shared" ref="N196:N259" si="32">IF(E196="","",IFERROR(IF(INDEX(PlUnit,MATCH(E196,PlMat,0))="","م²",INDEX(PlUnit,MATCH(E196,PlMat,0))),"م²"))</f>
        <v/>
      </c>
      <c r="O196" s="9"/>
      <c r="P196" s="31"/>
      <c r="Q196" s="8" t="str">
        <f t="shared" ref="Q196:Q259" si="33">IF(R196="","",IF(S196=1,"تكرار — غير محتسب",IF(B196="","ناقص بيانات: كود الفراغ",IF(COUNTIF(SpaceCodes,B196)=0,"ناقص بيانات: الفراغ غير مسجل",IF(D196="","ناقص بيانات: كود الحائط",IF(E196="","ناقص بيانات: نوع البند",IF(I196="","ناقص قياس",IF(L196&gt;I196+0.000001,"خطأ خصم: الخصم أكبر من الإجمالي",IF(O196="نعم","يحتاج مراجعة","مكتمل")))))))))</f>
        <v/>
      </c>
      <c r="R196" s="8" t="str">
        <f t="shared" ref="R196:R259" si="34">IF(COUNTA(B196,D196:H196,K196)=0,"",B196&amp;"|"&amp;D196&amp;"|"&amp;E196)</f>
        <v/>
      </c>
      <c r="S196" s="8">
        <f>IF(OR(R196="",D196=""),0,IF(SUMPRODUCT(--(R$4:R196=R196))&gt;1,1,0))</f>
        <v>0</v>
      </c>
      <c r="T196" s="8">
        <f t="shared" ref="T196:T259" si="35">IF(OR(R196="",S196=1,B196="",D196=""),0,IF(H196="",1,H196))</f>
        <v>0</v>
      </c>
    </row>
    <row r="197" spans="1:20" x14ac:dyDescent="0.25">
      <c r="A197" s="8">
        <v>194</v>
      </c>
      <c r="B197" s="9"/>
      <c r="C197" s="33" t="str">
        <f t="shared" si="27"/>
        <v/>
      </c>
      <c r="D197" s="9"/>
      <c r="E197" s="31"/>
      <c r="F197" s="11"/>
      <c r="G197" s="11"/>
      <c r="H197" s="9"/>
      <c r="I197" s="12" t="str">
        <f t="shared" si="28"/>
        <v/>
      </c>
      <c r="J197" s="12" t="str">
        <f t="shared" si="29"/>
        <v/>
      </c>
      <c r="K197" s="11"/>
      <c r="L197" s="12" t="str">
        <f t="shared" si="30"/>
        <v/>
      </c>
      <c r="M197" s="12" t="str">
        <f t="shared" si="31"/>
        <v/>
      </c>
      <c r="N197" s="8" t="str">
        <f t="shared" si="32"/>
        <v/>
      </c>
      <c r="O197" s="9"/>
      <c r="P197" s="31"/>
      <c r="Q197" s="8" t="str">
        <f t="shared" si="33"/>
        <v/>
      </c>
      <c r="R197" s="8" t="str">
        <f t="shared" si="34"/>
        <v/>
      </c>
      <c r="S197" s="8">
        <f>IF(OR(R197="",D197=""),0,IF(SUMPRODUCT(--(R$4:R197=R197))&gt;1,1,0))</f>
        <v>0</v>
      </c>
      <c r="T197" s="8">
        <f t="shared" si="35"/>
        <v>0</v>
      </c>
    </row>
    <row r="198" spans="1:20" x14ac:dyDescent="0.25">
      <c r="A198" s="8">
        <v>195</v>
      </c>
      <c r="B198" s="9"/>
      <c r="C198" s="33" t="str">
        <f t="shared" si="27"/>
        <v/>
      </c>
      <c r="D198" s="9"/>
      <c r="E198" s="31"/>
      <c r="F198" s="11"/>
      <c r="G198" s="11"/>
      <c r="H198" s="9"/>
      <c r="I198" s="12" t="str">
        <f t="shared" si="28"/>
        <v/>
      </c>
      <c r="J198" s="12" t="str">
        <f t="shared" si="29"/>
        <v/>
      </c>
      <c r="K198" s="11"/>
      <c r="L198" s="12" t="str">
        <f t="shared" si="30"/>
        <v/>
      </c>
      <c r="M198" s="12" t="str">
        <f t="shared" si="31"/>
        <v/>
      </c>
      <c r="N198" s="8" t="str">
        <f t="shared" si="32"/>
        <v/>
      </c>
      <c r="O198" s="9"/>
      <c r="P198" s="31"/>
      <c r="Q198" s="8" t="str">
        <f t="shared" si="33"/>
        <v/>
      </c>
      <c r="R198" s="8" t="str">
        <f t="shared" si="34"/>
        <v/>
      </c>
      <c r="S198" s="8">
        <f>IF(OR(R198="",D198=""),0,IF(SUMPRODUCT(--(R$4:R198=R198))&gt;1,1,0))</f>
        <v>0</v>
      </c>
      <c r="T198" s="8">
        <f t="shared" si="35"/>
        <v>0</v>
      </c>
    </row>
    <row r="199" spans="1:20" x14ac:dyDescent="0.25">
      <c r="A199" s="8">
        <v>196</v>
      </c>
      <c r="B199" s="9"/>
      <c r="C199" s="33" t="str">
        <f t="shared" si="27"/>
        <v/>
      </c>
      <c r="D199" s="9"/>
      <c r="E199" s="31"/>
      <c r="F199" s="11"/>
      <c r="G199" s="11"/>
      <c r="H199" s="9"/>
      <c r="I199" s="12" t="str">
        <f t="shared" si="28"/>
        <v/>
      </c>
      <c r="J199" s="12" t="str">
        <f t="shared" si="29"/>
        <v/>
      </c>
      <c r="K199" s="11"/>
      <c r="L199" s="12" t="str">
        <f t="shared" si="30"/>
        <v/>
      </c>
      <c r="M199" s="12" t="str">
        <f t="shared" si="31"/>
        <v/>
      </c>
      <c r="N199" s="8" t="str">
        <f t="shared" si="32"/>
        <v/>
      </c>
      <c r="O199" s="9"/>
      <c r="P199" s="31"/>
      <c r="Q199" s="8" t="str">
        <f t="shared" si="33"/>
        <v/>
      </c>
      <c r="R199" s="8" t="str">
        <f t="shared" si="34"/>
        <v/>
      </c>
      <c r="S199" s="8">
        <f>IF(OR(R199="",D199=""),0,IF(SUMPRODUCT(--(R$4:R199=R199))&gt;1,1,0))</f>
        <v>0</v>
      </c>
      <c r="T199" s="8">
        <f t="shared" si="35"/>
        <v>0</v>
      </c>
    </row>
    <row r="200" spans="1:20" x14ac:dyDescent="0.25">
      <c r="A200" s="8">
        <v>197</v>
      </c>
      <c r="B200" s="9"/>
      <c r="C200" s="33" t="str">
        <f t="shared" si="27"/>
        <v/>
      </c>
      <c r="D200" s="9"/>
      <c r="E200" s="31"/>
      <c r="F200" s="11"/>
      <c r="G200" s="11"/>
      <c r="H200" s="9"/>
      <c r="I200" s="12" t="str">
        <f t="shared" si="28"/>
        <v/>
      </c>
      <c r="J200" s="12" t="str">
        <f t="shared" si="29"/>
        <v/>
      </c>
      <c r="K200" s="11"/>
      <c r="L200" s="12" t="str">
        <f t="shared" si="30"/>
        <v/>
      </c>
      <c r="M200" s="12" t="str">
        <f t="shared" si="31"/>
        <v/>
      </c>
      <c r="N200" s="8" t="str">
        <f t="shared" si="32"/>
        <v/>
      </c>
      <c r="O200" s="9"/>
      <c r="P200" s="31"/>
      <c r="Q200" s="8" t="str">
        <f t="shared" si="33"/>
        <v/>
      </c>
      <c r="R200" s="8" t="str">
        <f t="shared" si="34"/>
        <v/>
      </c>
      <c r="S200" s="8">
        <f>IF(OR(R200="",D200=""),0,IF(SUMPRODUCT(--(R$4:R200=R200))&gt;1,1,0))</f>
        <v>0</v>
      </c>
      <c r="T200" s="8">
        <f t="shared" si="35"/>
        <v>0</v>
      </c>
    </row>
    <row r="201" spans="1:20" x14ac:dyDescent="0.25">
      <c r="A201" s="8">
        <v>198</v>
      </c>
      <c r="B201" s="9"/>
      <c r="C201" s="33" t="str">
        <f t="shared" si="27"/>
        <v/>
      </c>
      <c r="D201" s="9"/>
      <c r="E201" s="31"/>
      <c r="F201" s="11"/>
      <c r="G201" s="11"/>
      <c r="H201" s="9"/>
      <c r="I201" s="12" t="str">
        <f t="shared" si="28"/>
        <v/>
      </c>
      <c r="J201" s="12" t="str">
        <f t="shared" si="29"/>
        <v/>
      </c>
      <c r="K201" s="11"/>
      <c r="L201" s="12" t="str">
        <f t="shared" si="30"/>
        <v/>
      </c>
      <c r="M201" s="12" t="str">
        <f t="shared" si="31"/>
        <v/>
      </c>
      <c r="N201" s="8" t="str">
        <f t="shared" si="32"/>
        <v/>
      </c>
      <c r="O201" s="9"/>
      <c r="P201" s="31"/>
      <c r="Q201" s="8" t="str">
        <f t="shared" si="33"/>
        <v/>
      </c>
      <c r="R201" s="8" t="str">
        <f t="shared" si="34"/>
        <v/>
      </c>
      <c r="S201" s="8">
        <f>IF(OR(R201="",D201=""),0,IF(SUMPRODUCT(--(R$4:R201=R201))&gt;1,1,0))</f>
        <v>0</v>
      </c>
      <c r="T201" s="8">
        <f t="shared" si="35"/>
        <v>0</v>
      </c>
    </row>
    <row r="202" spans="1:20" x14ac:dyDescent="0.25">
      <c r="A202" s="8">
        <v>199</v>
      </c>
      <c r="B202" s="9"/>
      <c r="C202" s="33" t="str">
        <f t="shared" si="27"/>
        <v/>
      </c>
      <c r="D202" s="9"/>
      <c r="E202" s="31"/>
      <c r="F202" s="11"/>
      <c r="G202" s="11"/>
      <c r="H202" s="9"/>
      <c r="I202" s="12" t="str">
        <f t="shared" si="28"/>
        <v/>
      </c>
      <c r="J202" s="12" t="str">
        <f t="shared" si="29"/>
        <v/>
      </c>
      <c r="K202" s="11"/>
      <c r="L202" s="12" t="str">
        <f t="shared" si="30"/>
        <v/>
      </c>
      <c r="M202" s="12" t="str">
        <f t="shared" si="31"/>
        <v/>
      </c>
      <c r="N202" s="8" t="str">
        <f t="shared" si="32"/>
        <v/>
      </c>
      <c r="O202" s="9"/>
      <c r="P202" s="31"/>
      <c r="Q202" s="8" t="str">
        <f t="shared" si="33"/>
        <v/>
      </c>
      <c r="R202" s="8" t="str">
        <f t="shared" si="34"/>
        <v/>
      </c>
      <c r="S202" s="8">
        <f>IF(OR(R202="",D202=""),0,IF(SUMPRODUCT(--(R$4:R202=R202))&gt;1,1,0))</f>
        <v>0</v>
      </c>
      <c r="T202" s="8">
        <f t="shared" si="35"/>
        <v>0</v>
      </c>
    </row>
    <row r="203" spans="1:20" x14ac:dyDescent="0.25">
      <c r="A203" s="8">
        <v>200</v>
      </c>
      <c r="B203" s="9"/>
      <c r="C203" s="33" t="str">
        <f t="shared" si="27"/>
        <v/>
      </c>
      <c r="D203" s="9"/>
      <c r="E203" s="31"/>
      <c r="F203" s="11"/>
      <c r="G203" s="11"/>
      <c r="H203" s="9"/>
      <c r="I203" s="12" t="str">
        <f t="shared" si="28"/>
        <v/>
      </c>
      <c r="J203" s="12" t="str">
        <f t="shared" si="29"/>
        <v/>
      </c>
      <c r="K203" s="11"/>
      <c r="L203" s="12" t="str">
        <f t="shared" si="30"/>
        <v/>
      </c>
      <c r="M203" s="12" t="str">
        <f t="shared" si="31"/>
        <v/>
      </c>
      <c r="N203" s="8" t="str">
        <f t="shared" si="32"/>
        <v/>
      </c>
      <c r="O203" s="9"/>
      <c r="P203" s="31"/>
      <c r="Q203" s="8" t="str">
        <f t="shared" si="33"/>
        <v/>
      </c>
      <c r="R203" s="8" t="str">
        <f t="shared" si="34"/>
        <v/>
      </c>
      <c r="S203" s="8">
        <f>IF(OR(R203="",D203=""),0,IF(SUMPRODUCT(--(R$4:R203=R203))&gt;1,1,0))</f>
        <v>0</v>
      </c>
      <c r="T203" s="8">
        <f t="shared" si="35"/>
        <v>0</v>
      </c>
    </row>
    <row r="204" spans="1:20" x14ac:dyDescent="0.25">
      <c r="A204" s="8">
        <v>201</v>
      </c>
      <c r="B204" s="9"/>
      <c r="C204" s="33" t="str">
        <f t="shared" si="27"/>
        <v/>
      </c>
      <c r="D204" s="9"/>
      <c r="E204" s="31"/>
      <c r="F204" s="11"/>
      <c r="G204" s="11"/>
      <c r="H204" s="9"/>
      <c r="I204" s="12" t="str">
        <f t="shared" si="28"/>
        <v/>
      </c>
      <c r="J204" s="12" t="str">
        <f t="shared" si="29"/>
        <v/>
      </c>
      <c r="K204" s="11"/>
      <c r="L204" s="12" t="str">
        <f t="shared" si="30"/>
        <v/>
      </c>
      <c r="M204" s="12" t="str">
        <f t="shared" si="31"/>
        <v/>
      </c>
      <c r="N204" s="8" t="str">
        <f t="shared" si="32"/>
        <v/>
      </c>
      <c r="O204" s="9"/>
      <c r="P204" s="31"/>
      <c r="Q204" s="8" t="str">
        <f t="shared" si="33"/>
        <v/>
      </c>
      <c r="R204" s="8" t="str">
        <f t="shared" si="34"/>
        <v/>
      </c>
      <c r="S204" s="8">
        <f>IF(OR(R204="",D204=""),0,IF(SUMPRODUCT(--(R$4:R204=R204))&gt;1,1,0))</f>
        <v>0</v>
      </c>
      <c r="T204" s="8">
        <f t="shared" si="35"/>
        <v>0</v>
      </c>
    </row>
    <row r="205" spans="1:20" x14ac:dyDescent="0.25">
      <c r="A205" s="8">
        <v>202</v>
      </c>
      <c r="B205" s="9"/>
      <c r="C205" s="33" t="str">
        <f t="shared" si="27"/>
        <v/>
      </c>
      <c r="D205" s="9"/>
      <c r="E205" s="31"/>
      <c r="F205" s="11"/>
      <c r="G205" s="11"/>
      <c r="H205" s="9"/>
      <c r="I205" s="12" t="str">
        <f t="shared" si="28"/>
        <v/>
      </c>
      <c r="J205" s="12" t="str">
        <f t="shared" si="29"/>
        <v/>
      </c>
      <c r="K205" s="11"/>
      <c r="L205" s="12" t="str">
        <f t="shared" si="30"/>
        <v/>
      </c>
      <c r="M205" s="12" t="str">
        <f t="shared" si="31"/>
        <v/>
      </c>
      <c r="N205" s="8" t="str">
        <f t="shared" si="32"/>
        <v/>
      </c>
      <c r="O205" s="9"/>
      <c r="P205" s="31"/>
      <c r="Q205" s="8" t="str">
        <f t="shared" si="33"/>
        <v/>
      </c>
      <c r="R205" s="8" t="str">
        <f t="shared" si="34"/>
        <v/>
      </c>
      <c r="S205" s="8">
        <f>IF(OR(R205="",D205=""),0,IF(SUMPRODUCT(--(R$4:R205=R205))&gt;1,1,0))</f>
        <v>0</v>
      </c>
      <c r="T205" s="8">
        <f t="shared" si="35"/>
        <v>0</v>
      </c>
    </row>
    <row r="206" spans="1:20" x14ac:dyDescent="0.25">
      <c r="A206" s="8">
        <v>203</v>
      </c>
      <c r="B206" s="9"/>
      <c r="C206" s="33" t="str">
        <f t="shared" si="27"/>
        <v/>
      </c>
      <c r="D206" s="9"/>
      <c r="E206" s="31"/>
      <c r="F206" s="11"/>
      <c r="G206" s="11"/>
      <c r="H206" s="9"/>
      <c r="I206" s="12" t="str">
        <f t="shared" si="28"/>
        <v/>
      </c>
      <c r="J206" s="12" t="str">
        <f t="shared" si="29"/>
        <v/>
      </c>
      <c r="K206" s="11"/>
      <c r="L206" s="12" t="str">
        <f t="shared" si="30"/>
        <v/>
      </c>
      <c r="M206" s="12" t="str">
        <f t="shared" si="31"/>
        <v/>
      </c>
      <c r="N206" s="8" t="str">
        <f t="shared" si="32"/>
        <v/>
      </c>
      <c r="O206" s="9"/>
      <c r="P206" s="31"/>
      <c r="Q206" s="8" t="str">
        <f t="shared" si="33"/>
        <v/>
      </c>
      <c r="R206" s="8" t="str">
        <f t="shared" si="34"/>
        <v/>
      </c>
      <c r="S206" s="8">
        <f>IF(OR(R206="",D206=""),0,IF(SUMPRODUCT(--(R$4:R206=R206))&gt;1,1,0))</f>
        <v>0</v>
      </c>
      <c r="T206" s="8">
        <f t="shared" si="35"/>
        <v>0</v>
      </c>
    </row>
    <row r="207" spans="1:20" x14ac:dyDescent="0.25">
      <c r="A207" s="8">
        <v>204</v>
      </c>
      <c r="B207" s="9"/>
      <c r="C207" s="33" t="str">
        <f t="shared" si="27"/>
        <v/>
      </c>
      <c r="D207" s="9"/>
      <c r="E207" s="31"/>
      <c r="F207" s="11"/>
      <c r="G207" s="11"/>
      <c r="H207" s="9"/>
      <c r="I207" s="12" t="str">
        <f t="shared" si="28"/>
        <v/>
      </c>
      <c r="J207" s="12" t="str">
        <f t="shared" si="29"/>
        <v/>
      </c>
      <c r="K207" s="11"/>
      <c r="L207" s="12" t="str">
        <f t="shared" si="30"/>
        <v/>
      </c>
      <c r="M207" s="12" t="str">
        <f t="shared" si="31"/>
        <v/>
      </c>
      <c r="N207" s="8" t="str">
        <f t="shared" si="32"/>
        <v/>
      </c>
      <c r="O207" s="9"/>
      <c r="P207" s="31"/>
      <c r="Q207" s="8" t="str">
        <f t="shared" si="33"/>
        <v/>
      </c>
      <c r="R207" s="8" t="str">
        <f t="shared" si="34"/>
        <v/>
      </c>
      <c r="S207" s="8">
        <f>IF(OR(R207="",D207=""),0,IF(SUMPRODUCT(--(R$4:R207=R207))&gt;1,1,0))</f>
        <v>0</v>
      </c>
      <c r="T207" s="8">
        <f t="shared" si="35"/>
        <v>0</v>
      </c>
    </row>
    <row r="208" spans="1:20" x14ac:dyDescent="0.25">
      <c r="A208" s="8">
        <v>205</v>
      </c>
      <c r="B208" s="9"/>
      <c r="C208" s="33" t="str">
        <f t="shared" si="27"/>
        <v/>
      </c>
      <c r="D208" s="9"/>
      <c r="E208" s="31"/>
      <c r="F208" s="11"/>
      <c r="G208" s="11"/>
      <c r="H208" s="9"/>
      <c r="I208" s="12" t="str">
        <f t="shared" si="28"/>
        <v/>
      </c>
      <c r="J208" s="12" t="str">
        <f t="shared" si="29"/>
        <v/>
      </c>
      <c r="K208" s="11"/>
      <c r="L208" s="12" t="str">
        <f t="shared" si="30"/>
        <v/>
      </c>
      <c r="M208" s="12" t="str">
        <f t="shared" si="31"/>
        <v/>
      </c>
      <c r="N208" s="8" t="str">
        <f t="shared" si="32"/>
        <v/>
      </c>
      <c r="O208" s="9"/>
      <c r="P208" s="31"/>
      <c r="Q208" s="8" t="str">
        <f t="shared" si="33"/>
        <v/>
      </c>
      <c r="R208" s="8" t="str">
        <f t="shared" si="34"/>
        <v/>
      </c>
      <c r="S208" s="8">
        <f>IF(OR(R208="",D208=""),0,IF(SUMPRODUCT(--(R$4:R208=R208))&gt;1,1,0))</f>
        <v>0</v>
      </c>
      <c r="T208" s="8">
        <f t="shared" si="35"/>
        <v>0</v>
      </c>
    </row>
    <row r="209" spans="1:20" x14ac:dyDescent="0.25">
      <c r="A209" s="8">
        <v>206</v>
      </c>
      <c r="B209" s="9"/>
      <c r="C209" s="33" t="str">
        <f t="shared" si="27"/>
        <v/>
      </c>
      <c r="D209" s="9"/>
      <c r="E209" s="31"/>
      <c r="F209" s="11"/>
      <c r="G209" s="11"/>
      <c r="H209" s="9"/>
      <c r="I209" s="12" t="str">
        <f t="shared" si="28"/>
        <v/>
      </c>
      <c r="J209" s="12" t="str">
        <f t="shared" si="29"/>
        <v/>
      </c>
      <c r="K209" s="11"/>
      <c r="L209" s="12" t="str">
        <f t="shared" si="30"/>
        <v/>
      </c>
      <c r="M209" s="12" t="str">
        <f t="shared" si="31"/>
        <v/>
      </c>
      <c r="N209" s="8" t="str">
        <f t="shared" si="32"/>
        <v/>
      </c>
      <c r="O209" s="9"/>
      <c r="P209" s="31"/>
      <c r="Q209" s="8" t="str">
        <f t="shared" si="33"/>
        <v/>
      </c>
      <c r="R209" s="8" t="str">
        <f t="shared" si="34"/>
        <v/>
      </c>
      <c r="S209" s="8">
        <f>IF(OR(R209="",D209=""),0,IF(SUMPRODUCT(--(R$4:R209=R209))&gt;1,1,0))</f>
        <v>0</v>
      </c>
      <c r="T209" s="8">
        <f t="shared" si="35"/>
        <v>0</v>
      </c>
    </row>
    <row r="210" spans="1:20" x14ac:dyDescent="0.25">
      <c r="A210" s="8">
        <v>207</v>
      </c>
      <c r="B210" s="9"/>
      <c r="C210" s="33" t="str">
        <f t="shared" si="27"/>
        <v/>
      </c>
      <c r="D210" s="9"/>
      <c r="E210" s="31"/>
      <c r="F210" s="11"/>
      <c r="G210" s="11"/>
      <c r="H210" s="9"/>
      <c r="I210" s="12" t="str">
        <f t="shared" si="28"/>
        <v/>
      </c>
      <c r="J210" s="12" t="str">
        <f t="shared" si="29"/>
        <v/>
      </c>
      <c r="K210" s="11"/>
      <c r="L210" s="12" t="str">
        <f t="shared" si="30"/>
        <v/>
      </c>
      <c r="M210" s="12" t="str">
        <f t="shared" si="31"/>
        <v/>
      </c>
      <c r="N210" s="8" t="str">
        <f t="shared" si="32"/>
        <v/>
      </c>
      <c r="O210" s="9"/>
      <c r="P210" s="31"/>
      <c r="Q210" s="8" t="str">
        <f t="shared" si="33"/>
        <v/>
      </c>
      <c r="R210" s="8" t="str">
        <f t="shared" si="34"/>
        <v/>
      </c>
      <c r="S210" s="8">
        <f>IF(OR(R210="",D210=""),0,IF(SUMPRODUCT(--(R$4:R210=R210))&gt;1,1,0))</f>
        <v>0</v>
      </c>
      <c r="T210" s="8">
        <f t="shared" si="35"/>
        <v>0</v>
      </c>
    </row>
    <row r="211" spans="1:20" x14ac:dyDescent="0.25">
      <c r="A211" s="8">
        <v>208</v>
      </c>
      <c r="B211" s="9"/>
      <c r="C211" s="33" t="str">
        <f t="shared" si="27"/>
        <v/>
      </c>
      <c r="D211" s="9"/>
      <c r="E211" s="31"/>
      <c r="F211" s="11"/>
      <c r="G211" s="11"/>
      <c r="H211" s="9"/>
      <c r="I211" s="12" t="str">
        <f t="shared" si="28"/>
        <v/>
      </c>
      <c r="J211" s="12" t="str">
        <f t="shared" si="29"/>
        <v/>
      </c>
      <c r="K211" s="11"/>
      <c r="L211" s="12" t="str">
        <f t="shared" si="30"/>
        <v/>
      </c>
      <c r="M211" s="12" t="str">
        <f t="shared" si="31"/>
        <v/>
      </c>
      <c r="N211" s="8" t="str">
        <f t="shared" si="32"/>
        <v/>
      </c>
      <c r="O211" s="9"/>
      <c r="P211" s="31"/>
      <c r="Q211" s="8" t="str">
        <f t="shared" si="33"/>
        <v/>
      </c>
      <c r="R211" s="8" t="str">
        <f t="shared" si="34"/>
        <v/>
      </c>
      <c r="S211" s="8">
        <f>IF(OR(R211="",D211=""),0,IF(SUMPRODUCT(--(R$4:R211=R211))&gt;1,1,0))</f>
        <v>0</v>
      </c>
      <c r="T211" s="8">
        <f t="shared" si="35"/>
        <v>0</v>
      </c>
    </row>
    <row r="212" spans="1:20" x14ac:dyDescent="0.25">
      <c r="A212" s="8">
        <v>209</v>
      </c>
      <c r="B212" s="9"/>
      <c r="C212" s="33" t="str">
        <f t="shared" si="27"/>
        <v/>
      </c>
      <c r="D212" s="9"/>
      <c r="E212" s="31"/>
      <c r="F212" s="11"/>
      <c r="G212" s="11"/>
      <c r="H212" s="9"/>
      <c r="I212" s="12" t="str">
        <f t="shared" si="28"/>
        <v/>
      </c>
      <c r="J212" s="12" t="str">
        <f t="shared" si="29"/>
        <v/>
      </c>
      <c r="K212" s="11"/>
      <c r="L212" s="12" t="str">
        <f t="shared" si="30"/>
        <v/>
      </c>
      <c r="M212" s="12" t="str">
        <f t="shared" si="31"/>
        <v/>
      </c>
      <c r="N212" s="8" t="str">
        <f t="shared" si="32"/>
        <v/>
      </c>
      <c r="O212" s="9"/>
      <c r="P212" s="31"/>
      <c r="Q212" s="8" t="str">
        <f t="shared" si="33"/>
        <v/>
      </c>
      <c r="R212" s="8" t="str">
        <f t="shared" si="34"/>
        <v/>
      </c>
      <c r="S212" s="8">
        <f>IF(OR(R212="",D212=""),0,IF(SUMPRODUCT(--(R$4:R212=R212))&gt;1,1,0))</f>
        <v>0</v>
      </c>
      <c r="T212" s="8">
        <f t="shared" si="35"/>
        <v>0</v>
      </c>
    </row>
    <row r="213" spans="1:20" x14ac:dyDescent="0.25">
      <c r="A213" s="8">
        <v>210</v>
      </c>
      <c r="B213" s="9"/>
      <c r="C213" s="33" t="str">
        <f t="shared" si="27"/>
        <v/>
      </c>
      <c r="D213" s="9"/>
      <c r="E213" s="31"/>
      <c r="F213" s="11"/>
      <c r="G213" s="11"/>
      <c r="H213" s="9"/>
      <c r="I213" s="12" t="str">
        <f t="shared" si="28"/>
        <v/>
      </c>
      <c r="J213" s="12" t="str">
        <f t="shared" si="29"/>
        <v/>
      </c>
      <c r="K213" s="11"/>
      <c r="L213" s="12" t="str">
        <f t="shared" si="30"/>
        <v/>
      </c>
      <c r="M213" s="12" t="str">
        <f t="shared" si="31"/>
        <v/>
      </c>
      <c r="N213" s="8" t="str">
        <f t="shared" si="32"/>
        <v/>
      </c>
      <c r="O213" s="9"/>
      <c r="P213" s="31"/>
      <c r="Q213" s="8" t="str">
        <f t="shared" si="33"/>
        <v/>
      </c>
      <c r="R213" s="8" t="str">
        <f t="shared" si="34"/>
        <v/>
      </c>
      <c r="S213" s="8">
        <f>IF(OR(R213="",D213=""),0,IF(SUMPRODUCT(--(R$4:R213=R213))&gt;1,1,0))</f>
        <v>0</v>
      </c>
      <c r="T213" s="8">
        <f t="shared" si="35"/>
        <v>0</v>
      </c>
    </row>
    <row r="214" spans="1:20" x14ac:dyDescent="0.25">
      <c r="A214" s="8">
        <v>211</v>
      </c>
      <c r="B214" s="9"/>
      <c r="C214" s="33" t="str">
        <f t="shared" si="27"/>
        <v/>
      </c>
      <c r="D214" s="9"/>
      <c r="E214" s="31"/>
      <c r="F214" s="11"/>
      <c r="G214" s="11"/>
      <c r="H214" s="9"/>
      <c r="I214" s="12" t="str">
        <f t="shared" si="28"/>
        <v/>
      </c>
      <c r="J214" s="12" t="str">
        <f t="shared" si="29"/>
        <v/>
      </c>
      <c r="K214" s="11"/>
      <c r="L214" s="12" t="str">
        <f t="shared" si="30"/>
        <v/>
      </c>
      <c r="M214" s="12" t="str">
        <f t="shared" si="31"/>
        <v/>
      </c>
      <c r="N214" s="8" t="str">
        <f t="shared" si="32"/>
        <v/>
      </c>
      <c r="O214" s="9"/>
      <c r="P214" s="31"/>
      <c r="Q214" s="8" t="str">
        <f t="shared" si="33"/>
        <v/>
      </c>
      <c r="R214" s="8" t="str">
        <f t="shared" si="34"/>
        <v/>
      </c>
      <c r="S214" s="8">
        <f>IF(OR(R214="",D214=""),0,IF(SUMPRODUCT(--(R$4:R214=R214))&gt;1,1,0))</f>
        <v>0</v>
      </c>
      <c r="T214" s="8">
        <f t="shared" si="35"/>
        <v>0</v>
      </c>
    </row>
    <row r="215" spans="1:20" x14ac:dyDescent="0.25">
      <c r="A215" s="8">
        <v>212</v>
      </c>
      <c r="B215" s="9"/>
      <c r="C215" s="33" t="str">
        <f t="shared" si="27"/>
        <v/>
      </c>
      <c r="D215" s="9"/>
      <c r="E215" s="31"/>
      <c r="F215" s="11"/>
      <c r="G215" s="11"/>
      <c r="H215" s="9"/>
      <c r="I215" s="12" t="str">
        <f t="shared" si="28"/>
        <v/>
      </c>
      <c r="J215" s="12" t="str">
        <f t="shared" si="29"/>
        <v/>
      </c>
      <c r="K215" s="11"/>
      <c r="L215" s="12" t="str">
        <f t="shared" si="30"/>
        <v/>
      </c>
      <c r="M215" s="12" t="str">
        <f t="shared" si="31"/>
        <v/>
      </c>
      <c r="N215" s="8" t="str">
        <f t="shared" si="32"/>
        <v/>
      </c>
      <c r="O215" s="9"/>
      <c r="P215" s="31"/>
      <c r="Q215" s="8" t="str">
        <f t="shared" si="33"/>
        <v/>
      </c>
      <c r="R215" s="8" t="str">
        <f t="shared" si="34"/>
        <v/>
      </c>
      <c r="S215" s="8">
        <f>IF(OR(R215="",D215=""),0,IF(SUMPRODUCT(--(R$4:R215=R215))&gt;1,1,0))</f>
        <v>0</v>
      </c>
      <c r="T215" s="8">
        <f t="shared" si="35"/>
        <v>0</v>
      </c>
    </row>
    <row r="216" spans="1:20" x14ac:dyDescent="0.25">
      <c r="A216" s="8">
        <v>213</v>
      </c>
      <c r="B216" s="9"/>
      <c r="C216" s="33" t="str">
        <f t="shared" si="27"/>
        <v/>
      </c>
      <c r="D216" s="9"/>
      <c r="E216" s="31"/>
      <c r="F216" s="11"/>
      <c r="G216" s="11"/>
      <c r="H216" s="9"/>
      <c r="I216" s="12" t="str">
        <f t="shared" si="28"/>
        <v/>
      </c>
      <c r="J216" s="12" t="str">
        <f t="shared" si="29"/>
        <v/>
      </c>
      <c r="K216" s="11"/>
      <c r="L216" s="12" t="str">
        <f t="shared" si="30"/>
        <v/>
      </c>
      <c r="M216" s="12" t="str">
        <f t="shared" si="31"/>
        <v/>
      </c>
      <c r="N216" s="8" t="str">
        <f t="shared" si="32"/>
        <v/>
      </c>
      <c r="O216" s="9"/>
      <c r="P216" s="31"/>
      <c r="Q216" s="8" t="str">
        <f t="shared" si="33"/>
        <v/>
      </c>
      <c r="R216" s="8" t="str">
        <f t="shared" si="34"/>
        <v/>
      </c>
      <c r="S216" s="8">
        <f>IF(OR(R216="",D216=""),0,IF(SUMPRODUCT(--(R$4:R216=R216))&gt;1,1,0))</f>
        <v>0</v>
      </c>
      <c r="T216" s="8">
        <f t="shared" si="35"/>
        <v>0</v>
      </c>
    </row>
    <row r="217" spans="1:20" x14ac:dyDescent="0.25">
      <c r="A217" s="8">
        <v>214</v>
      </c>
      <c r="B217" s="9"/>
      <c r="C217" s="33" t="str">
        <f t="shared" si="27"/>
        <v/>
      </c>
      <c r="D217" s="9"/>
      <c r="E217" s="31"/>
      <c r="F217" s="11"/>
      <c r="G217" s="11"/>
      <c r="H217" s="9"/>
      <c r="I217" s="12" t="str">
        <f t="shared" si="28"/>
        <v/>
      </c>
      <c r="J217" s="12" t="str">
        <f t="shared" si="29"/>
        <v/>
      </c>
      <c r="K217" s="11"/>
      <c r="L217" s="12" t="str">
        <f t="shared" si="30"/>
        <v/>
      </c>
      <c r="M217" s="12" t="str">
        <f t="shared" si="31"/>
        <v/>
      </c>
      <c r="N217" s="8" t="str">
        <f t="shared" si="32"/>
        <v/>
      </c>
      <c r="O217" s="9"/>
      <c r="P217" s="31"/>
      <c r="Q217" s="8" t="str">
        <f t="shared" si="33"/>
        <v/>
      </c>
      <c r="R217" s="8" t="str">
        <f t="shared" si="34"/>
        <v/>
      </c>
      <c r="S217" s="8">
        <f>IF(OR(R217="",D217=""),0,IF(SUMPRODUCT(--(R$4:R217=R217))&gt;1,1,0))</f>
        <v>0</v>
      </c>
      <c r="T217" s="8">
        <f t="shared" si="35"/>
        <v>0</v>
      </c>
    </row>
    <row r="218" spans="1:20" x14ac:dyDescent="0.25">
      <c r="A218" s="8">
        <v>215</v>
      </c>
      <c r="B218" s="9"/>
      <c r="C218" s="33" t="str">
        <f t="shared" si="27"/>
        <v/>
      </c>
      <c r="D218" s="9"/>
      <c r="E218" s="31"/>
      <c r="F218" s="11"/>
      <c r="G218" s="11"/>
      <c r="H218" s="9"/>
      <c r="I218" s="12" t="str">
        <f t="shared" si="28"/>
        <v/>
      </c>
      <c r="J218" s="12" t="str">
        <f t="shared" si="29"/>
        <v/>
      </c>
      <c r="K218" s="11"/>
      <c r="L218" s="12" t="str">
        <f t="shared" si="30"/>
        <v/>
      </c>
      <c r="M218" s="12" t="str">
        <f t="shared" si="31"/>
        <v/>
      </c>
      <c r="N218" s="8" t="str">
        <f t="shared" si="32"/>
        <v/>
      </c>
      <c r="O218" s="9"/>
      <c r="P218" s="31"/>
      <c r="Q218" s="8" t="str">
        <f t="shared" si="33"/>
        <v/>
      </c>
      <c r="R218" s="8" t="str">
        <f t="shared" si="34"/>
        <v/>
      </c>
      <c r="S218" s="8">
        <f>IF(OR(R218="",D218=""),0,IF(SUMPRODUCT(--(R$4:R218=R218))&gt;1,1,0))</f>
        <v>0</v>
      </c>
      <c r="T218" s="8">
        <f t="shared" si="35"/>
        <v>0</v>
      </c>
    </row>
    <row r="219" spans="1:20" x14ac:dyDescent="0.25">
      <c r="A219" s="8">
        <v>216</v>
      </c>
      <c r="B219" s="9"/>
      <c r="C219" s="33" t="str">
        <f t="shared" si="27"/>
        <v/>
      </c>
      <c r="D219" s="9"/>
      <c r="E219" s="31"/>
      <c r="F219" s="11"/>
      <c r="G219" s="11"/>
      <c r="H219" s="9"/>
      <c r="I219" s="12" t="str">
        <f t="shared" si="28"/>
        <v/>
      </c>
      <c r="J219" s="12" t="str">
        <f t="shared" si="29"/>
        <v/>
      </c>
      <c r="K219" s="11"/>
      <c r="L219" s="12" t="str">
        <f t="shared" si="30"/>
        <v/>
      </c>
      <c r="M219" s="12" t="str">
        <f t="shared" si="31"/>
        <v/>
      </c>
      <c r="N219" s="8" t="str">
        <f t="shared" si="32"/>
        <v/>
      </c>
      <c r="O219" s="9"/>
      <c r="P219" s="31"/>
      <c r="Q219" s="8" t="str">
        <f t="shared" si="33"/>
        <v/>
      </c>
      <c r="R219" s="8" t="str">
        <f t="shared" si="34"/>
        <v/>
      </c>
      <c r="S219" s="8">
        <f>IF(OR(R219="",D219=""),0,IF(SUMPRODUCT(--(R$4:R219=R219))&gt;1,1,0))</f>
        <v>0</v>
      </c>
      <c r="T219" s="8">
        <f t="shared" si="35"/>
        <v>0</v>
      </c>
    </row>
    <row r="220" spans="1:20" x14ac:dyDescent="0.25">
      <c r="A220" s="8">
        <v>217</v>
      </c>
      <c r="B220" s="9"/>
      <c r="C220" s="33" t="str">
        <f t="shared" si="27"/>
        <v/>
      </c>
      <c r="D220" s="9"/>
      <c r="E220" s="31"/>
      <c r="F220" s="11"/>
      <c r="G220" s="11"/>
      <c r="H220" s="9"/>
      <c r="I220" s="12" t="str">
        <f t="shared" si="28"/>
        <v/>
      </c>
      <c r="J220" s="12" t="str">
        <f t="shared" si="29"/>
        <v/>
      </c>
      <c r="K220" s="11"/>
      <c r="L220" s="12" t="str">
        <f t="shared" si="30"/>
        <v/>
      </c>
      <c r="M220" s="12" t="str">
        <f t="shared" si="31"/>
        <v/>
      </c>
      <c r="N220" s="8" t="str">
        <f t="shared" si="32"/>
        <v/>
      </c>
      <c r="O220" s="9"/>
      <c r="P220" s="31"/>
      <c r="Q220" s="8" t="str">
        <f t="shared" si="33"/>
        <v/>
      </c>
      <c r="R220" s="8" t="str">
        <f t="shared" si="34"/>
        <v/>
      </c>
      <c r="S220" s="8">
        <f>IF(OR(R220="",D220=""),0,IF(SUMPRODUCT(--(R$4:R220=R220))&gt;1,1,0))</f>
        <v>0</v>
      </c>
      <c r="T220" s="8">
        <f t="shared" si="35"/>
        <v>0</v>
      </c>
    </row>
    <row r="221" spans="1:20" x14ac:dyDescent="0.25">
      <c r="A221" s="8">
        <v>218</v>
      </c>
      <c r="B221" s="9"/>
      <c r="C221" s="33" t="str">
        <f t="shared" si="27"/>
        <v/>
      </c>
      <c r="D221" s="9"/>
      <c r="E221" s="31"/>
      <c r="F221" s="11"/>
      <c r="G221" s="11"/>
      <c r="H221" s="9"/>
      <c r="I221" s="12" t="str">
        <f t="shared" si="28"/>
        <v/>
      </c>
      <c r="J221" s="12" t="str">
        <f t="shared" si="29"/>
        <v/>
      </c>
      <c r="K221" s="11"/>
      <c r="L221" s="12" t="str">
        <f t="shared" si="30"/>
        <v/>
      </c>
      <c r="M221" s="12" t="str">
        <f t="shared" si="31"/>
        <v/>
      </c>
      <c r="N221" s="8" t="str">
        <f t="shared" si="32"/>
        <v/>
      </c>
      <c r="O221" s="9"/>
      <c r="P221" s="31"/>
      <c r="Q221" s="8" t="str">
        <f t="shared" si="33"/>
        <v/>
      </c>
      <c r="R221" s="8" t="str">
        <f t="shared" si="34"/>
        <v/>
      </c>
      <c r="S221" s="8">
        <f>IF(OR(R221="",D221=""),0,IF(SUMPRODUCT(--(R$4:R221=R221))&gt;1,1,0))</f>
        <v>0</v>
      </c>
      <c r="T221" s="8">
        <f t="shared" si="35"/>
        <v>0</v>
      </c>
    </row>
    <row r="222" spans="1:20" x14ac:dyDescent="0.25">
      <c r="A222" s="8">
        <v>219</v>
      </c>
      <c r="B222" s="9"/>
      <c r="C222" s="33" t="str">
        <f t="shared" si="27"/>
        <v/>
      </c>
      <c r="D222" s="9"/>
      <c r="E222" s="31"/>
      <c r="F222" s="11"/>
      <c r="G222" s="11"/>
      <c r="H222" s="9"/>
      <c r="I222" s="12" t="str">
        <f t="shared" si="28"/>
        <v/>
      </c>
      <c r="J222" s="12" t="str">
        <f t="shared" si="29"/>
        <v/>
      </c>
      <c r="K222" s="11"/>
      <c r="L222" s="12" t="str">
        <f t="shared" si="30"/>
        <v/>
      </c>
      <c r="M222" s="12" t="str">
        <f t="shared" si="31"/>
        <v/>
      </c>
      <c r="N222" s="8" t="str">
        <f t="shared" si="32"/>
        <v/>
      </c>
      <c r="O222" s="9"/>
      <c r="P222" s="31"/>
      <c r="Q222" s="8" t="str">
        <f t="shared" si="33"/>
        <v/>
      </c>
      <c r="R222" s="8" t="str">
        <f t="shared" si="34"/>
        <v/>
      </c>
      <c r="S222" s="8">
        <f>IF(OR(R222="",D222=""),0,IF(SUMPRODUCT(--(R$4:R222=R222))&gt;1,1,0))</f>
        <v>0</v>
      </c>
      <c r="T222" s="8">
        <f t="shared" si="35"/>
        <v>0</v>
      </c>
    </row>
    <row r="223" spans="1:20" x14ac:dyDescent="0.25">
      <c r="A223" s="8">
        <v>220</v>
      </c>
      <c r="B223" s="9"/>
      <c r="C223" s="33" t="str">
        <f t="shared" si="27"/>
        <v/>
      </c>
      <c r="D223" s="9"/>
      <c r="E223" s="31"/>
      <c r="F223" s="11"/>
      <c r="G223" s="11"/>
      <c r="H223" s="9"/>
      <c r="I223" s="12" t="str">
        <f t="shared" si="28"/>
        <v/>
      </c>
      <c r="J223" s="12" t="str">
        <f t="shared" si="29"/>
        <v/>
      </c>
      <c r="K223" s="11"/>
      <c r="L223" s="12" t="str">
        <f t="shared" si="30"/>
        <v/>
      </c>
      <c r="M223" s="12" t="str">
        <f t="shared" si="31"/>
        <v/>
      </c>
      <c r="N223" s="8" t="str">
        <f t="shared" si="32"/>
        <v/>
      </c>
      <c r="O223" s="9"/>
      <c r="P223" s="31"/>
      <c r="Q223" s="8" t="str">
        <f t="shared" si="33"/>
        <v/>
      </c>
      <c r="R223" s="8" t="str">
        <f t="shared" si="34"/>
        <v/>
      </c>
      <c r="S223" s="8">
        <f>IF(OR(R223="",D223=""),0,IF(SUMPRODUCT(--(R$4:R223=R223))&gt;1,1,0))</f>
        <v>0</v>
      </c>
      <c r="T223" s="8">
        <f t="shared" si="35"/>
        <v>0</v>
      </c>
    </row>
    <row r="224" spans="1:20" x14ac:dyDescent="0.25">
      <c r="A224" s="8">
        <v>221</v>
      </c>
      <c r="B224" s="9"/>
      <c r="C224" s="33" t="str">
        <f t="shared" si="27"/>
        <v/>
      </c>
      <c r="D224" s="9"/>
      <c r="E224" s="31"/>
      <c r="F224" s="11"/>
      <c r="G224" s="11"/>
      <c r="H224" s="9"/>
      <c r="I224" s="12" t="str">
        <f t="shared" si="28"/>
        <v/>
      </c>
      <c r="J224" s="12" t="str">
        <f t="shared" si="29"/>
        <v/>
      </c>
      <c r="K224" s="11"/>
      <c r="L224" s="12" t="str">
        <f t="shared" si="30"/>
        <v/>
      </c>
      <c r="M224" s="12" t="str">
        <f t="shared" si="31"/>
        <v/>
      </c>
      <c r="N224" s="8" t="str">
        <f t="shared" si="32"/>
        <v/>
      </c>
      <c r="O224" s="9"/>
      <c r="P224" s="31"/>
      <c r="Q224" s="8" t="str">
        <f t="shared" si="33"/>
        <v/>
      </c>
      <c r="R224" s="8" t="str">
        <f t="shared" si="34"/>
        <v/>
      </c>
      <c r="S224" s="8">
        <f>IF(OR(R224="",D224=""),0,IF(SUMPRODUCT(--(R$4:R224=R224))&gt;1,1,0))</f>
        <v>0</v>
      </c>
      <c r="T224" s="8">
        <f t="shared" si="35"/>
        <v>0</v>
      </c>
    </row>
    <row r="225" spans="1:20" x14ac:dyDescent="0.25">
      <c r="A225" s="8">
        <v>222</v>
      </c>
      <c r="B225" s="9"/>
      <c r="C225" s="33" t="str">
        <f t="shared" si="27"/>
        <v/>
      </c>
      <c r="D225" s="9"/>
      <c r="E225" s="31"/>
      <c r="F225" s="11"/>
      <c r="G225" s="11"/>
      <c r="H225" s="9"/>
      <c r="I225" s="12" t="str">
        <f t="shared" si="28"/>
        <v/>
      </c>
      <c r="J225" s="12" t="str">
        <f t="shared" si="29"/>
        <v/>
      </c>
      <c r="K225" s="11"/>
      <c r="L225" s="12" t="str">
        <f t="shared" si="30"/>
        <v/>
      </c>
      <c r="M225" s="12" t="str">
        <f t="shared" si="31"/>
        <v/>
      </c>
      <c r="N225" s="8" t="str">
        <f t="shared" si="32"/>
        <v/>
      </c>
      <c r="O225" s="9"/>
      <c r="P225" s="31"/>
      <c r="Q225" s="8" t="str">
        <f t="shared" si="33"/>
        <v/>
      </c>
      <c r="R225" s="8" t="str">
        <f t="shared" si="34"/>
        <v/>
      </c>
      <c r="S225" s="8">
        <f>IF(OR(R225="",D225=""),0,IF(SUMPRODUCT(--(R$4:R225=R225))&gt;1,1,0))</f>
        <v>0</v>
      </c>
      <c r="T225" s="8">
        <f t="shared" si="35"/>
        <v>0</v>
      </c>
    </row>
    <row r="226" spans="1:20" x14ac:dyDescent="0.25">
      <c r="A226" s="8">
        <v>223</v>
      </c>
      <c r="B226" s="9"/>
      <c r="C226" s="33" t="str">
        <f t="shared" si="27"/>
        <v/>
      </c>
      <c r="D226" s="9"/>
      <c r="E226" s="31"/>
      <c r="F226" s="11"/>
      <c r="G226" s="11"/>
      <c r="H226" s="9"/>
      <c r="I226" s="12" t="str">
        <f t="shared" si="28"/>
        <v/>
      </c>
      <c r="J226" s="12" t="str">
        <f t="shared" si="29"/>
        <v/>
      </c>
      <c r="K226" s="11"/>
      <c r="L226" s="12" t="str">
        <f t="shared" si="30"/>
        <v/>
      </c>
      <c r="M226" s="12" t="str">
        <f t="shared" si="31"/>
        <v/>
      </c>
      <c r="N226" s="8" t="str">
        <f t="shared" si="32"/>
        <v/>
      </c>
      <c r="O226" s="9"/>
      <c r="P226" s="31"/>
      <c r="Q226" s="8" t="str">
        <f t="shared" si="33"/>
        <v/>
      </c>
      <c r="R226" s="8" t="str">
        <f t="shared" si="34"/>
        <v/>
      </c>
      <c r="S226" s="8">
        <f>IF(OR(R226="",D226=""),0,IF(SUMPRODUCT(--(R$4:R226=R226))&gt;1,1,0))</f>
        <v>0</v>
      </c>
      <c r="T226" s="8">
        <f t="shared" si="35"/>
        <v>0</v>
      </c>
    </row>
    <row r="227" spans="1:20" x14ac:dyDescent="0.25">
      <c r="A227" s="8">
        <v>224</v>
      </c>
      <c r="B227" s="9"/>
      <c r="C227" s="33" t="str">
        <f t="shared" si="27"/>
        <v/>
      </c>
      <c r="D227" s="9"/>
      <c r="E227" s="31"/>
      <c r="F227" s="11"/>
      <c r="G227" s="11"/>
      <c r="H227" s="9"/>
      <c r="I227" s="12" t="str">
        <f t="shared" si="28"/>
        <v/>
      </c>
      <c r="J227" s="12" t="str">
        <f t="shared" si="29"/>
        <v/>
      </c>
      <c r="K227" s="11"/>
      <c r="L227" s="12" t="str">
        <f t="shared" si="30"/>
        <v/>
      </c>
      <c r="M227" s="12" t="str">
        <f t="shared" si="31"/>
        <v/>
      </c>
      <c r="N227" s="8" t="str">
        <f t="shared" si="32"/>
        <v/>
      </c>
      <c r="O227" s="9"/>
      <c r="P227" s="31"/>
      <c r="Q227" s="8" t="str">
        <f t="shared" si="33"/>
        <v/>
      </c>
      <c r="R227" s="8" t="str">
        <f t="shared" si="34"/>
        <v/>
      </c>
      <c r="S227" s="8">
        <f>IF(OR(R227="",D227=""),0,IF(SUMPRODUCT(--(R$4:R227=R227))&gt;1,1,0))</f>
        <v>0</v>
      </c>
      <c r="T227" s="8">
        <f t="shared" si="35"/>
        <v>0</v>
      </c>
    </row>
    <row r="228" spans="1:20" x14ac:dyDescent="0.25">
      <c r="A228" s="8">
        <v>225</v>
      </c>
      <c r="B228" s="9"/>
      <c r="C228" s="33" t="str">
        <f t="shared" si="27"/>
        <v/>
      </c>
      <c r="D228" s="9"/>
      <c r="E228" s="31"/>
      <c r="F228" s="11"/>
      <c r="G228" s="11"/>
      <c r="H228" s="9"/>
      <c r="I228" s="12" t="str">
        <f t="shared" si="28"/>
        <v/>
      </c>
      <c r="J228" s="12" t="str">
        <f t="shared" si="29"/>
        <v/>
      </c>
      <c r="K228" s="11"/>
      <c r="L228" s="12" t="str">
        <f t="shared" si="30"/>
        <v/>
      </c>
      <c r="M228" s="12" t="str">
        <f t="shared" si="31"/>
        <v/>
      </c>
      <c r="N228" s="8" t="str">
        <f t="shared" si="32"/>
        <v/>
      </c>
      <c r="O228" s="9"/>
      <c r="P228" s="31"/>
      <c r="Q228" s="8" t="str">
        <f t="shared" si="33"/>
        <v/>
      </c>
      <c r="R228" s="8" t="str">
        <f t="shared" si="34"/>
        <v/>
      </c>
      <c r="S228" s="8">
        <f>IF(OR(R228="",D228=""),0,IF(SUMPRODUCT(--(R$4:R228=R228))&gt;1,1,0))</f>
        <v>0</v>
      </c>
      <c r="T228" s="8">
        <f t="shared" si="35"/>
        <v>0</v>
      </c>
    </row>
    <row r="229" spans="1:20" x14ac:dyDescent="0.25">
      <c r="A229" s="8">
        <v>226</v>
      </c>
      <c r="B229" s="9"/>
      <c r="C229" s="33" t="str">
        <f t="shared" si="27"/>
        <v/>
      </c>
      <c r="D229" s="9"/>
      <c r="E229" s="31"/>
      <c r="F229" s="11"/>
      <c r="G229" s="11"/>
      <c r="H229" s="9"/>
      <c r="I229" s="12" t="str">
        <f t="shared" si="28"/>
        <v/>
      </c>
      <c r="J229" s="12" t="str">
        <f t="shared" si="29"/>
        <v/>
      </c>
      <c r="K229" s="11"/>
      <c r="L229" s="12" t="str">
        <f t="shared" si="30"/>
        <v/>
      </c>
      <c r="M229" s="12" t="str">
        <f t="shared" si="31"/>
        <v/>
      </c>
      <c r="N229" s="8" t="str">
        <f t="shared" si="32"/>
        <v/>
      </c>
      <c r="O229" s="9"/>
      <c r="P229" s="31"/>
      <c r="Q229" s="8" t="str">
        <f t="shared" si="33"/>
        <v/>
      </c>
      <c r="R229" s="8" t="str">
        <f t="shared" si="34"/>
        <v/>
      </c>
      <c r="S229" s="8">
        <f>IF(OR(R229="",D229=""),0,IF(SUMPRODUCT(--(R$4:R229=R229))&gt;1,1,0))</f>
        <v>0</v>
      </c>
      <c r="T229" s="8">
        <f t="shared" si="35"/>
        <v>0</v>
      </c>
    </row>
    <row r="230" spans="1:20" x14ac:dyDescent="0.25">
      <c r="A230" s="8">
        <v>227</v>
      </c>
      <c r="B230" s="9"/>
      <c r="C230" s="33" t="str">
        <f t="shared" si="27"/>
        <v/>
      </c>
      <c r="D230" s="9"/>
      <c r="E230" s="31"/>
      <c r="F230" s="11"/>
      <c r="G230" s="11"/>
      <c r="H230" s="9"/>
      <c r="I230" s="12" t="str">
        <f t="shared" si="28"/>
        <v/>
      </c>
      <c r="J230" s="12" t="str">
        <f t="shared" si="29"/>
        <v/>
      </c>
      <c r="K230" s="11"/>
      <c r="L230" s="12" t="str">
        <f t="shared" si="30"/>
        <v/>
      </c>
      <c r="M230" s="12" t="str">
        <f t="shared" si="31"/>
        <v/>
      </c>
      <c r="N230" s="8" t="str">
        <f t="shared" si="32"/>
        <v/>
      </c>
      <c r="O230" s="9"/>
      <c r="P230" s="31"/>
      <c r="Q230" s="8" t="str">
        <f t="shared" si="33"/>
        <v/>
      </c>
      <c r="R230" s="8" t="str">
        <f t="shared" si="34"/>
        <v/>
      </c>
      <c r="S230" s="8">
        <f>IF(OR(R230="",D230=""),0,IF(SUMPRODUCT(--(R$4:R230=R230))&gt;1,1,0))</f>
        <v>0</v>
      </c>
      <c r="T230" s="8">
        <f t="shared" si="35"/>
        <v>0</v>
      </c>
    </row>
    <row r="231" spans="1:20" x14ac:dyDescent="0.25">
      <c r="A231" s="8">
        <v>228</v>
      </c>
      <c r="B231" s="9"/>
      <c r="C231" s="33" t="str">
        <f t="shared" si="27"/>
        <v/>
      </c>
      <c r="D231" s="9"/>
      <c r="E231" s="31"/>
      <c r="F231" s="11"/>
      <c r="G231" s="11"/>
      <c r="H231" s="9"/>
      <c r="I231" s="12" t="str">
        <f t="shared" si="28"/>
        <v/>
      </c>
      <c r="J231" s="12" t="str">
        <f t="shared" si="29"/>
        <v/>
      </c>
      <c r="K231" s="11"/>
      <c r="L231" s="12" t="str">
        <f t="shared" si="30"/>
        <v/>
      </c>
      <c r="M231" s="12" t="str">
        <f t="shared" si="31"/>
        <v/>
      </c>
      <c r="N231" s="8" t="str">
        <f t="shared" si="32"/>
        <v/>
      </c>
      <c r="O231" s="9"/>
      <c r="P231" s="31"/>
      <c r="Q231" s="8" t="str">
        <f t="shared" si="33"/>
        <v/>
      </c>
      <c r="R231" s="8" t="str">
        <f t="shared" si="34"/>
        <v/>
      </c>
      <c r="S231" s="8">
        <f>IF(OR(R231="",D231=""),0,IF(SUMPRODUCT(--(R$4:R231=R231))&gt;1,1,0))</f>
        <v>0</v>
      </c>
      <c r="T231" s="8">
        <f t="shared" si="35"/>
        <v>0</v>
      </c>
    </row>
    <row r="232" spans="1:20" x14ac:dyDescent="0.25">
      <c r="A232" s="8">
        <v>229</v>
      </c>
      <c r="B232" s="9"/>
      <c r="C232" s="33" t="str">
        <f t="shared" si="27"/>
        <v/>
      </c>
      <c r="D232" s="9"/>
      <c r="E232" s="31"/>
      <c r="F232" s="11"/>
      <c r="G232" s="11"/>
      <c r="H232" s="9"/>
      <c r="I232" s="12" t="str">
        <f t="shared" si="28"/>
        <v/>
      </c>
      <c r="J232" s="12" t="str">
        <f t="shared" si="29"/>
        <v/>
      </c>
      <c r="K232" s="11"/>
      <c r="L232" s="12" t="str">
        <f t="shared" si="30"/>
        <v/>
      </c>
      <c r="M232" s="12" t="str">
        <f t="shared" si="31"/>
        <v/>
      </c>
      <c r="N232" s="8" t="str">
        <f t="shared" si="32"/>
        <v/>
      </c>
      <c r="O232" s="9"/>
      <c r="P232" s="31"/>
      <c r="Q232" s="8" t="str">
        <f t="shared" si="33"/>
        <v/>
      </c>
      <c r="R232" s="8" t="str">
        <f t="shared" si="34"/>
        <v/>
      </c>
      <c r="S232" s="8">
        <f>IF(OR(R232="",D232=""),0,IF(SUMPRODUCT(--(R$4:R232=R232))&gt;1,1,0))</f>
        <v>0</v>
      </c>
      <c r="T232" s="8">
        <f t="shared" si="35"/>
        <v>0</v>
      </c>
    </row>
    <row r="233" spans="1:20" x14ac:dyDescent="0.25">
      <c r="A233" s="8">
        <v>230</v>
      </c>
      <c r="B233" s="9"/>
      <c r="C233" s="33" t="str">
        <f t="shared" si="27"/>
        <v/>
      </c>
      <c r="D233" s="9"/>
      <c r="E233" s="31"/>
      <c r="F233" s="11"/>
      <c r="G233" s="11"/>
      <c r="H233" s="9"/>
      <c r="I233" s="12" t="str">
        <f t="shared" si="28"/>
        <v/>
      </c>
      <c r="J233" s="12" t="str">
        <f t="shared" si="29"/>
        <v/>
      </c>
      <c r="K233" s="11"/>
      <c r="L233" s="12" t="str">
        <f t="shared" si="30"/>
        <v/>
      </c>
      <c r="M233" s="12" t="str">
        <f t="shared" si="31"/>
        <v/>
      </c>
      <c r="N233" s="8" t="str">
        <f t="shared" si="32"/>
        <v/>
      </c>
      <c r="O233" s="9"/>
      <c r="P233" s="31"/>
      <c r="Q233" s="8" t="str">
        <f t="shared" si="33"/>
        <v/>
      </c>
      <c r="R233" s="8" t="str">
        <f t="shared" si="34"/>
        <v/>
      </c>
      <c r="S233" s="8">
        <f>IF(OR(R233="",D233=""),0,IF(SUMPRODUCT(--(R$4:R233=R233))&gt;1,1,0))</f>
        <v>0</v>
      </c>
      <c r="T233" s="8">
        <f t="shared" si="35"/>
        <v>0</v>
      </c>
    </row>
    <row r="234" spans="1:20" x14ac:dyDescent="0.25">
      <c r="A234" s="8">
        <v>231</v>
      </c>
      <c r="B234" s="9"/>
      <c r="C234" s="33" t="str">
        <f t="shared" si="27"/>
        <v/>
      </c>
      <c r="D234" s="9"/>
      <c r="E234" s="31"/>
      <c r="F234" s="11"/>
      <c r="G234" s="11"/>
      <c r="H234" s="9"/>
      <c r="I234" s="12" t="str">
        <f t="shared" si="28"/>
        <v/>
      </c>
      <c r="J234" s="12" t="str">
        <f t="shared" si="29"/>
        <v/>
      </c>
      <c r="K234" s="11"/>
      <c r="L234" s="12" t="str">
        <f t="shared" si="30"/>
        <v/>
      </c>
      <c r="M234" s="12" t="str">
        <f t="shared" si="31"/>
        <v/>
      </c>
      <c r="N234" s="8" t="str">
        <f t="shared" si="32"/>
        <v/>
      </c>
      <c r="O234" s="9"/>
      <c r="P234" s="31"/>
      <c r="Q234" s="8" t="str">
        <f t="shared" si="33"/>
        <v/>
      </c>
      <c r="R234" s="8" t="str">
        <f t="shared" si="34"/>
        <v/>
      </c>
      <c r="S234" s="8">
        <f>IF(OR(R234="",D234=""),0,IF(SUMPRODUCT(--(R$4:R234=R234))&gt;1,1,0))</f>
        <v>0</v>
      </c>
      <c r="T234" s="8">
        <f t="shared" si="35"/>
        <v>0</v>
      </c>
    </row>
    <row r="235" spans="1:20" x14ac:dyDescent="0.25">
      <c r="A235" s="8">
        <v>232</v>
      </c>
      <c r="B235" s="9"/>
      <c r="C235" s="33" t="str">
        <f t="shared" si="27"/>
        <v/>
      </c>
      <c r="D235" s="9"/>
      <c r="E235" s="31"/>
      <c r="F235" s="11"/>
      <c r="G235" s="11"/>
      <c r="H235" s="9"/>
      <c r="I235" s="12" t="str">
        <f t="shared" si="28"/>
        <v/>
      </c>
      <c r="J235" s="12" t="str">
        <f t="shared" si="29"/>
        <v/>
      </c>
      <c r="K235" s="11"/>
      <c r="L235" s="12" t="str">
        <f t="shared" si="30"/>
        <v/>
      </c>
      <c r="M235" s="12" t="str">
        <f t="shared" si="31"/>
        <v/>
      </c>
      <c r="N235" s="8" t="str">
        <f t="shared" si="32"/>
        <v/>
      </c>
      <c r="O235" s="9"/>
      <c r="P235" s="31"/>
      <c r="Q235" s="8" t="str">
        <f t="shared" si="33"/>
        <v/>
      </c>
      <c r="R235" s="8" t="str">
        <f t="shared" si="34"/>
        <v/>
      </c>
      <c r="S235" s="8">
        <f>IF(OR(R235="",D235=""),0,IF(SUMPRODUCT(--(R$4:R235=R235))&gt;1,1,0))</f>
        <v>0</v>
      </c>
      <c r="T235" s="8">
        <f t="shared" si="35"/>
        <v>0</v>
      </c>
    </row>
    <row r="236" spans="1:20" x14ac:dyDescent="0.25">
      <c r="A236" s="8">
        <v>233</v>
      </c>
      <c r="B236" s="9"/>
      <c r="C236" s="33" t="str">
        <f t="shared" si="27"/>
        <v/>
      </c>
      <c r="D236" s="9"/>
      <c r="E236" s="31"/>
      <c r="F236" s="11"/>
      <c r="G236" s="11"/>
      <c r="H236" s="9"/>
      <c r="I236" s="12" t="str">
        <f t="shared" si="28"/>
        <v/>
      </c>
      <c r="J236" s="12" t="str">
        <f t="shared" si="29"/>
        <v/>
      </c>
      <c r="K236" s="11"/>
      <c r="L236" s="12" t="str">
        <f t="shared" si="30"/>
        <v/>
      </c>
      <c r="M236" s="12" t="str">
        <f t="shared" si="31"/>
        <v/>
      </c>
      <c r="N236" s="8" t="str">
        <f t="shared" si="32"/>
        <v/>
      </c>
      <c r="O236" s="9"/>
      <c r="P236" s="31"/>
      <c r="Q236" s="8" t="str">
        <f t="shared" si="33"/>
        <v/>
      </c>
      <c r="R236" s="8" t="str">
        <f t="shared" si="34"/>
        <v/>
      </c>
      <c r="S236" s="8">
        <f>IF(OR(R236="",D236=""),0,IF(SUMPRODUCT(--(R$4:R236=R236))&gt;1,1,0))</f>
        <v>0</v>
      </c>
      <c r="T236" s="8">
        <f t="shared" si="35"/>
        <v>0</v>
      </c>
    </row>
    <row r="237" spans="1:20" x14ac:dyDescent="0.25">
      <c r="A237" s="8">
        <v>234</v>
      </c>
      <c r="B237" s="9"/>
      <c r="C237" s="33" t="str">
        <f t="shared" si="27"/>
        <v/>
      </c>
      <c r="D237" s="9"/>
      <c r="E237" s="31"/>
      <c r="F237" s="11"/>
      <c r="G237" s="11"/>
      <c r="H237" s="9"/>
      <c r="I237" s="12" t="str">
        <f t="shared" si="28"/>
        <v/>
      </c>
      <c r="J237" s="12" t="str">
        <f t="shared" si="29"/>
        <v/>
      </c>
      <c r="K237" s="11"/>
      <c r="L237" s="12" t="str">
        <f t="shared" si="30"/>
        <v/>
      </c>
      <c r="M237" s="12" t="str">
        <f t="shared" si="31"/>
        <v/>
      </c>
      <c r="N237" s="8" t="str">
        <f t="shared" si="32"/>
        <v/>
      </c>
      <c r="O237" s="9"/>
      <c r="P237" s="31"/>
      <c r="Q237" s="8" t="str">
        <f t="shared" si="33"/>
        <v/>
      </c>
      <c r="R237" s="8" t="str">
        <f t="shared" si="34"/>
        <v/>
      </c>
      <c r="S237" s="8">
        <f>IF(OR(R237="",D237=""),0,IF(SUMPRODUCT(--(R$4:R237=R237))&gt;1,1,0))</f>
        <v>0</v>
      </c>
      <c r="T237" s="8">
        <f t="shared" si="35"/>
        <v>0</v>
      </c>
    </row>
    <row r="238" spans="1:20" x14ac:dyDescent="0.25">
      <c r="A238" s="8">
        <v>235</v>
      </c>
      <c r="B238" s="9"/>
      <c r="C238" s="33" t="str">
        <f t="shared" si="27"/>
        <v/>
      </c>
      <c r="D238" s="9"/>
      <c r="E238" s="31"/>
      <c r="F238" s="11"/>
      <c r="G238" s="11"/>
      <c r="H238" s="9"/>
      <c r="I238" s="12" t="str">
        <f t="shared" si="28"/>
        <v/>
      </c>
      <c r="J238" s="12" t="str">
        <f t="shared" si="29"/>
        <v/>
      </c>
      <c r="K238" s="11"/>
      <c r="L238" s="12" t="str">
        <f t="shared" si="30"/>
        <v/>
      </c>
      <c r="M238" s="12" t="str">
        <f t="shared" si="31"/>
        <v/>
      </c>
      <c r="N238" s="8" t="str">
        <f t="shared" si="32"/>
        <v/>
      </c>
      <c r="O238" s="9"/>
      <c r="P238" s="31"/>
      <c r="Q238" s="8" t="str">
        <f t="shared" si="33"/>
        <v/>
      </c>
      <c r="R238" s="8" t="str">
        <f t="shared" si="34"/>
        <v/>
      </c>
      <c r="S238" s="8">
        <f>IF(OR(R238="",D238=""),0,IF(SUMPRODUCT(--(R$4:R238=R238))&gt;1,1,0))</f>
        <v>0</v>
      </c>
      <c r="T238" s="8">
        <f t="shared" si="35"/>
        <v>0</v>
      </c>
    </row>
    <row r="239" spans="1:20" x14ac:dyDescent="0.25">
      <c r="A239" s="8">
        <v>236</v>
      </c>
      <c r="B239" s="9"/>
      <c r="C239" s="33" t="str">
        <f t="shared" si="27"/>
        <v/>
      </c>
      <c r="D239" s="9"/>
      <c r="E239" s="31"/>
      <c r="F239" s="11"/>
      <c r="G239" s="11"/>
      <c r="H239" s="9"/>
      <c r="I239" s="12" t="str">
        <f t="shared" si="28"/>
        <v/>
      </c>
      <c r="J239" s="12" t="str">
        <f t="shared" si="29"/>
        <v/>
      </c>
      <c r="K239" s="11"/>
      <c r="L239" s="12" t="str">
        <f t="shared" si="30"/>
        <v/>
      </c>
      <c r="M239" s="12" t="str">
        <f t="shared" si="31"/>
        <v/>
      </c>
      <c r="N239" s="8" t="str">
        <f t="shared" si="32"/>
        <v/>
      </c>
      <c r="O239" s="9"/>
      <c r="P239" s="31"/>
      <c r="Q239" s="8" t="str">
        <f t="shared" si="33"/>
        <v/>
      </c>
      <c r="R239" s="8" t="str">
        <f t="shared" si="34"/>
        <v/>
      </c>
      <c r="S239" s="8">
        <f>IF(OR(R239="",D239=""),0,IF(SUMPRODUCT(--(R$4:R239=R239))&gt;1,1,0))</f>
        <v>0</v>
      </c>
      <c r="T239" s="8">
        <f t="shared" si="35"/>
        <v>0</v>
      </c>
    </row>
    <row r="240" spans="1:20" x14ac:dyDescent="0.25">
      <c r="A240" s="8">
        <v>237</v>
      </c>
      <c r="B240" s="9"/>
      <c r="C240" s="33" t="str">
        <f t="shared" si="27"/>
        <v/>
      </c>
      <c r="D240" s="9"/>
      <c r="E240" s="31"/>
      <c r="F240" s="11"/>
      <c r="G240" s="11"/>
      <c r="H240" s="9"/>
      <c r="I240" s="12" t="str">
        <f t="shared" si="28"/>
        <v/>
      </c>
      <c r="J240" s="12" t="str">
        <f t="shared" si="29"/>
        <v/>
      </c>
      <c r="K240" s="11"/>
      <c r="L240" s="12" t="str">
        <f t="shared" si="30"/>
        <v/>
      </c>
      <c r="M240" s="12" t="str">
        <f t="shared" si="31"/>
        <v/>
      </c>
      <c r="N240" s="8" t="str">
        <f t="shared" si="32"/>
        <v/>
      </c>
      <c r="O240" s="9"/>
      <c r="P240" s="31"/>
      <c r="Q240" s="8" t="str">
        <f t="shared" si="33"/>
        <v/>
      </c>
      <c r="R240" s="8" t="str">
        <f t="shared" si="34"/>
        <v/>
      </c>
      <c r="S240" s="8">
        <f>IF(OR(R240="",D240=""),0,IF(SUMPRODUCT(--(R$4:R240=R240))&gt;1,1,0))</f>
        <v>0</v>
      </c>
      <c r="T240" s="8">
        <f t="shared" si="35"/>
        <v>0</v>
      </c>
    </row>
    <row r="241" spans="1:20" x14ac:dyDescent="0.25">
      <c r="A241" s="8">
        <v>238</v>
      </c>
      <c r="B241" s="9"/>
      <c r="C241" s="33" t="str">
        <f t="shared" si="27"/>
        <v/>
      </c>
      <c r="D241" s="9"/>
      <c r="E241" s="31"/>
      <c r="F241" s="11"/>
      <c r="G241" s="11"/>
      <c r="H241" s="9"/>
      <c r="I241" s="12" t="str">
        <f t="shared" si="28"/>
        <v/>
      </c>
      <c r="J241" s="12" t="str">
        <f t="shared" si="29"/>
        <v/>
      </c>
      <c r="K241" s="11"/>
      <c r="L241" s="12" t="str">
        <f t="shared" si="30"/>
        <v/>
      </c>
      <c r="M241" s="12" t="str">
        <f t="shared" si="31"/>
        <v/>
      </c>
      <c r="N241" s="8" t="str">
        <f t="shared" si="32"/>
        <v/>
      </c>
      <c r="O241" s="9"/>
      <c r="P241" s="31"/>
      <c r="Q241" s="8" t="str">
        <f t="shared" si="33"/>
        <v/>
      </c>
      <c r="R241" s="8" t="str">
        <f t="shared" si="34"/>
        <v/>
      </c>
      <c r="S241" s="8">
        <f>IF(OR(R241="",D241=""),0,IF(SUMPRODUCT(--(R$4:R241=R241))&gt;1,1,0))</f>
        <v>0</v>
      </c>
      <c r="T241" s="8">
        <f t="shared" si="35"/>
        <v>0</v>
      </c>
    </row>
    <row r="242" spans="1:20" x14ac:dyDescent="0.25">
      <c r="A242" s="8">
        <v>239</v>
      </c>
      <c r="B242" s="9"/>
      <c r="C242" s="33" t="str">
        <f t="shared" si="27"/>
        <v/>
      </c>
      <c r="D242" s="9"/>
      <c r="E242" s="31"/>
      <c r="F242" s="11"/>
      <c r="G242" s="11"/>
      <c r="H242" s="9"/>
      <c r="I242" s="12" t="str">
        <f t="shared" si="28"/>
        <v/>
      </c>
      <c r="J242" s="12" t="str">
        <f t="shared" si="29"/>
        <v/>
      </c>
      <c r="K242" s="11"/>
      <c r="L242" s="12" t="str">
        <f t="shared" si="30"/>
        <v/>
      </c>
      <c r="M242" s="12" t="str">
        <f t="shared" si="31"/>
        <v/>
      </c>
      <c r="N242" s="8" t="str">
        <f t="shared" si="32"/>
        <v/>
      </c>
      <c r="O242" s="9"/>
      <c r="P242" s="31"/>
      <c r="Q242" s="8" t="str">
        <f t="shared" si="33"/>
        <v/>
      </c>
      <c r="R242" s="8" t="str">
        <f t="shared" si="34"/>
        <v/>
      </c>
      <c r="S242" s="8">
        <f>IF(OR(R242="",D242=""),0,IF(SUMPRODUCT(--(R$4:R242=R242))&gt;1,1,0))</f>
        <v>0</v>
      </c>
      <c r="T242" s="8">
        <f t="shared" si="35"/>
        <v>0</v>
      </c>
    </row>
    <row r="243" spans="1:20" x14ac:dyDescent="0.25">
      <c r="A243" s="8">
        <v>240</v>
      </c>
      <c r="B243" s="9"/>
      <c r="C243" s="33" t="str">
        <f t="shared" si="27"/>
        <v/>
      </c>
      <c r="D243" s="9"/>
      <c r="E243" s="31"/>
      <c r="F243" s="11"/>
      <c r="G243" s="11"/>
      <c r="H243" s="9"/>
      <c r="I243" s="12" t="str">
        <f t="shared" si="28"/>
        <v/>
      </c>
      <c r="J243" s="12" t="str">
        <f t="shared" si="29"/>
        <v/>
      </c>
      <c r="K243" s="11"/>
      <c r="L243" s="12" t="str">
        <f t="shared" si="30"/>
        <v/>
      </c>
      <c r="M243" s="12" t="str">
        <f t="shared" si="31"/>
        <v/>
      </c>
      <c r="N243" s="8" t="str">
        <f t="shared" si="32"/>
        <v/>
      </c>
      <c r="O243" s="9"/>
      <c r="P243" s="31"/>
      <c r="Q243" s="8" t="str">
        <f t="shared" si="33"/>
        <v/>
      </c>
      <c r="R243" s="8" t="str">
        <f t="shared" si="34"/>
        <v/>
      </c>
      <c r="S243" s="8">
        <f>IF(OR(R243="",D243=""),0,IF(SUMPRODUCT(--(R$4:R243=R243))&gt;1,1,0))</f>
        <v>0</v>
      </c>
      <c r="T243" s="8">
        <f t="shared" si="35"/>
        <v>0</v>
      </c>
    </row>
    <row r="244" spans="1:20" x14ac:dyDescent="0.25">
      <c r="A244" s="8">
        <v>241</v>
      </c>
      <c r="B244" s="9"/>
      <c r="C244" s="33" t="str">
        <f t="shared" si="27"/>
        <v/>
      </c>
      <c r="D244" s="9"/>
      <c r="E244" s="31"/>
      <c r="F244" s="11"/>
      <c r="G244" s="11"/>
      <c r="H244" s="9"/>
      <c r="I244" s="12" t="str">
        <f t="shared" si="28"/>
        <v/>
      </c>
      <c r="J244" s="12" t="str">
        <f t="shared" si="29"/>
        <v/>
      </c>
      <c r="K244" s="11"/>
      <c r="L244" s="12" t="str">
        <f t="shared" si="30"/>
        <v/>
      </c>
      <c r="M244" s="12" t="str">
        <f t="shared" si="31"/>
        <v/>
      </c>
      <c r="N244" s="8" t="str">
        <f t="shared" si="32"/>
        <v/>
      </c>
      <c r="O244" s="9"/>
      <c r="P244" s="31"/>
      <c r="Q244" s="8" t="str">
        <f t="shared" si="33"/>
        <v/>
      </c>
      <c r="R244" s="8" t="str">
        <f t="shared" si="34"/>
        <v/>
      </c>
      <c r="S244" s="8">
        <f>IF(OR(R244="",D244=""),0,IF(SUMPRODUCT(--(R$4:R244=R244))&gt;1,1,0))</f>
        <v>0</v>
      </c>
      <c r="T244" s="8">
        <f t="shared" si="35"/>
        <v>0</v>
      </c>
    </row>
    <row r="245" spans="1:20" x14ac:dyDescent="0.25">
      <c r="A245" s="8">
        <v>242</v>
      </c>
      <c r="B245" s="9"/>
      <c r="C245" s="33" t="str">
        <f t="shared" si="27"/>
        <v/>
      </c>
      <c r="D245" s="9"/>
      <c r="E245" s="31"/>
      <c r="F245" s="11"/>
      <c r="G245" s="11"/>
      <c r="H245" s="9"/>
      <c r="I245" s="12" t="str">
        <f t="shared" si="28"/>
        <v/>
      </c>
      <c r="J245" s="12" t="str">
        <f t="shared" si="29"/>
        <v/>
      </c>
      <c r="K245" s="11"/>
      <c r="L245" s="12" t="str">
        <f t="shared" si="30"/>
        <v/>
      </c>
      <c r="M245" s="12" t="str">
        <f t="shared" si="31"/>
        <v/>
      </c>
      <c r="N245" s="8" t="str">
        <f t="shared" si="32"/>
        <v/>
      </c>
      <c r="O245" s="9"/>
      <c r="P245" s="31"/>
      <c r="Q245" s="8" t="str">
        <f t="shared" si="33"/>
        <v/>
      </c>
      <c r="R245" s="8" t="str">
        <f t="shared" si="34"/>
        <v/>
      </c>
      <c r="S245" s="8">
        <f>IF(OR(R245="",D245=""),0,IF(SUMPRODUCT(--(R$4:R245=R245))&gt;1,1,0))</f>
        <v>0</v>
      </c>
      <c r="T245" s="8">
        <f t="shared" si="35"/>
        <v>0</v>
      </c>
    </row>
    <row r="246" spans="1:20" x14ac:dyDescent="0.25">
      <c r="A246" s="8">
        <v>243</v>
      </c>
      <c r="B246" s="9"/>
      <c r="C246" s="33" t="str">
        <f t="shared" si="27"/>
        <v/>
      </c>
      <c r="D246" s="9"/>
      <c r="E246" s="31"/>
      <c r="F246" s="11"/>
      <c r="G246" s="11"/>
      <c r="H246" s="9"/>
      <c r="I246" s="12" t="str">
        <f t="shared" si="28"/>
        <v/>
      </c>
      <c r="J246" s="12" t="str">
        <f t="shared" si="29"/>
        <v/>
      </c>
      <c r="K246" s="11"/>
      <c r="L246" s="12" t="str">
        <f t="shared" si="30"/>
        <v/>
      </c>
      <c r="M246" s="12" t="str">
        <f t="shared" si="31"/>
        <v/>
      </c>
      <c r="N246" s="8" t="str">
        <f t="shared" si="32"/>
        <v/>
      </c>
      <c r="O246" s="9"/>
      <c r="P246" s="31"/>
      <c r="Q246" s="8" t="str">
        <f t="shared" si="33"/>
        <v/>
      </c>
      <c r="R246" s="8" t="str">
        <f t="shared" si="34"/>
        <v/>
      </c>
      <c r="S246" s="8">
        <f>IF(OR(R246="",D246=""),0,IF(SUMPRODUCT(--(R$4:R246=R246))&gt;1,1,0))</f>
        <v>0</v>
      </c>
      <c r="T246" s="8">
        <f t="shared" si="35"/>
        <v>0</v>
      </c>
    </row>
    <row r="247" spans="1:20" x14ac:dyDescent="0.25">
      <c r="A247" s="8">
        <v>244</v>
      </c>
      <c r="B247" s="9"/>
      <c r="C247" s="33" t="str">
        <f t="shared" si="27"/>
        <v/>
      </c>
      <c r="D247" s="9"/>
      <c r="E247" s="31"/>
      <c r="F247" s="11"/>
      <c r="G247" s="11"/>
      <c r="H247" s="9"/>
      <c r="I247" s="12" t="str">
        <f t="shared" si="28"/>
        <v/>
      </c>
      <c r="J247" s="12" t="str">
        <f t="shared" si="29"/>
        <v/>
      </c>
      <c r="K247" s="11"/>
      <c r="L247" s="12" t="str">
        <f t="shared" si="30"/>
        <v/>
      </c>
      <c r="M247" s="12" t="str">
        <f t="shared" si="31"/>
        <v/>
      </c>
      <c r="N247" s="8" t="str">
        <f t="shared" si="32"/>
        <v/>
      </c>
      <c r="O247" s="9"/>
      <c r="P247" s="31"/>
      <c r="Q247" s="8" t="str">
        <f t="shared" si="33"/>
        <v/>
      </c>
      <c r="R247" s="8" t="str">
        <f t="shared" si="34"/>
        <v/>
      </c>
      <c r="S247" s="8">
        <f>IF(OR(R247="",D247=""),0,IF(SUMPRODUCT(--(R$4:R247=R247))&gt;1,1,0))</f>
        <v>0</v>
      </c>
      <c r="T247" s="8">
        <f t="shared" si="35"/>
        <v>0</v>
      </c>
    </row>
    <row r="248" spans="1:20" x14ac:dyDescent="0.25">
      <c r="A248" s="8">
        <v>245</v>
      </c>
      <c r="B248" s="9"/>
      <c r="C248" s="33" t="str">
        <f t="shared" si="27"/>
        <v/>
      </c>
      <c r="D248" s="9"/>
      <c r="E248" s="31"/>
      <c r="F248" s="11"/>
      <c r="G248" s="11"/>
      <c r="H248" s="9"/>
      <c r="I248" s="12" t="str">
        <f t="shared" si="28"/>
        <v/>
      </c>
      <c r="J248" s="12" t="str">
        <f t="shared" si="29"/>
        <v/>
      </c>
      <c r="K248" s="11"/>
      <c r="L248" s="12" t="str">
        <f t="shared" si="30"/>
        <v/>
      </c>
      <c r="M248" s="12" t="str">
        <f t="shared" si="31"/>
        <v/>
      </c>
      <c r="N248" s="8" t="str">
        <f t="shared" si="32"/>
        <v/>
      </c>
      <c r="O248" s="9"/>
      <c r="P248" s="31"/>
      <c r="Q248" s="8" t="str">
        <f t="shared" si="33"/>
        <v/>
      </c>
      <c r="R248" s="8" t="str">
        <f t="shared" si="34"/>
        <v/>
      </c>
      <c r="S248" s="8">
        <f>IF(OR(R248="",D248=""),0,IF(SUMPRODUCT(--(R$4:R248=R248))&gt;1,1,0))</f>
        <v>0</v>
      </c>
      <c r="T248" s="8">
        <f t="shared" si="35"/>
        <v>0</v>
      </c>
    </row>
    <row r="249" spans="1:20" x14ac:dyDescent="0.25">
      <c r="A249" s="8">
        <v>246</v>
      </c>
      <c r="B249" s="9"/>
      <c r="C249" s="33" t="str">
        <f t="shared" si="27"/>
        <v/>
      </c>
      <c r="D249" s="9"/>
      <c r="E249" s="31"/>
      <c r="F249" s="11"/>
      <c r="G249" s="11"/>
      <c r="H249" s="9"/>
      <c r="I249" s="12" t="str">
        <f t="shared" si="28"/>
        <v/>
      </c>
      <c r="J249" s="12" t="str">
        <f t="shared" si="29"/>
        <v/>
      </c>
      <c r="K249" s="11"/>
      <c r="L249" s="12" t="str">
        <f t="shared" si="30"/>
        <v/>
      </c>
      <c r="M249" s="12" t="str">
        <f t="shared" si="31"/>
        <v/>
      </c>
      <c r="N249" s="8" t="str">
        <f t="shared" si="32"/>
        <v/>
      </c>
      <c r="O249" s="9"/>
      <c r="P249" s="31"/>
      <c r="Q249" s="8" t="str">
        <f t="shared" si="33"/>
        <v/>
      </c>
      <c r="R249" s="8" t="str">
        <f t="shared" si="34"/>
        <v/>
      </c>
      <c r="S249" s="8">
        <f>IF(OR(R249="",D249=""),0,IF(SUMPRODUCT(--(R$4:R249=R249))&gt;1,1,0))</f>
        <v>0</v>
      </c>
      <c r="T249" s="8">
        <f t="shared" si="35"/>
        <v>0</v>
      </c>
    </row>
    <row r="250" spans="1:20" x14ac:dyDescent="0.25">
      <c r="A250" s="8">
        <v>247</v>
      </c>
      <c r="B250" s="9"/>
      <c r="C250" s="33" t="str">
        <f t="shared" si="27"/>
        <v/>
      </c>
      <c r="D250" s="9"/>
      <c r="E250" s="31"/>
      <c r="F250" s="11"/>
      <c r="G250" s="11"/>
      <c r="H250" s="9"/>
      <c r="I250" s="12" t="str">
        <f t="shared" si="28"/>
        <v/>
      </c>
      <c r="J250" s="12" t="str">
        <f t="shared" si="29"/>
        <v/>
      </c>
      <c r="K250" s="11"/>
      <c r="L250" s="12" t="str">
        <f t="shared" si="30"/>
        <v/>
      </c>
      <c r="M250" s="12" t="str">
        <f t="shared" si="31"/>
        <v/>
      </c>
      <c r="N250" s="8" t="str">
        <f t="shared" si="32"/>
        <v/>
      </c>
      <c r="O250" s="9"/>
      <c r="P250" s="31"/>
      <c r="Q250" s="8" t="str">
        <f t="shared" si="33"/>
        <v/>
      </c>
      <c r="R250" s="8" t="str">
        <f t="shared" si="34"/>
        <v/>
      </c>
      <c r="S250" s="8">
        <f>IF(OR(R250="",D250=""),0,IF(SUMPRODUCT(--(R$4:R250=R250))&gt;1,1,0))</f>
        <v>0</v>
      </c>
      <c r="T250" s="8">
        <f t="shared" si="35"/>
        <v>0</v>
      </c>
    </row>
    <row r="251" spans="1:20" x14ac:dyDescent="0.25">
      <c r="A251" s="8">
        <v>248</v>
      </c>
      <c r="B251" s="9"/>
      <c r="C251" s="33" t="str">
        <f t="shared" si="27"/>
        <v/>
      </c>
      <c r="D251" s="9"/>
      <c r="E251" s="31"/>
      <c r="F251" s="11"/>
      <c r="G251" s="11"/>
      <c r="H251" s="9"/>
      <c r="I251" s="12" t="str">
        <f t="shared" si="28"/>
        <v/>
      </c>
      <c r="J251" s="12" t="str">
        <f t="shared" si="29"/>
        <v/>
      </c>
      <c r="K251" s="11"/>
      <c r="L251" s="12" t="str">
        <f t="shared" si="30"/>
        <v/>
      </c>
      <c r="M251" s="12" t="str">
        <f t="shared" si="31"/>
        <v/>
      </c>
      <c r="N251" s="8" t="str">
        <f t="shared" si="32"/>
        <v/>
      </c>
      <c r="O251" s="9"/>
      <c r="P251" s="31"/>
      <c r="Q251" s="8" t="str">
        <f t="shared" si="33"/>
        <v/>
      </c>
      <c r="R251" s="8" t="str">
        <f t="shared" si="34"/>
        <v/>
      </c>
      <c r="S251" s="8">
        <f>IF(OR(R251="",D251=""),0,IF(SUMPRODUCT(--(R$4:R251=R251))&gt;1,1,0))</f>
        <v>0</v>
      </c>
      <c r="T251" s="8">
        <f t="shared" si="35"/>
        <v>0</v>
      </c>
    </row>
    <row r="252" spans="1:20" x14ac:dyDescent="0.25">
      <c r="A252" s="8">
        <v>249</v>
      </c>
      <c r="B252" s="9"/>
      <c r="C252" s="33" t="str">
        <f t="shared" si="27"/>
        <v/>
      </c>
      <c r="D252" s="9"/>
      <c r="E252" s="31"/>
      <c r="F252" s="11"/>
      <c r="G252" s="11"/>
      <c r="H252" s="9"/>
      <c r="I252" s="12" t="str">
        <f t="shared" si="28"/>
        <v/>
      </c>
      <c r="J252" s="12" t="str">
        <f t="shared" si="29"/>
        <v/>
      </c>
      <c r="K252" s="11"/>
      <c r="L252" s="12" t="str">
        <f t="shared" si="30"/>
        <v/>
      </c>
      <c r="M252" s="12" t="str">
        <f t="shared" si="31"/>
        <v/>
      </c>
      <c r="N252" s="8" t="str">
        <f t="shared" si="32"/>
        <v/>
      </c>
      <c r="O252" s="9"/>
      <c r="P252" s="31"/>
      <c r="Q252" s="8" t="str">
        <f t="shared" si="33"/>
        <v/>
      </c>
      <c r="R252" s="8" t="str">
        <f t="shared" si="34"/>
        <v/>
      </c>
      <c r="S252" s="8">
        <f>IF(OR(R252="",D252=""),0,IF(SUMPRODUCT(--(R$4:R252=R252))&gt;1,1,0))</f>
        <v>0</v>
      </c>
      <c r="T252" s="8">
        <f t="shared" si="35"/>
        <v>0</v>
      </c>
    </row>
    <row r="253" spans="1:20" x14ac:dyDescent="0.25">
      <c r="A253" s="8">
        <v>250</v>
      </c>
      <c r="B253" s="9"/>
      <c r="C253" s="33" t="str">
        <f t="shared" si="27"/>
        <v/>
      </c>
      <c r="D253" s="9"/>
      <c r="E253" s="31"/>
      <c r="F253" s="11"/>
      <c r="G253" s="11"/>
      <c r="H253" s="9"/>
      <c r="I253" s="12" t="str">
        <f t="shared" si="28"/>
        <v/>
      </c>
      <c r="J253" s="12" t="str">
        <f t="shared" si="29"/>
        <v/>
      </c>
      <c r="K253" s="11"/>
      <c r="L253" s="12" t="str">
        <f t="shared" si="30"/>
        <v/>
      </c>
      <c r="M253" s="12" t="str">
        <f t="shared" si="31"/>
        <v/>
      </c>
      <c r="N253" s="8" t="str">
        <f t="shared" si="32"/>
        <v/>
      </c>
      <c r="O253" s="9"/>
      <c r="P253" s="31"/>
      <c r="Q253" s="8" t="str">
        <f t="shared" si="33"/>
        <v/>
      </c>
      <c r="R253" s="8" t="str">
        <f t="shared" si="34"/>
        <v/>
      </c>
      <c r="S253" s="8">
        <f>IF(OR(R253="",D253=""),0,IF(SUMPRODUCT(--(R$4:R253=R253))&gt;1,1,0))</f>
        <v>0</v>
      </c>
      <c r="T253" s="8">
        <f t="shared" si="35"/>
        <v>0</v>
      </c>
    </row>
    <row r="254" spans="1:20" x14ac:dyDescent="0.25">
      <c r="A254" s="8">
        <v>251</v>
      </c>
      <c r="B254" s="9"/>
      <c r="C254" s="33" t="str">
        <f t="shared" si="27"/>
        <v/>
      </c>
      <c r="D254" s="9"/>
      <c r="E254" s="31"/>
      <c r="F254" s="11"/>
      <c r="G254" s="11"/>
      <c r="H254" s="9"/>
      <c r="I254" s="12" t="str">
        <f t="shared" si="28"/>
        <v/>
      </c>
      <c r="J254" s="12" t="str">
        <f t="shared" si="29"/>
        <v/>
      </c>
      <c r="K254" s="11"/>
      <c r="L254" s="12" t="str">
        <f t="shared" si="30"/>
        <v/>
      </c>
      <c r="M254" s="12" t="str">
        <f t="shared" si="31"/>
        <v/>
      </c>
      <c r="N254" s="8" t="str">
        <f t="shared" si="32"/>
        <v/>
      </c>
      <c r="O254" s="9"/>
      <c r="P254" s="31"/>
      <c r="Q254" s="8" t="str">
        <f t="shared" si="33"/>
        <v/>
      </c>
      <c r="R254" s="8" t="str">
        <f t="shared" si="34"/>
        <v/>
      </c>
      <c r="S254" s="8">
        <f>IF(OR(R254="",D254=""),0,IF(SUMPRODUCT(--(R$4:R254=R254))&gt;1,1,0))</f>
        <v>0</v>
      </c>
      <c r="T254" s="8">
        <f t="shared" si="35"/>
        <v>0</v>
      </c>
    </row>
    <row r="255" spans="1:20" x14ac:dyDescent="0.25">
      <c r="A255" s="8">
        <v>252</v>
      </c>
      <c r="B255" s="9"/>
      <c r="C255" s="33" t="str">
        <f t="shared" si="27"/>
        <v/>
      </c>
      <c r="D255" s="9"/>
      <c r="E255" s="31"/>
      <c r="F255" s="11"/>
      <c r="G255" s="11"/>
      <c r="H255" s="9"/>
      <c r="I255" s="12" t="str">
        <f t="shared" si="28"/>
        <v/>
      </c>
      <c r="J255" s="12" t="str">
        <f t="shared" si="29"/>
        <v/>
      </c>
      <c r="K255" s="11"/>
      <c r="L255" s="12" t="str">
        <f t="shared" si="30"/>
        <v/>
      </c>
      <c r="M255" s="12" t="str">
        <f t="shared" si="31"/>
        <v/>
      </c>
      <c r="N255" s="8" t="str">
        <f t="shared" si="32"/>
        <v/>
      </c>
      <c r="O255" s="9"/>
      <c r="P255" s="31"/>
      <c r="Q255" s="8" t="str">
        <f t="shared" si="33"/>
        <v/>
      </c>
      <c r="R255" s="8" t="str">
        <f t="shared" si="34"/>
        <v/>
      </c>
      <c r="S255" s="8">
        <f>IF(OR(R255="",D255=""),0,IF(SUMPRODUCT(--(R$4:R255=R255))&gt;1,1,0))</f>
        <v>0</v>
      </c>
      <c r="T255" s="8">
        <f t="shared" si="35"/>
        <v>0</v>
      </c>
    </row>
    <row r="256" spans="1:20" x14ac:dyDescent="0.25">
      <c r="A256" s="8">
        <v>253</v>
      </c>
      <c r="B256" s="9"/>
      <c r="C256" s="33" t="str">
        <f t="shared" si="27"/>
        <v/>
      </c>
      <c r="D256" s="9"/>
      <c r="E256" s="31"/>
      <c r="F256" s="11"/>
      <c r="G256" s="11"/>
      <c r="H256" s="9"/>
      <c r="I256" s="12" t="str">
        <f t="shared" si="28"/>
        <v/>
      </c>
      <c r="J256" s="12" t="str">
        <f t="shared" si="29"/>
        <v/>
      </c>
      <c r="K256" s="11"/>
      <c r="L256" s="12" t="str">
        <f t="shared" si="30"/>
        <v/>
      </c>
      <c r="M256" s="12" t="str">
        <f t="shared" si="31"/>
        <v/>
      </c>
      <c r="N256" s="8" t="str">
        <f t="shared" si="32"/>
        <v/>
      </c>
      <c r="O256" s="9"/>
      <c r="P256" s="31"/>
      <c r="Q256" s="8" t="str">
        <f t="shared" si="33"/>
        <v/>
      </c>
      <c r="R256" s="8" t="str">
        <f t="shared" si="34"/>
        <v/>
      </c>
      <c r="S256" s="8">
        <f>IF(OR(R256="",D256=""),0,IF(SUMPRODUCT(--(R$4:R256=R256))&gt;1,1,0))</f>
        <v>0</v>
      </c>
      <c r="T256" s="8">
        <f t="shared" si="35"/>
        <v>0</v>
      </c>
    </row>
    <row r="257" spans="1:20" x14ac:dyDescent="0.25">
      <c r="A257" s="8">
        <v>254</v>
      </c>
      <c r="B257" s="9"/>
      <c r="C257" s="33" t="str">
        <f t="shared" si="27"/>
        <v/>
      </c>
      <c r="D257" s="9"/>
      <c r="E257" s="31"/>
      <c r="F257" s="11"/>
      <c r="G257" s="11"/>
      <c r="H257" s="9"/>
      <c r="I257" s="12" t="str">
        <f t="shared" si="28"/>
        <v/>
      </c>
      <c r="J257" s="12" t="str">
        <f t="shared" si="29"/>
        <v/>
      </c>
      <c r="K257" s="11"/>
      <c r="L257" s="12" t="str">
        <f t="shared" si="30"/>
        <v/>
      </c>
      <c r="M257" s="12" t="str">
        <f t="shared" si="31"/>
        <v/>
      </c>
      <c r="N257" s="8" t="str">
        <f t="shared" si="32"/>
        <v/>
      </c>
      <c r="O257" s="9"/>
      <c r="P257" s="31"/>
      <c r="Q257" s="8" t="str">
        <f t="shared" si="33"/>
        <v/>
      </c>
      <c r="R257" s="8" t="str">
        <f t="shared" si="34"/>
        <v/>
      </c>
      <c r="S257" s="8">
        <f>IF(OR(R257="",D257=""),0,IF(SUMPRODUCT(--(R$4:R257=R257))&gt;1,1,0))</f>
        <v>0</v>
      </c>
      <c r="T257" s="8">
        <f t="shared" si="35"/>
        <v>0</v>
      </c>
    </row>
    <row r="258" spans="1:20" x14ac:dyDescent="0.25">
      <c r="A258" s="8">
        <v>255</v>
      </c>
      <c r="B258" s="9"/>
      <c r="C258" s="33" t="str">
        <f t="shared" si="27"/>
        <v/>
      </c>
      <c r="D258" s="9"/>
      <c r="E258" s="31"/>
      <c r="F258" s="11"/>
      <c r="G258" s="11"/>
      <c r="H258" s="9"/>
      <c r="I258" s="12" t="str">
        <f t="shared" si="28"/>
        <v/>
      </c>
      <c r="J258" s="12" t="str">
        <f t="shared" si="29"/>
        <v/>
      </c>
      <c r="K258" s="11"/>
      <c r="L258" s="12" t="str">
        <f t="shared" si="30"/>
        <v/>
      </c>
      <c r="M258" s="12" t="str">
        <f t="shared" si="31"/>
        <v/>
      </c>
      <c r="N258" s="8" t="str">
        <f t="shared" si="32"/>
        <v/>
      </c>
      <c r="O258" s="9"/>
      <c r="P258" s="31"/>
      <c r="Q258" s="8" t="str">
        <f t="shared" si="33"/>
        <v/>
      </c>
      <c r="R258" s="8" t="str">
        <f t="shared" si="34"/>
        <v/>
      </c>
      <c r="S258" s="8">
        <f>IF(OR(R258="",D258=""),0,IF(SUMPRODUCT(--(R$4:R258=R258))&gt;1,1,0))</f>
        <v>0</v>
      </c>
      <c r="T258" s="8">
        <f t="shared" si="35"/>
        <v>0</v>
      </c>
    </row>
    <row r="259" spans="1:20" x14ac:dyDescent="0.25">
      <c r="A259" s="8">
        <v>256</v>
      </c>
      <c r="B259" s="9"/>
      <c r="C259" s="33" t="str">
        <f t="shared" si="27"/>
        <v/>
      </c>
      <c r="D259" s="9"/>
      <c r="E259" s="31"/>
      <c r="F259" s="11"/>
      <c r="G259" s="11"/>
      <c r="H259" s="9"/>
      <c r="I259" s="12" t="str">
        <f t="shared" si="28"/>
        <v/>
      </c>
      <c r="J259" s="12" t="str">
        <f t="shared" si="29"/>
        <v/>
      </c>
      <c r="K259" s="11"/>
      <c r="L259" s="12" t="str">
        <f t="shared" si="30"/>
        <v/>
      </c>
      <c r="M259" s="12" t="str">
        <f t="shared" si="31"/>
        <v/>
      </c>
      <c r="N259" s="8" t="str">
        <f t="shared" si="32"/>
        <v/>
      </c>
      <c r="O259" s="9"/>
      <c r="P259" s="31"/>
      <c r="Q259" s="8" t="str">
        <f t="shared" si="33"/>
        <v/>
      </c>
      <c r="R259" s="8" t="str">
        <f t="shared" si="34"/>
        <v/>
      </c>
      <c r="S259" s="8">
        <f>IF(OR(R259="",D259=""),0,IF(SUMPRODUCT(--(R$4:R259=R259))&gt;1,1,0))</f>
        <v>0</v>
      </c>
      <c r="T259" s="8">
        <f t="shared" si="35"/>
        <v>0</v>
      </c>
    </row>
    <row r="260" spans="1:20" x14ac:dyDescent="0.25">
      <c r="A260" s="8">
        <v>257</v>
      </c>
      <c r="B260" s="9"/>
      <c r="C260" s="33" t="str">
        <f t="shared" ref="C260:C323" si="36">IF(B260="","",IFERROR(INDEX(SpaceNames,MATCH(B260,SpaceCodes,0))&amp;"",""))</f>
        <v/>
      </c>
      <c r="D260" s="9"/>
      <c r="E260" s="31"/>
      <c r="F260" s="11"/>
      <c r="G260" s="11"/>
      <c r="H260" s="9"/>
      <c r="I260" s="12" t="str">
        <f t="shared" ref="I260:I323" si="37">IF(R260="","",IF(S260=1,0,IF(AND(F260&lt;&gt;"",G260&lt;&gt;""),F260*G260*IF(H260="",1,H260),"")))</f>
        <v/>
      </c>
      <c r="J260" s="12" t="str">
        <f t="shared" ref="J260:J323" si="38">IF(R260="","",IF(T260=0,0,T260*SUMIFS(OP_Area,OP_Space,B260,OP_Wall,D260,OP_DedPl,"نعم")))</f>
        <v/>
      </c>
      <c r="K260" s="11"/>
      <c r="L260" s="12" t="str">
        <f t="shared" ref="L260:L323" si="39">IF(OR(R260="",I260=""),"",N(J260)+N(K260))</f>
        <v/>
      </c>
      <c r="M260" s="12" t="str">
        <f t="shared" ref="M260:M323" si="40">IF(OR(R260="",I260=""),"",I260-L260)</f>
        <v/>
      </c>
      <c r="N260" s="8" t="str">
        <f t="shared" ref="N260:N323" si="41">IF(E260="","",IFERROR(IF(INDEX(PlUnit,MATCH(E260,PlMat,0))="","م²",INDEX(PlUnit,MATCH(E260,PlMat,0))),"م²"))</f>
        <v/>
      </c>
      <c r="O260" s="9"/>
      <c r="P260" s="31"/>
      <c r="Q260" s="8" t="str">
        <f t="shared" ref="Q260:Q323" si="42">IF(R260="","",IF(S260=1,"تكرار — غير محتسب",IF(B260="","ناقص بيانات: كود الفراغ",IF(COUNTIF(SpaceCodes,B260)=0,"ناقص بيانات: الفراغ غير مسجل",IF(D260="","ناقص بيانات: كود الحائط",IF(E260="","ناقص بيانات: نوع البند",IF(I260="","ناقص قياس",IF(L260&gt;I260+0.000001,"خطأ خصم: الخصم أكبر من الإجمالي",IF(O260="نعم","يحتاج مراجعة","مكتمل")))))))))</f>
        <v/>
      </c>
      <c r="R260" s="8" t="str">
        <f t="shared" ref="R260:R323" si="43">IF(COUNTA(B260,D260:H260,K260)=0,"",B260&amp;"|"&amp;D260&amp;"|"&amp;E260)</f>
        <v/>
      </c>
      <c r="S260" s="8">
        <f>IF(OR(R260="",D260=""),0,IF(SUMPRODUCT(--(R$4:R260=R260))&gt;1,1,0))</f>
        <v>0</v>
      </c>
      <c r="T260" s="8">
        <f t="shared" ref="T260:T323" si="44">IF(OR(R260="",S260=1,B260="",D260=""),0,IF(H260="",1,H260))</f>
        <v>0</v>
      </c>
    </row>
    <row r="261" spans="1:20" x14ac:dyDescent="0.25">
      <c r="A261" s="8">
        <v>258</v>
      </c>
      <c r="B261" s="9"/>
      <c r="C261" s="33" t="str">
        <f t="shared" si="36"/>
        <v/>
      </c>
      <c r="D261" s="9"/>
      <c r="E261" s="31"/>
      <c r="F261" s="11"/>
      <c r="G261" s="11"/>
      <c r="H261" s="9"/>
      <c r="I261" s="12" t="str">
        <f t="shared" si="37"/>
        <v/>
      </c>
      <c r="J261" s="12" t="str">
        <f t="shared" si="38"/>
        <v/>
      </c>
      <c r="K261" s="11"/>
      <c r="L261" s="12" t="str">
        <f t="shared" si="39"/>
        <v/>
      </c>
      <c r="M261" s="12" t="str">
        <f t="shared" si="40"/>
        <v/>
      </c>
      <c r="N261" s="8" t="str">
        <f t="shared" si="41"/>
        <v/>
      </c>
      <c r="O261" s="9"/>
      <c r="P261" s="31"/>
      <c r="Q261" s="8" t="str">
        <f t="shared" si="42"/>
        <v/>
      </c>
      <c r="R261" s="8" t="str">
        <f t="shared" si="43"/>
        <v/>
      </c>
      <c r="S261" s="8">
        <f>IF(OR(R261="",D261=""),0,IF(SUMPRODUCT(--(R$4:R261=R261))&gt;1,1,0))</f>
        <v>0</v>
      </c>
      <c r="T261" s="8">
        <f t="shared" si="44"/>
        <v>0</v>
      </c>
    </row>
    <row r="262" spans="1:20" x14ac:dyDescent="0.25">
      <c r="A262" s="8">
        <v>259</v>
      </c>
      <c r="B262" s="9"/>
      <c r="C262" s="33" t="str">
        <f t="shared" si="36"/>
        <v/>
      </c>
      <c r="D262" s="9"/>
      <c r="E262" s="31"/>
      <c r="F262" s="11"/>
      <c r="G262" s="11"/>
      <c r="H262" s="9"/>
      <c r="I262" s="12" t="str">
        <f t="shared" si="37"/>
        <v/>
      </c>
      <c r="J262" s="12" t="str">
        <f t="shared" si="38"/>
        <v/>
      </c>
      <c r="K262" s="11"/>
      <c r="L262" s="12" t="str">
        <f t="shared" si="39"/>
        <v/>
      </c>
      <c r="M262" s="12" t="str">
        <f t="shared" si="40"/>
        <v/>
      </c>
      <c r="N262" s="8" t="str">
        <f t="shared" si="41"/>
        <v/>
      </c>
      <c r="O262" s="9"/>
      <c r="P262" s="31"/>
      <c r="Q262" s="8" t="str">
        <f t="shared" si="42"/>
        <v/>
      </c>
      <c r="R262" s="8" t="str">
        <f t="shared" si="43"/>
        <v/>
      </c>
      <c r="S262" s="8">
        <f>IF(OR(R262="",D262=""),0,IF(SUMPRODUCT(--(R$4:R262=R262))&gt;1,1,0))</f>
        <v>0</v>
      </c>
      <c r="T262" s="8">
        <f t="shared" si="44"/>
        <v>0</v>
      </c>
    </row>
    <row r="263" spans="1:20" x14ac:dyDescent="0.25">
      <c r="A263" s="8">
        <v>260</v>
      </c>
      <c r="B263" s="9"/>
      <c r="C263" s="33" t="str">
        <f t="shared" si="36"/>
        <v/>
      </c>
      <c r="D263" s="9"/>
      <c r="E263" s="31"/>
      <c r="F263" s="11"/>
      <c r="G263" s="11"/>
      <c r="H263" s="9"/>
      <c r="I263" s="12" t="str">
        <f t="shared" si="37"/>
        <v/>
      </c>
      <c r="J263" s="12" t="str">
        <f t="shared" si="38"/>
        <v/>
      </c>
      <c r="K263" s="11"/>
      <c r="L263" s="12" t="str">
        <f t="shared" si="39"/>
        <v/>
      </c>
      <c r="M263" s="12" t="str">
        <f t="shared" si="40"/>
        <v/>
      </c>
      <c r="N263" s="8" t="str">
        <f t="shared" si="41"/>
        <v/>
      </c>
      <c r="O263" s="9"/>
      <c r="P263" s="31"/>
      <c r="Q263" s="8" t="str">
        <f t="shared" si="42"/>
        <v/>
      </c>
      <c r="R263" s="8" t="str">
        <f t="shared" si="43"/>
        <v/>
      </c>
      <c r="S263" s="8">
        <f>IF(OR(R263="",D263=""),0,IF(SUMPRODUCT(--(R$4:R263=R263))&gt;1,1,0))</f>
        <v>0</v>
      </c>
      <c r="T263" s="8">
        <f t="shared" si="44"/>
        <v>0</v>
      </c>
    </row>
    <row r="264" spans="1:20" x14ac:dyDescent="0.25">
      <c r="A264" s="8">
        <v>261</v>
      </c>
      <c r="B264" s="9"/>
      <c r="C264" s="33" t="str">
        <f t="shared" si="36"/>
        <v/>
      </c>
      <c r="D264" s="9"/>
      <c r="E264" s="31"/>
      <c r="F264" s="11"/>
      <c r="G264" s="11"/>
      <c r="H264" s="9"/>
      <c r="I264" s="12" t="str">
        <f t="shared" si="37"/>
        <v/>
      </c>
      <c r="J264" s="12" t="str">
        <f t="shared" si="38"/>
        <v/>
      </c>
      <c r="K264" s="11"/>
      <c r="L264" s="12" t="str">
        <f t="shared" si="39"/>
        <v/>
      </c>
      <c r="M264" s="12" t="str">
        <f t="shared" si="40"/>
        <v/>
      </c>
      <c r="N264" s="8" t="str">
        <f t="shared" si="41"/>
        <v/>
      </c>
      <c r="O264" s="9"/>
      <c r="P264" s="31"/>
      <c r="Q264" s="8" t="str">
        <f t="shared" si="42"/>
        <v/>
      </c>
      <c r="R264" s="8" t="str">
        <f t="shared" si="43"/>
        <v/>
      </c>
      <c r="S264" s="8">
        <f>IF(OR(R264="",D264=""),0,IF(SUMPRODUCT(--(R$4:R264=R264))&gt;1,1,0))</f>
        <v>0</v>
      </c>
      <c r="T264" s="8">
        <f t="shared" si="44"/>
        <v>0</v>
      </c>
    </row>
    <row r="265" spans="1:20" x14ac:dyDescent="0.25">
      <c r="A265" s="8">
        <v>262</v>
      </c>
      <c r="B265" s="9"/>
      <c r="C265" s="33" t="str">
        <f t="shared" si="36"/>
        <v/>
      </c>
      <c r="D265" s="9"/>
      <c r="E265" s="31"/>
      <c r="F265" s="11"/>
      <c r="G265" s="11"/>
      <c r="H265" s="9"/>
      <c r="I265" s="12" t="str">
        <f t="shared" si="37"/>
        <v/>
      </c>
      <c r="J265" s="12" t="str">
        <f t="shared" si="38"/>
        <v/>
      </c>
      <c r="K265" s="11"/>
      <c r="L265" s="12" t="str">
        <f t="shared" si="39"/>
        <v/>
      </c>
      <c r="M265" s="12" t="str">
        <f t="shared" si="40"/>
        <v/>
      </c>
      <c r="N265" s="8" t="str">
        <f t="shared" si="41"/>
        <v/>
      </c>
      <c r="O265" s="9"/>
      <c r="P265" s="31"/>
      <c r="Q265" s="8" t="str">
        <f t="shared" si="42"/>
        <v/>
      </c>
      <c r="R265" s="8" t="str">
        <f t="shared" si="43"/>
        <v/>
      </c>
      <c r="S265" s="8">
        <f>IF(OR(R265="",D265=""),0,IF(SUMPRODUCT(--(R$4:R265=R265))&gt;1,1,0))</f>
        <v>0</v>
      </c>
      <c r="T265" s="8">
        <f t="shared" si="44"/>
        <v>0</v>
      </c>
    </row>
    <row r="266" spans="1:20" x14ac:dyDescent="0.25">
      <c r="A266" s="8">
        <v>263</v>
      </c>
      <c r="B266" s="9"/>
      <c r="C266" s="33" t="str">
        <f t="shared" si="36"/>
        <v/>
      </c>
      <c r="D266" s="9"/>
      <c r="E266" s="31"/>
      <c r="F266" s="11"/>
      <c r="G266" s="11"/>
      <c r="H266" s="9"/>
      <c r="I266" s="12" t="str">
        <f t="shared" si="37"/>
        <v/>
      </c>
      <c r="J266" s="12" t="str">
        <f t="shared" si="38"/>
        <v/>
      </c>
      <c r="K266" s="11"/>
      <c r="L266" s="12" t="str">
        <f t="shared" si="39"/>
        <v/>
      </c>
      <c r="M266" s="12" t="str">
        <f t="shared" si="40"/>
        <v/>
      </c>
      <c r="N266" s="8" t="str">
        <f t="shared" si="41"/>
        <v/>
      </c>
      <c r="O266" s="9"/>
      <c r="P266" s="31"/>
      <c r="Q266" s="8" t="str">
        <f t="shared" si="42"/>
        <v/>
      </c>
      <c r="R266" s="8" t="str">
        <f t="shared" si="43"/>
        <v/>
      </c>
      <c r="S266" s="8">
        <f>IF(OR(R266="",D266=""),0,IF(SUMPRODUCT(--(R$4:R266=R266))&gt;1,1,0))</f>
        <v>0</v>
      </c>
      <c r="T266" s="8">
        <f t="shared" si="44"/>
        <v>0</v>
      </c>
    </row>
    <row r="267" spans="1:20" x14ac:dyDescent="0.25">
      <c r="A267" s="8">
        <v>264</v>
      </c>
      <c r="B267" s="9"/>
      <c r="C267" s="33" t="str">
        <f t="shared" si="36"/>
        <v/>
      </c>
      <c r="D267" s="9"/>
      <c r="E267" s="31"/>
      <c r="F267" s="11"/>
      <c r="G267" s="11"/>
      <c r="H267" s="9"/>
      <c r="I267" s="12" t="str">
        <f t="shared" si="37"/>
        <v/>
      </c>
      <c r="J267" s="12" t="str">
        <f t="shared" si="38"/>
        <v/>
      </c>
      <c r="K267" s="11"/>
      <c r="L267" s="12" t="str">
        <f t="shared" si="39"/>
        <v/>
      </c>
      <c r="M267" s="12" t="str">
        <f t="shared" si="40"/>
        <v/>
      </c>
      <c r="N267" s="8" t="str">
        <f t="shared" si="41"/>
        <v/>
      </c>
      <c r="O267" s="9"/>
      <c r="P267" s="31"/>
      <c r="Q267" s="8" t="str">
        <f t="shared" si="42"/>
        <v/>
      </c>
      <c r="R267" s="8" t="str">
        <f t="shared" si="43"/>
        <v/>
      </c>
      <c r="S267" s="8">
        <f>IF(OR(R267="",D267=""),0,IF(SUMPRODUCT(--(R$4:R267=R267))&gt;1,1,0))</f>
        <v>0</v>
      </c>
      <c r="T267" s="8">
        <f t="shared" si="44"/>
        <v>0</v>
      </c>
    </row>
    <row r="268" spans="1:20" x14ac:dyDescent="0.25">
      <c r="A268" s="8">
        <v>265</v>
      </c>
      <c r="B268" s="9"/>
      <c r="C268" s="33" t="str">
        <f t="shared" si="36"/>
        <v/>
      </c>
      <c r="D268" s="9"/>
      <c r="E268" s="31"/>
      <c r="F268" s="11"/>
      <c r="G268" s="11"/>
      <c r="H268" s="9"/>
      <c r="I268" s="12" t="str">
        <f t="shared" si="37"/>
        <v/>
      </c>
      <c r="J268" s="12" t="str">
        <f t="shared" si="38"/>
        <v/>
      </c>
      <c r="K268" s="11"/>
      <c r="L268" s="12" t="str">
        <f t="shared" si="39"/>
        <v/>
      </c>
      <c r="M268" s="12" t="str">
        <f t="shared" si="40"/>
        <v/>
      </c>
      <c r="N268" s="8" t="str">
        <f t="shared" si="41"/>
        <v/>
      </c>
      <c r="O268" s="9"/>
      <c r="P268" s="31"/>
      <c r="Q268" s="8" t="str">
        <f t="shared" si="42"/>
        <v/>
      </c>
      <c r="R268" s="8" t="str">
        <f t="shared" si="43"/>
        <v/>
      </c>
      <c r="S268" s="8">
        <f>IF(OR(R268="",D268=""),0,IF(SUMPRODUCT(--(R$4:R268=R268))&gt;1,1,0))</f>
        <v>0</v>
      </c>
      <c r="T268" s="8">
        <f t="shared" si="44"/>
        <v>0</v>
      </c>
    </row>
    <row r="269" spans="1:20" x14ac:dyDescent="0.25">
      <c r="A269" s="8">
        <v>266</v>
      </c>
      <c r="B269" s="9"/>
      <c r="C269" s="33" t="str">
        <f t="shared" si="36"/>
        <v/>
      </c>
      <c r="D269" s="9"/>
      <c r="E269" s="31"/>
      <c r="F269" s="11"/>
      <c r="G269" s="11"/>
      <c r="H269" s="9"/>
      <c r="I269" s="12" t="str">
        <f t="shared" si="37"/>
        <v/>
      </c>
      <c r="J269" s="12" t="str">
        <f t="shared" si="38"/>
        <v/>
      </c>
      <c r="K269" s="11"/>
      <c r="L269" s="12" t="str">
        <f t="shared" si="39"/>
        <v/>
      </c>
      <c r="M269" s="12" t="str">
        <f t="shared" si="40"/>
        <v/>
      </c>
      <c r="N269" s="8" t="str">
        <f t="shared" si="41"/>
        <v/>
      </c>
      <c r="O269" s="9"/>
      <c r="P269" s="31"/>
      <c r="Q269" s="8" t="str">
        <f t="shared" si="42"/>
        <v/>
      </c>
      <c r="R269" s="8" t="str">
        <f t="shared" si="43"/>
        <v/>
      </c>
      <c r="S269" s="8">
        <f>IF(OR(R269="",D269=""),0,IF(SUMPRODUCT(--(R$4:R269=R269))&gt;1,1,0))</f>
        <v>0</v>
      </c>
      <c r="T269" s="8">
        <f t="shared" si="44"/>
        <v>0</v>
      </c>
    </row>
    <row r="270" spans="1:20" x14ac:dyDescent="0.25">
      <c r="A270" s="8">
        <v>267</v>
      </c>
      <c r="B270" s="9"/>
      <c r="C270" s="33" t="str">
        <f t="shared" si="36"/>
        <v/>
      </c>
      <c r="D270" s="9"/>
      <c r="E270" s="31"/>
      <c r="F270" s="11"/>
      <c r="G270" s="11"/>
      <c r="H270" s="9"/>
      <c r="I270" s="12" t="str">
        <f t="shared" si="37"/>
        <v/>
      </c>
      <c r="J270" s="12" t="str">
        <f t="shared" si="38"/>
        <v/>
      </c>
      <c r="K270" s="11"/>
      <c r="L270" s="12" t="str">
        <f t="shared" si="39"/>
        <v/>
      </c>
      <c r="M270" s="12" t="str">
        <f t="shared" si="40"/>
        <v/>
      </c>
      <c r="N270" s="8" t="str">
        <f t="shared" si="41"/>
        <v/>
      </c>
      <c r="O270" s="9"/>
      <c r="P270" s="31"/>
      <c r="Q270" s="8" t="str">
        <f t="shared" si="42"/>
        <v/>
      </c>
      <c r="R270" s="8" t="str">
        <f t="shared" si="43"/>
        <v/>
      </c>
      <c r="S270" s="8">
        <f>IF(OR(R270="",D270=""),0,IF(SUMPRODUCT(--(R$4:R270=R270))&gt;1,1,0))</f>
        <v>0</v>
      </c>
      <c r="T270" s="8">
        <f t="shared" si="44"/>
        <v>0</v>
      </c>
    </row>
    <row r="271" spans="1:20" x14ac:dyDescent="0.25">
      <c r="A271" s="8">
        <v>268</v>
      </c>
      <c r="B271" s="9"/>
      <c r="C271" s="33" t="str">
        <f t="shared" si="36"/>
        <v/>
      </c>
      <c r="D271" s="9"/>
      <c r="E271" s="31"/>
      <c r="F271" s="11"/>
      <c r="G271" s="11"/>
      <c r="H271" s="9"/>
      <c r="I271" s="12" t="str">
        <f t="shared" si="37"/>
        <v/>
      </c>
      <c r="J271" s="12" t="str">
        <f t="shared" si="38"/>
        <v/>
      </c>
      <c r="K271" s="11"/>
      <c r="L271" s="12" t="str">
        <f t="shared" si="39"/>
        <v/>
      </c>
      <c r="M271" s="12" t="str">
        <f t="shared" si="40"/>
        <v/>
      </c>
      <c r="N271" s="8" t="str">
        <f t="shared" si="41"/>
        <v/>
      </c>
      <c r="O271" s="9"/>
      <c r="P271" s="31"/>
      <c r="Q271" s="8" t="str">
        <f t="shared" si="42"/>
        <v/>
      </c>
      <c r="R271" s="8" t="str">
        <f t="shared" si="43"/>
        <v/>
      </c>
      <c r="S271" s="8">
        <f>IF(OR(R271="",D271=""),0,IF(SUMPRODUCT(--(R$4:R271=R271))&gt;1,1,0))</f>
        <v>0</v>
      </c>
      <c r="T271" s="8">
        <f t="shared" si="44"/>
        <v>0</v>
      </c>
    </row>
    <row r="272" spans="1:20" x14ac:dyDescent="0.25">
      <c r="A272" s="8">
        <v>269</v>
      </c>
      <c r="B272" s="9"/>
      <c r="C272" s="33" t="str">
        <f t="shared" si="36"/>
        <v/>
      </c>
      <c r="D272" s="9"/>
      <c r="E272" s="31"/>
      <c r="F272" s="11"/>
      <c r="G272" s="11"/>
      <c r="H272" s="9"/>
      <c r="I272" s="12" t="str">
        <f t="shared" si="37"/>
        <v/>
      </c>
      <c r="J272" s="12" t="str">
        <f t="shared" si="38"/>
        <v/>
      </c>
      <c r="K272" s="11"/>
      <c r="L272" s="12" t="str">
        <f t="shared" si="39"/>
        <v/>
      </c>
      <c r="M272" s="12" t="str">
        <f t="shared" si="40"/>
        <v/>
      </c>
      <c r="N272" s="8" t="str">
        <f t="shared" si="41"/>
        <v/>
      </c>
      <c r="O272" s="9"/>
      <c r="P272" s="31"/>
      <c r="Q272" s="8" t="str">
        <f t="shared" si="42"/>
        <v/>
      </c>
      <c r="R272" s="8" t="str">
        <f t="shared" si="43"/>
        <v/>
      </c>
      <c r="S272" s="8">
        <f>IF(OR(R272="",D272=""),0,IF(SUMPRODUCT(--(R$4:R272=R272))&gt;1,1,0))</f>
        <v>0</v>
      </c>
      <c r="T272" s="8">
        <f t="shared" si="44"/>
        <v>0</v>
      </c>
    </row>
    <row r="273" spans="1:20" x14ac:dyDescent="0.25">
      <c r="A273" s="8">
        <v>270</v>
      </c>
      <c r="B273" s="9"/>
      <c r="C273" s="33" t="str">
        <f t="shared" si="36"/>
        <v/>
      </c>
      <c r="D273" s="9"/>
      <c r="E273" s="31"/>
      <c r="F273" s="11"/>
      <c r="G273" s="11"/>
      <c r="H273" s="9"/>
      <c r="I273" s="12" t="str">
        <f t="shared" si="37"/>
        <v/>
      </c>
      <c r="J273" s="12" t="str">
        <f t="shared" si="38"/>
        <v/>
      </c>
      <c r="K273" s="11"/>
      <c r="L273" s="12" t="str">
        <f t="shared" si="39"/>
        <v/>
      </c>
      <c r="M273" s="12" t="str">
        <f t="shared" si="40"/>
        <v/>
      </c>
      <c r="N273" s="8" t="str">
        <f t="shared" si="41"/>
        <v/>
      </c>
      <c r="O273" s="9"/>
      <c r="P273" s="31"/>
      <c r="Q273" s="8" t="str">
        <f t="shared" si="42"/>
        <v/>
      </c>
      <c r="R273" s="8" t="str">
        <f t="shared" si="43"/>
        <v/>
      </c>
      <c r="S273" s="8">
        <f>IF(OR(R273="",D273=""),0,IF(SUMPRODUCT(--(R$4:R273=R273))&gt;1,1,0))</f>
        <v>0</v>
      </c>
      <c r="T273" s="8">
        <f t="shared" si="44"/>
        <v>0</v>
      </c>
    </row>
    <row r="274" spans="1:20" x14ac:dyDescent="0.25">
      <c r="A274" s="8">
        <v>271</v>
      </c>
      <c r="B274" s="9"/>
      <c r="C274" s="33" t="str">
        <f t="shared" si="36"/>
        <v/>
      </c>
      <c r="D274" s="9"/>
      <c r="E274" s="31"/>
      <c r="F274" s="11"/>
      <c r="G274" s="11"/>
      <c r="H274" s="9"/>
      <c r="I274" s="12" t="str">
        <f t="shared" si="37"/>
        <v/>
      </c>
      <c r="J274" s="12" t="str">
        <f t="shared" si="38"/>
        <v/>
      </c>
      <c r="K274" s="11"/>
      <c r="L274" s="12" t="str">
        <f t="shared" si="39"/>
        <v/>
      </c>
      <c r="M274" s="12" t="str">
        <f t="shared" si="40"/>
        <v/>
      </c>
      <c r="N274" s="8" t="str">
        <f t="shared" si="41"/>
        <v/>
      </c>
      <c r="O274" s="9"/>
      <c r="P274" s="31"/>
      <c r="Q274" s="8" t="str">
        <f t="shared" si="42"/>
        <v/>
      </c>
      <c r="R274" s="8" t="str">
        <f t="shared" si="43"/>
        <v/>
      </c>
      <c r="S274" s="8">
        <f>IF(OR(R274="",D274=""),0,IF(SUMPRODUCT(--(R$4:R274=R274))&gt;1,1,0))</f>
        <v>0</v>
      </c>
      <c r="T274" s="8">
        <f t="shared" si="44"/>
        <v>0</v>
      </c>
    </row>
    <row r="275" spans="1:20" x14ac:dyDescent="0.25">
      <c r="A275" s="8">
        <v>272</v>
      </c>
      <c r="B275" s="9"/>
      <c r="C275" s="33" t="str">
        <f t="shared" si="36"/>
        <v/>
      </c>
      <c r="D275" s="9"/>
      <c r="E275" s="31"/>
      <c r="F275" s="11"/>
      <c r="G275" s="11"/>
      <c r="H275" s="9"/>
      <c r="I275" s="12" t="str">
        <f t="shared" si="37"/>
        <v/>
      </c>
      <c r="J275" s="12" t="str">
        <f t="shared" si="38"/>
        <v/>
      </c>
      <c r="K275" s="11"/>
      <c r="L275" s="12" t="str">
        <f t="shared" si="39"/>
        <v/>
      </c>
      <c r="M275" s="12" t="str">
        <f t="shared" si="40"/>
        <v/>
      </c>
      <c r="N275" s="8" t="str">
        <f t="shared" si="41"/>
        <v/>
      </c>
      <c r="O275" s="9"/>
      <c r="P275" s="31"/>
      <c r="Q275" s="8" t="str">
        <f t="shared" si="42"/>
        <v/>
      </c>
      <c r="R275" s="8" t="str">
        <f t="shared" si="43"/>
        <v/>
      </c>
      <c r="S275" s="8">
        <f>IF(OR(R275="",D275=""),0,IF(SUMPRODUCT(--(R$4:R275=R275))&gt;1,1,0))</f>
        <v>0</v>
      </c>
      <c r="T275" s="8">
        <f t="shared" si="44"/>
        <v>0</v>
      </c>
    </row>
    <row r="276" spans="1:20" x14ac:dyDescent="0.25">
      <c r="A276" s="8">
        <v>273</v>
      </c>
      <c r="B276" s="9"/>
      <c r="C276" s="33" t="str">
        <f t="shared" si="36"/>
        <v/>
      </c>
      <c r="D276" s="9"/>
      <c r="E276" s="31"/>
      <c r="F276" s="11"/>
      <c r="G276" s="11"/>
      <c r="H276" s="9"/>
      <c r="I276" s="12" t="str">
        <f t="shared" si="37"/>
        <v/>
      </c>
      <c r="J276" s="12" t="str">
        <f t="shared" si="38"/>
        <v/>
      </c>
      <c r="K276" s="11"/>
      <c r="L276" s="12" t="str">
        <f t="shared" si="39"/>
        <v/>
      </c>
      <c r="M276" s="12" t="str">
        <f t="shared" si="40"/>
        <v/>
      </c>
      <c r="N276" s="8" t="str">
        <f t="shared" si="41"/>
        <v/>
      </c>
      <c r="O276" s="9"/>
      <c r="P276" s="31"/>
      <c r="Q276" s="8" t="str">
        <f t="shared" si="42"/>
        <v/>
      </c>
      <c r="R276" s="8" t="str">
        <f t="shared" si="43"/>
        <v/>
      </c>
      <c r="S276" s="8">
        <f>IF(OR(R276="",D276=""),0,IF(SUMPRODUCT(--(R$4:R276=R276))&gt;1,1,0))</f>
        <v>0</v>
      </c>
      <c r="T276" s="8">
        <f t="shared" si="44"/>
        <v>0</v>
      </c>
    </row>
    <row r="277" spans="1:20" x14ac:dyDescent="0.25">
      <c r="A277" s="8">
        <v>274</v>
      </c>
      <c r="B277" s="9"/>
      <c r="C277" s="33" t="str">
        <f t="shared" si="36"/>
        <v/>
      </c>
      <c r="D277" s="9"/>
      <c r="E277" s="31"/>
      <c r="F277" s="11"/>
      <c r="G277" s="11"/>
      <c r="H277" s="9"/>
      <c r="I277" s="12" t="str">
        <f t="shared" si="37"/>
        <v/>
      </c>
      <c r="J277" s="12" t="str">
        <f t="shared" si="38"/>
        <v/>
      </c>
      <c r="K277" s="11"/>
      <c r="L277" s="12" t="str">
        <f t="shared" si="39"/>
        <v/>
      </c>
      <c r="M277" s="12" t="str">
        <f t="shared" si="40"/>
        <v/>
      </c>
      <c r="N277" s="8" t="str">
        <f t="shared" si="41"/>
        <v/>
      </c>
      <c r="O277" s="9"/>
      <c r="P277" s="31"/>
      <c r="Q277" s="8" t="str">
        <f t="shared" si="42"/>
        <v/>
      </c>
      <c r="R277" s="8" t="str">
        <f t="shared" si="43"/>
        <v/>
      </c>
      <c r="S277" s="8">
        <f>IF(OR(R277="",D277=""),0,IF(SUMPRODUCT(--(R$4:R277=R277))&gt;1,1,0))</f>
        <v>0</v>
      </c>
      <c r="T277" s="8">
        <f t="shared" si="44"/>
        <v>0</v>
      </c>
    </row>
    <row r="278" spans="1:20" x14ac:dyDescent="0.25">
      <c r="A278" s="8">
        <v>275</v>
      </c>
      <c r="B278" s="9"/>
      <c r="C278" s="33" t="str">
        <f t="shared" si="36"/>
        <v/>
      </c>
      <c r="D278" s="9"/>
      <c r="E278" s="31"/>
      <c r="F278" s="11"/>
      <c r="G278" s="11"/>
      <c r="H278" s="9"/>
      <c r="I278" s="12" t="str">
        <f t="shared" si="37"/>
        <v/>
      </c>
      <c r="J278" s="12" t="str">
        <f t="shared" si="38"/>
        <v/>
      </c>
      <c r="K278" s="11"/>
      <c r="L278" s="12" t="str">
        <f t="shared" si="39"/>
        <v/>
      </c>
      <c r="M278" s="12" t="str">
        <f t="shared" si="40"/>
        <v/>
      </c>
      <c r="N278" s="8" t="str">
        <f t="shared" si="41"/>
        <v/>
      </c>
      <c r="O278" s="9"/>
      <c r="P278" s="31"/>
      <c r="Q278" s="8" t="str">
        <f t="shared" si="42"/>
        <v/>
      </c>
      <c r="R278" s="8" t="str">
        <f t="shared" si="43"/>
        <v/>
      </c>
      <c r="S278" s="8">
        <f>IF(OR(R278="",D278=""),0,IF(SUMPRODUCT(--(R$4:R278=R278))&gt;1,1,0))</f>
        <v>0</v>
      </c>
      <c r="T278" s="8">
        <f t="shared" si="44"/>
        <v>0</v>
      </c>
    </row>
    <row r="279" spans="1:20" x14ac:dyDescent="0.25">
      <c r="A279" s="8">
        <v>276</v>
      </c>
      <c r="B279" s="9"/>
      <c r="C279" s="33" t="str">
        <f t="shared" si="36"/>
        <v/>
      </c>
      <c r="D279" s="9"/>
      <c r="E279" s="31"/>
      <c r="F279" s="11"/>
      <c r="G279" s="11"/>
      <c r="H279" s="9"/>
      <c r="I279" s="12" t="str">
        <f t="shared" si="37"/>
        <v/>
      </c>
      <c r="J279" s="12" t="str">
        <f t="shared" si="38"/>
        <v/>
      </c>
      <c r="K279" s="11"/>
      <c r="L279" s="12" t="str">
        <f t="shared" si="39"/>
        <v/>
      </c>
      <c r="M279" s="12" t="str">
        <f t="shared" si="40"/>
        <v/>
      </c>
      <c r="N279" s="8" t="str">
        <f t="shared" si="41"/>
        <v/>
      </c>
      <c r="O279" s="9"/>
      <c r="P279" s="31"/>
      <c r="Q279" s="8" t="str">
        <f t="shared" si="42"/>
        <v/>
      </c>
      <c r="R279" s="8" t="str">
        <f t="shared" si="43"/>
        <v/>
      </c>
      <c r="S279" s="8">
        <f>IF(OR(R279="",D279=""),0,IF(SUMPRODUCT(--(R$4:R279=R279))&gt;1,1,0))</f>
        <v>0</v>
      </c>
      <c r="T279" s="8">
        <f t="shared" si="44"/>
        <v>0</v>
      </c>
    </row>
    <row r="280" spans="1:20" x14ac:dyDescent="0.25">
      <c r="A280" s="8">
        <v>277</v>
      </c>
      <c r="B280" s="9"/>
      <c r="C280" s="33" t="str">
        <f t="shared" si="36"/>
        <v/>
      </c>
      <c r="D280" s="9"/>
      <c r="E280" s="31"/>
      <c r="F280" s="11"/>
      <c r="G280" s="11"/>
      <c r="H280" s="9"/>
      <c r="I280" s="12" t="str">
        <f t="shared" si="37"/>
        <v/>
      </c>
      <c r="J280" s="12" t="str">
        <f t="shared" si="38"/>
        <v/>
      </c>
      <c r="K280" s="11"/>
      <c r="L280" s="12" t="str">
        <f t="shared" si="39"/>
        <v/>
      </c>
      <c r="M280" s="12" t="str">
        <f t="shared" si="40"/>
        <v/>
      </c>
      <c r="N280" s="8" t="str">
        <f t="shared" si="41"/>
        <v/>
      </c>
      <c r="O280" s="9"/>
      <c r="P280" s="31"/>
      <c r="Q280" s="8" t="str">
        <f t="shared" si="42"/>
        <v/>
      </c>
      <c r="R280" s="8" t="str">
        <f t="shared" si="43"/>
        <v/>
      </c>
      <c r="S280" s="8">
        <f>IF(OR(R280="",D280=""),0,IF(SUMPRODUCT(--(R$4:R280=R280))&gt;1,1,0))</f>
        <v>0</v>
      </c>
      <c r="T280" s="8">
        <f t="shared" si="44"/>
        <v>0</v>
      </c>
    </row>
    <row r="281" spans="1:20" x14ac:dyDescent="0.25">
      <c r="A281" s="8">
        <v>278</v>
      </c>
      <c r="B281" s="9"/>
      <c r="C281" s="33" t="str">
        <f t="shared" si="36"/>
        <v/>
      </c>
      <c r="D281" s="9"/>
      <c r="E281" s="31"/>
      <c r="F281" s="11"/>
      <c r="G281" s="11"/>
      <c r="H281" s="9"/>
      <c r="I281" s="12" t="str">
        <f t="shared" si="37"/>
        <v/>
      </c>
      <c r="J281" s="12" t="str">
        <f t="shared" si="38"/>
        <v/>
      </c>
      <c r="K281" s="11"/>
      <c r="L281" s="12" t="str">
        <f t="shared" si="39"/>
        <v/>
      </c>
      <c r="M281" s="12" t="str">
        <f t="shared" si="40"/>
        <v/>
      </c>
      <c r="N281" s="8" t="str">
        <f t="shared" si="41"/>
        <v/>
      </c>
      <c r="O281" s="9"/>
      <c r="P281" s="31"/>
      <c r="Q281" s="8" t="str">
        <f t="shared" si="42"/>
        <v/>
      </c>
      <c r="R281" s="8" t="str">
        <f t="shared" si="43"/>
        <v/>
      </c>
      <c r="S281" s="8">
        <f>IF(OR(R281="",D281=""),0,IF(SUMPRODUCT(--(R$4:R281=R281))&gt;1,1,0))</f>
        <v>0</v>
      </c>
      <c r="T281" s="8">
        <f t="shared" si="44"/>
        <v>0</v>
      </c>
    </row>
    <row r="282" spans="1:20" x14ac:dyDescent="0.25">
      <c r="A282" s="8">
        <v>279</v>
      </c>
      <c r="B282" s="9"/>
      <c r="C282" s="33" t="str">
        <f t="shared" si="36"/>
        <v/>
      </c>
      <c r="D282" s="9"/>
      <c r="E282" s="31"/>
      <c r="F282" s="11"/>
      <c r="G282" s="11"/>
      <c r="H282" s="9"/>
      <c r="I282" s="12" t="str">
        <f t="shared" si="37"/>
        <v/>
      </c>
      <c r="J282" s="12" t="str">
        <f t="shared" si="38"/>
        <v/>
      </c>
      <c r="K282" s="11"/>
      <c r="L282" s="12" t="str">
        <f t="shared" si="39"/>
        <v/>
      </c>
      <c r="M282" s="12" t="str">
        <f t="shared" si="40"/>
        <v/>
      </c>
      <c r="N282" s="8" t="str">
        <f t="shared" si="41"/>
        <v/>
      </c>
      <c r="O282" s="9"/>
      <c r="P282" s="31"/>
      <c r="Q282" s="8" t="str">
        <f t="shared" si="42"/>
        <v/>
      </c>
      <c r="R282" s="8" t="str">
        <f t="shared" si="43"/>
        <v/>
      </c>
      <c r="S282" s="8">
        <f>IF(OR(R282="",D282=""),0,IF(SUMPRODUCT(--(R$4:R282=R282))&gt;1,1,0))</f>
        <v>0</v>
      </c>
      <c r="T282" s="8">
        <f t="shared" si="44"/>
        <v>0</v>
      </c>
    </row>
    <row r="283" spans="1:20" x14ac:dyDescent="0.25">
      <c r="A283" s="8">
        <v>280</v>
      </c>
      <c r="B283" s="9"/>
      <c r="C283" s="33" t="str">
        <f t="shared" si="36"/>
        <v/>
      </c>
      <c r="D283" s="9"/>
      <c r="E283" s="31"/>
      <c r="F283" s="11"/>
      <c r="G283" s="11"/>
      <c r="H283" s="9"/>
      <c r="I283" s="12" t="str">
        <f t="shared" si="37"/>
        <v/>
      </c>
      <c r="J283" s="12" t="str">
        <f t="shared" si="38"/>
        <v/>
      </c>
      <c r="K283" s="11"/>
      <c r="L283" s="12" t="str">
        <f t="shared" si="39"/>
        <v/>
      </c>
      <c r="M283" s="12" t="str">
        <f t="shared" si="40"/>
        <v/>
      </c>
      <c r="N283" s="8" t="str">
        <f t="shared" si="41"/>
        <v/>
      </c>
      <c r="O283" s="9"/>
      <c r="P283" s="31"/>
      <c r="Q283" s="8" t="str">
        <f t="shared" si="42"/>
        <v/>
      </c>
      <c r="R283" s="8" t="str">
        <f t="shared" si="43"/>
        <v/>
      </c>
      <c r="S283" s="8">
        <f>IF(OR(R283="",D283=""),0,IF(SUMPRODUCT(--(R$4:R283=R283))&gt;1,1,0))</f>
        <v>0</v>
      </c>
      <c r="T283" s="8">
        <f t="shared" si="44"/>
        <v>0</v>
      </c>
    </row>
    <row r="284" spans="1:20" x14ac:dyDescent="0.25">
      <c r="A284" s="8">
        <v>281</v>
      </c>
      <c r="B284" s="9"/>
      <c r="C284" s="33" t="str">
        <f t="shared" si="36"/>
        <v/>
      </c>
      <c r="D284" s="9"/>
      <c r="E284" s="31"/>
      <c r="F284" s="11"/>
      <c r="G284" s="11"/>
      <c r="H284" s="9"/>
      <c r="I284" s="12" t="str">
        <f t="shared" si="37"/>
        <v/>
      </c>
      <c r="J284" s="12" t="str">
        <f t="shared" si="38"/>
        <v/>
      </c>
      <c r="K284" s="11"/>
      <c r="L284" s="12" t="str">
        <f t="shared" si="39"/>
        <v/>
      </c>
      <c r="M284" s="12" t="str">
        <f t="shared" si="40"/>
        <v/>
      </c>
      <c r="N284" s="8" t="str">
        <f t="shared" si="41"/>
        <v/>
      </c>
      <c r="O284" s="9"/>
      <c r="P284" s="31"/>
      <c r="Q284" s="8" t="str">
        <f t="shared" si="42"/>
        <v/>
      </c>
      <c r="R284" s="8" t="str">
        <f t="shared" si="43"/>
        <v/>
      </c>
      <c r="S284" s="8">
        <f>IF(OR(R284="",D284=""),0,IF(SUMPRODUCT(--(R$4:R284=R284))&gt;1,1,0))</f>
        <v>0</v>
      </c>
      <c r="T284" s="8">
        <f t="shared" si="44"/>
        <v>0</v>
      </c>
    </row>
    <row r="285" spans="1:20" x14ac:dyDescent="0.25">
      <c r="A285" s="8">
        <v>282</v>
      </c>
      <c r="B285" s="9"/>
      <c r="C285" s="33" t="str">
        <f t="shared" si="36"/>
        <v/>
      </c>
      <c r="D285" s="9"/>
      <c r="E285" s="31"/>
      <c r="F285" s="11"/>
      <c r="G285" s="11"/>
      <c r="H285" s="9"/>
      <c r="I285" s="12" t="str">
        <f t="shared" si="37"/>
        <v/>
      </c>
      <c r="J285" s="12" t="str">
        <f t="shared" si="38"/>
        <v/>
      </c>
      <c r="K285" s="11"/>
      <c r="L285" s="12" t="str">
        <f t="shared" si="39"/>
        <v/>
      </c>
      <c r="M285" s="12" t="str">
        <f t="shared" si="40"/>
        <v/>
      </c>
      <c r="N285" s="8" t="str">
        <f t="shared" si="41"/>
        <v/>
      </c>
      <c r="O285" s="9"/>
      <c r="P285" s="31"/>
      <c r="Q285" s="8" t="str">
        <f t="shared" si="42"/>
        <v/>
      </c>
      <c r="R285" s="8" t="str">
        <f t="shared" si="43"/>
        <v/>
      </c>
      <c r="S285" s="8">
        <f>IF(OR(R285="",D285=""),0,IF(SUMPRODUCT(--(R$4:R285=R285))&gt;1,1,0))</f>
        <v>0</v>
      </c>
      <c r="T285" s="8">
        <f t="shared" si="44"/>
        <v>0</v>
      </c>
    </row>
    <row r="286" spans="1:20" x14ac:dyDescent="0.25">
      <c r="A286" s="8">
        <v>283</v>
      </c>
      <c r="B286" s="9"/>
      <c r="C286" s="33" t="str">
        <f t="shared" si="36"/>
        <v/>
      </c>
      <c r="D286" s="9"/>
      <c r="E286" s="31"/>
      <c r="F286" s="11"/>
      <c r="G286" s="11"/>
      <c r="H286" s="9"/>
      <c r="I286" s="12" t="str">
        <f t="shared" si="37"/>
        <v/>
      </c>
      <c r="J286" s="12" t="str">
        <f t="shared" si="38"/>
        <v/>
      </c>
      <c r="K286" s="11"/>
      <c r="L286" s="12" t="str">
        <f t="shared" si="39"/>
        <v/>
      </c>
      <c r="M286" s="12" t="str">
        <f t="shared" si="40"/>
        <v/>
      </c>
      <c r="N286" s="8" t="str">
        <f t="shared" si="41"/>
        <v/>
      </c>
      <c r="O286" s="9"/>
      <c r="P286" s="31"/>
      <c r="Q286" s="8" t="str">
        <f t="shared" si="42"/>
        <v/>
      </c>
      <c r="R286" s="8" t="str">
        <f t="shared" si="43"/>
        <v/>
      </c>
      <c r="S286" s="8">
        <f>IF(OR(R286="",D286=""),0,IF(SUMPRODUCT(--(R$4:R286=R286))&gt;1,1,0))</f>
        <v>0</v>
      </c>
      <c r="T286" s="8">
        <f t="shared" si="44"/>
        <v>0</v>
      </c>
    </row>
    <row r="287" spans="1:20" x14ac:dyDescent="0.25">
      <c r="A287" s="8">
        <v>284</v>
      </c>
      <c r="B287" s="9"/>
      <c r="C287" s="33" t="str">
        <f t="shared" si="36"/>
        <v/>
      </c>
      <c r="D287" s="9"/>
      <c r="E287" s="31"/>
      <c r="F287" s="11"/>
      <c r="G287" s="11"/>
      <c r="H287" s="9"/>
      <c r="I287" s="12" t="str">
        <f t="shared" si="37"/>
        <v/>
      </c>
      <c r="J287" s="12" t="str">
        <f t="shared" si="38"/>
        <v/>
      </c>
      <c r="K287" s="11"/>
      <c r="L287" s="12" t="str">
        <f t="shared" si="39"/>
        <v/>
      </c>
      <c r="M287" s="12" t="str">
        <f t="shared" si="40"/>
        <v/>
      </c>
      <c r="N287" s="8" t="str">
        <f t="shared" si="41"/>
        <v/>
      </c>
      <c r="O287" s="9"/>
      <c r="P287" s="31"/>
      <c r="Q287" s="8" t="str">
        <f t="shared" si="42"/>
        <v/>
      </c>
      <c r="R287" s="8" t="str">
        <f t="shared" si="43"/>
        <v/>
      </c>
      <c r="S287" s="8">
        <f>IF(OR(R287="",D287=""),0,IF(SUMPRODUCT(--(R$4:R287=R287))&gt;1,1,0))</f>
        <v>0</v>
      </c>
      <c r="T287" s="8">
        <f t="shared" si="44"/>
        <v>0</v>
      </c>
    </row>
    <row r="288" spans="1:20" x14ac:dyDescent="0.25">
      <c r="A288" s="8">
        <v>285</v>
      </c>
      <c r="B288" s="9"/>
      <c r="C288" s="33" t="str">
        <f t="shared" si="36"/>
        <v/>
      </c>
      <c r="D288" s="9"/>
      <c r="E288" s="31"/>
      <c r="F288" s="11"/>
      <c r="G288" s="11"/>
      <c r="H288" s="9"/>
      <c r="I288" s="12" t="str">
        <f t="shared" si="37"/>
        <v/>
      </c>
      <c r="J288" s="12" t="str">
        <f t="shared" si="38"/>
        <v/>
      </c>
      <c r="K288" s="11"/>
      <c r="L288" s="12" t="str">
        <f t="shared" si="39"/>
        <v/>
      </c>
      <c r="M288" s="12" t="str">
        <f t="shared" si="40"/>
        <v/>
      </c>
      <c r="N288" s="8" t="str">
        <f t="shared" si="41"/>
        <v/>
      </c>
      <c r="O288" s="9"/>
      <c r="P288" s="31"/>
      <c r="Q288" s="8" t="str">
        <f t="shared" si="42"/>
        <v/>
      </c>
      <c r="R288" s="8" t="str">
        <f t="shared" si="43"/>
        <v/>
      </c>
      <c r="S288" s="8">
        <f>IF(OR(R288="",D288=""),0,IF(SUMPRODUCT(--(R$4:R288=R288))&gt;1,1,0))</f>
        <v>0</v>
      </c>
      <c r="T288" s="8">
        <f t="shared" si="44"/>
        <v>0</v>
      </c>
    </row>
    <row r="289" spans="1:20" x14ac:dyDescent="0.25">
      <c r="A289" s="8">
        <v>286</v>
      </c>
      <c r="B289" s="9"/>
      <c r="C289" s="33" t="str">
        <f t="shared" si="36"/>
        <v/>
      </c>
      <c r="D289" s="9"/>
      <c r="E289" s="31"/>
      <c r="F289" s="11"/>
      <c r="G289" s="11"/>
      <c r="H289" s="9"/>
      <c r="I289" s="12" t="str">
        <f t="shared" si="37"/>
        <v/>
      </c>
      <c r="J289" s="12" t="str">
        <f t="shared" si="38"/>
        <v/>
      </c>
      <c r="K289" s="11"/>
      <c r="L289" s="12" t="str">
        <f t="shared" si="39"/>
        <v/>
      </c>
      <c r="M289" s="12" t="str">
        <f t="shared" si="40"/>
        <v/>
      </c>
      <c r="N289" s="8" t="str">
        <f t="shared" si="41"/>
        <v/>
      </c>
      <c r="O289" s="9"/>
      <c r="P289" s="31"/>
      <c r="Q289" s="8" t="str">
        <f t="shared" si="42"/>
        <v/>
      </c>
      <c r="R289" s="8" t="str">
        <f t="shared" si="43"/>
        <v/>
      </c>
      <c r="S289" s="8">
        <f>IF(OR(R289="",D289=""),0,IF(SUMPRODUCT(--(R$4:R289=R289))&gt;1,1,0))</f>
        <v>0</v>
      </c>
      <c r="T289" s="8">
        <f t="shared" si="44"/>
        <v>0</v>
      </c>
    </row>
    <row r="290" spans="1:20" x14ac:dyDescent="0.25">
      <c r="A290" s="8">
        <v>287</v>
      </c>
      <c r="B290" s="9"/>
      <c r="C290" s="33" t="str">
        <f t="shared" si="36"/>
        <v/>
      </c>
      <c r="D290" s="9"/>
      <c r="E290" s="31"/>
      <c r="F290" s="11"/>
      <c r="G290" s="11"/>
      <c r="H290" s="9"/>
      <c r="I290" s="12" t="str">
        <f t="shared" si="37"/>
        <v/>
      </c>
      <c r="J290" s="12" t="str">
        <f t="shared" si="38"/>
        <v/>
      </c>
      <c r="K290" s="11"/>
      <c r="L290" s="12" t="str">
        <f t="shared" si="39"/>
        <v/>
      </c>
      <c r="M290" s="12" t="str">
        <f t="shared" si="40"/>
        <v/>
      </c>
      <c r="N290" s="8" t="str">
        <f t="shared" si="41"/>
        <v/>
      </c>
      <c r="O290" s="9"/>
      <c r="P290" s="31"/>
      <c r="Q290" s="8" t="str">
        <f t="shared" si="42"/>
        <v/>
      </c>
      <c r="R290" s="8" t="str">
        <f t="shared" si="43"/>
        <v/>
      </c>
      <c r="S290" s="8">
        <f>IF(OR(R290="",D290=""),0,IF(SUMPRODUCT(--(R$4:R290=R290))&gt;1,1,0))</f>
        <v>0</v>
      </c>
      <c r="T290" s="8">
        <f t="shared" si="44"/>
        <v>0</v>
      </c>
    </row>
    <row r="291" spans="1:20" x14ac:dyDescent="0.25">
      <c r="A291" s="8">
        <v>288</v>
      </c>
      <c r="B291" s="9"/>
      <c r="C291" s="33" t="str">
        <f t="shared" si="36"/>
        <v/>
      </c>
      <c r="D291" s="9"/>
      <c r="E291" s="31"/>
      <c r="F291" s="11"/>
      <c r="G291" s="11"/>
      <c r="H291" s="9"/>
      <c r="I291" s="12" t="str">
        <f t="shared" si="37"/>
        <v/>
      </c>
      <c r="J291" s="12" t="str">
        <f t="shared" si="38"/>
        <v/>
      </c>
      <c r="K291" s="11"/>
      <c r="L291" s="12" t="str">
        <f t="shared" si="39"/>
        <v/>
      </c>
      <c r="M291" s="12" t="str">
        <f t="shared" si="40"/>
        <v/>
      </c>
      <c r="N291" s="8" t="str">
        <f t="shared" si="41"/>
        <v/>
      </c>
      <c r="O291" s="9"/>
      <c r="P291" s="31"/>
      <c r="Q291" s="8" t="str">
        <f t="shared" si="42"/>
        <v/>
      </c>
      <c r="R291" s="8" t="str">
        <f t="shared" si="43"/>
        <v/>
      </c>
      <c r="S291" s="8">
        <f>IF(OR(R291="",D291=""),0,IF(SUMPRODUCT(--(R$4:R291=R291))&gt;1,1,0))</f>
        <v>0</v>
      </c>
      <c r="T291" s="8">
        <f t="shared" si="44"/>
        <v>0</v>
      </c>
    </row>
    <row r="292" spans="1:20" x14ac:dyDescent="0.25">
      <c r="A292" s="8">
        <v>289</v>
      </c>
      <c r="B292" s="9"/>
      <c r="C292" s="33" t="str">
        <f t="shared" si="36"/>
        <v/>
      </c>
      <c r="D292" s="9"/>
      <c r="E292" s="31"/>
      <c r="F292" s="11"/>
      <c r="G292" s="11"/>
      <c r="H292" s="9"/>
      <c r="I292" s="12" t="str">
        <f t="shared" si="37"/>
        <v/>
      </c>
      <c r="J292" s="12" t="str">
        <f t="shared" si="38"/>
        <v/>
      </c>
      <c r="K292" s="11"/>
      <c r="L292" s="12" t="str">
        <f t="shared" si="39"/>
        <v/>
      </c>
      <c r="M292" s="12" t="str">
        <f t="shared" si="40"/>
        <v/>
      </c>
      <c r="N292" s="8" t="str">
        <f t="shared" si="41"/>
        <v/>
      </c>
      <c r="O292" s="9"/>
      <c r="P292" s="31"/>
      <c r="Q292" s="8" t="str">
        <f t="shared" si="42"/>
        <v/>
      </c>
      <c r="R292" s="8" t="str">
        <f t="shared" si="43"/>
        <v/>
      </c>
      <c r="S292" s="8">
        <f>IF(OR(R292="",D292=""),0,IF(SUMPRODUCT(--(R$4:R292=R292))&gt;1,1,0))</f>
        <v>0</v>
      </c>
      <c r="T292" s="8">
        <f t="shared" si="44"/>
        <v>0</v>
      </c>
    </row>
    <row r="293" spans="1:20" x14ac:dyDescent="0.25">
      <c r="A293" s="8">
        <v>290</v>
      </c>
      <c r="B293" s="9"/>
      <c r="C293" s="33" t="str">
        <f t="shared" si="36"/>
        <v/>
      </c>
      <c r="D293" s="9"/>
      <c r="E293" s="31"/>
      <c r="F293" s="11"/>
      <c r="G293" s="11"/>
      <c r="H293" s="9"/>
      <c r="I293" s="12" t="str">
        <f t="shared" si="37"/>
        <v/>
      </c>
      <c r="J293" s="12" t="str">
        <f t="shared" si="38"/>
        <v/>
      </c>
      <c r="K293" s="11"/>
      <c r="L293" s="12" t="str">
        <f t="shared" si="39"/>
        <v/>
      </c>
      <c r="M293" s="12" t="str">
        <f t="shared" si="40"/>
        <v/>
      </c>
      <c r="N293" s="8" t="str">
        <f t="shared" si="41"/>
        <v/>
      </c>
      <c r="O293" s="9"/>
      <c r="P293" s="31"/>
      <c r="Q293" s="8" t="str">
        <f t="shared" si="42"/>
        <v/>
      </c>
      <c r="R293" s="8" t="str">
        <f t="shared" si="43"/>
        <v/>
      </c>
      <c r="S293" s="8">
        <f>IF(OR(R293="",D293=""),0,IF(SUMPRODUCT(--(R$4:R293=R293))&gt;1,1,0))</f>
        <v>0</v>
      </c>
      <c r="T293" s="8">
        <f t="shared" si="44"/>
        <v>0</v>
      </c>
    </row>
    <row r="294" spans="1:20" x14ac:dyDescent="0.25">
      <c r="A294" s="8">
        <v>291</v>
      </c>
      <c r="B294" s="9"/>
      <c r="C294" s="33" t="str">
        <f t="shared" si="36"/>
        <v/>
      </c>
      <c r="D294" s="9"/>
      <c r="E294" s="31"/>
      <c r="F294" s="11"/>
      <c r="G294" s="11"/>
      <c r="H294" s="9"/>
      <c r="I294" s="12" t="str">
        <f t="shared" si="37"/>
        <v/>
      </c>
      <c r="J294" s="12" t="str">
        <f t="shared" si="38"/>
        <v/>
      </c>
      <c r="K294" s="11"/>
      <c r="L294" s="12" t="str">
        <f t="shared" si="39"/>
        <v/>
      </c>
      <c r="M294" s="12" t="str">
        <f t="shared" si="40"/>
        <v/>
      </c>
      <c r="N294" s="8" t="str">
        <f t="shared" si="41"/>
        <v/>
      </c>
      <c r="O294" s="9"/>
      <c r="P294" s="31"/>
      <c r="Q294" s="8" t="str">
        <f t="shared" si="42"/>
        <v/>
      </c>
      <c r="R294" s="8" t="str">
        <f t="shared" si="43"/>
        <v/>
      </c>
      <c r="S294" s="8">
        <f>IF(OR(R294="",D294=""),0,IF(SUMPRODUCT(--(R$4:R294=R294))&gt;1,1,0))</f>
        <v>0</v>
      </c>
      <c r="T294" s="8">
        <f t="shared" si="44"/>
        <v>0</v>
      </c>
    </row>
    <row r="295" spans="1:20" x14ac:dyDescent="0.25">
      <c r="A295" s="8">
        <v>292</v>
      </c>
      <c r="B295" s="9"/>
      <c r="C295" s="33" t="str">
        <f t="shared" si="36"/>
        <v/>
      </c>
      <c r="D295" s="9"/>
      <c r="E295" s="31"/>
      <c r="F295" s="11"/>
      <c r="G295" s="11"/>
      <c r="H295" s="9"/>
      <c r="I295" s="12" t="str">
        <f t="shared" si="37"/>
        <v/>
      </c>
      <c r="J295" s="12" t="str">
        <f t="shared" si="38"/>
        <v/>
      </c>
      <c r="K295" s="11"/>
      <c r="L295" s="12" t="str">
        <f t="shared" si="39"/>
        <v/>
      </c>
      <c r="M295" s="12" t="str">
        <f t="shared" si="40"/>
        <v/>
      </c>
      <c r="N295" s="8" t="str">
        <f t="shared" si="41"/>
        <v/>
      </c>
      <c r="O295" s="9"/>
      <c r="P295" s="31"/>
      <c r="Q295" s="8" t="str">
        <f t="shared" si="42"/>
        <v/>
      </c>
      <c r="R295" s="8" t="str">
        <f t="shared" si="43"/>
        <v/>
      </c>
      <c r="S295" s="8">
        <f>IF(OR(R295="",D295=""),0,IF(SUMPRODUCT(--(R$4:R295=R295))&gt;1,1,0))</f>
        <v>0</v>
      </c>
      <c r="T295" s="8">
        <f t="shared" si="44"/>
        <v>0</v>
      </c>
    </row>
    <row r="296" spans="1:20" x14ac:dyDescent="0.25">
      <c r="A296" s="8">
        <v>293</v>
      </c>
      <c r="B296" s="9"/>
      <c r="C296" s="33" t="str">
        <f t="shared" si="36"/>
        <v/>
      </c>
      <c r="D296" s="9"/>
      <c r="E296" s="31"/>
      <c r="F296" s="11"/>
      <c r="G296" s="11"/>
      <c r="H296" s="9"/>
      <c r="I296" s="12" t="str">
        <f t="shared" si="37"/>
        <v/>
      </c>
      <c r="J296" s="12" t="str">
        <f t="shared" si="38"/>
        <v/>
      </c>
      <c r="K296" s="11"/>
      <c r="L296" s="12" t="str">
        <f t="shared" si="39"/>
        <v/>
      </c>
      <c r="M296" s="12" t="str">
        <f t="shared" si="40"/>
        <v/>
      </c>
      <c r="N296" s="8" t="str">
        <f t="shared" si="41"/>
        <v/>
      </c>
      <c r="O296" s="9"/>
      <c r="P296" s="31"/>
      <c r="Q296" s="8" t="str">
        <f t="shared" si="42"/>
        <v/>
      </c>
      <c r="R296" s="8" t="str">
        <f t="shared" si="43"/>
        <v/>
      </c>
      <c r="S296" s="8">
        <f>IF(OR(R296="",D296=""),0,IF(SUMPRODUCT(--(R$4:R296=R296))&gt;1,1,0))</f>
        <v>0</v>
      </c>
      <c r="T296" s="8">
        <f t="shared" si="44"/>
        <v>0</v>
      </c>
    </row>
    <row r="297" spans="1:20" x14ac:dyDescent="0.25">
      <c r="A297" s="8">
        <v>294</v>
      </c>
      <c r="B297" s="9"/>
      <c r="C297" s="33" t="str">
        <f t="shared" si="36"/>
        <v/>
      </c>
      <c r="D297" s="9"/>
      <c r="E297" s="31"/>
      <c r="F297" s="11"/>
      <c r="G297" s="11"/>
      <c r="H297" s="9"/>
      <c r="I297" s="12" t="str">
        <f t="shared" si="37"/>
        <v/>
      </c>
      <c r="J297" s="12" t="str">
        <f t="shared" si="38"/>
        <v/>
      </c>
      <c r="K297" s="11"/>
      <c r="L297" s="12" t="str">
        <f t="shared" si="39"/>
        <v/>
      </c>
      <c r="M297" s="12" t="str">
        <f t="shared" si="40"/>
        <v/>
      </c>
      <c r="N297" s="8" t="str">
        <f t="shared" si="41"/>
        <v/>
      </c>
      <c r="O297" s="9"/>
      <c r="P297" s="31"/>
      <c r="Q297" s="8" t="str">
        <f t="shared" si="42"/>
        <v/>
      </c>
      <c r="R297" s="8" t="str">
        <f t="shared" si="43"/>
        <v/>
      </c>
      <c r="S297" s="8">
        <f>IF(OR(R297="",D297=""),0,IF(SUMPRODUCT(--(R$4:R297=R297))&gt;1,1,0))</f>
        <v>0</v>
      </c>
      <c r="T297" s="8">
        <f t="shared" si="44"/>
        <v>0</v>
      </c>
    </row>
    <row r="298" spans="1:20" x14ac:dyDescent="0.25">
      <c r="A298" s="8">
        <v>295</v>
      </c>
      <c r="B298" s="9"/>
      <c r="C298" s="33" t="str">
        <f t="shared" si="36"/>
        <v/>
      </c>
      <c r="D298" s="9"/>
      <c r="E298" s="31"/>
      <c r="F298" s="11"/>
      <c r="G298" s="11"/>
      <c r="H298" s="9"/>
      <c r="I298" s="12" t="str">
        <f t="shared" si="37"/>
        <v/>
      </c>
      <c r="J298" s="12" t="str">
        <f t="shared" si="38"/>
        <v/>
      </c>
      <c r="K298" s="11"/>
      <c r="L298" s="12" t="str">
        <f t="shared" si="39"/>
        <v/>
      </c>
      <c r="M298" s="12" t="str">
        <f t="shared" si="40"/>
        <v/>
      </c>
      <c r="N298" s="8" t="str">
        <f t="shared" si="41"/>
        <v/>
      </c>
      <c r="O298" s="9"/>
      <c r="P298" s="31"/>
      <c r="Q298" s="8" t="str">
        <f t="shared" si="42"/>
        <v/>
      </c>
      <c r="R298" s="8" t="str">
        <f t="shared" si="43"/>
        <v/>
      </c>
      <c r="S298" s="8">
        <f>IF(OR(R298="",D298=""),0,IF(SUMPRODUCT(--(R$4:R298=R298))&gt;1,1,0))</f>
        <v>0</v>
      </c>
      <c r="T298" s="8">
        <f t="shared" si="44"/>
        <v>0</v>
      </c>
    </row>
    <row r="299" spans="1:20" x14ac:dyDescent="0.25">
      <c r="A299" s="8">
        <v>296</v>
      </c>
      <c r="B299" s="9"/>
      <c r="C299" s="33" t="str">
        <f t="shared" si="36"/>
        <v/>
      </c>
      <c r="D299" s="9"/>
      <c r="E299" s="31"/>
      <c r="F299" s="11"/>
      <c r="G299" s="11"/>
      <c r="H299" s="9"/>
      <c r="I299" s="12" t="str">
        <f t="shared" si="37"/>
        <v/>
      </c>
      <c r="J299" s="12" t="str">
        <f t="shared" si="38"/>
        <v/>
      </c>
      <c r="K299" s="11"/>
      <c r="L299" s="12" t="str">
        <f t="shared" si="39"/>
        <v/>
      </c>
      <c r="M299" s="12" t="str">
        <f t="shared" si="40"/>
        <v/>
      </c>
      <c r="N299" s="8" t="str">
        <f t="shared" si="41"/>
        <v/>
      </c>
      <c r="O299" s="9"/>
      <c r="P299" s="31"/>
      <c r="Q299" s="8" t="str">
        <f t="shared" si="42"/>
        <v/>
      </c>
      <c r="R299" s="8" t="str">
        <f t="shared" si="43"/>
        <v/>
      </c>
      <c r="S299" s="8">
        <f>IF(OR(R299="",D299=""),0,IF(SUMPRODUCT(--(R$4:R299=R299))&gt;1,1,0))</f>
        <v>0</v>
      </c>
      <c r="T299" s="8">
        <f t="shared" si="44"/>
        <v>0</v>
      </c>
    </row>
    <row r="300" spans="1:20" x14ac:dyDescent="0.25">
      <c r="A300" s="8">
        <v>297</v>
      </c>
      <c r="B300" s="9"/>
      <c r="C300" s="33" t="str">
        <f t="shared" si="36"/>
        <v/>
      </c>
      <c r="D300" s="9"/>
      <c r="E300" s="31"/>
      <c r="F300" s="11"/>
      <c r="G300" s="11"/>
      <c r="H300" s="9"/>
      <c r="I300" s="12" t="str">
        <f t="shared" si="37"/>
        <v/>
      </c>
      <c r="J300" s="12" t="str">
        <f t="shared" si="38"/>
        <v/>
      </c>
      <c r="K300" s="11"/>
      <c r="L300" s="12" t="str">
        <f t="shared" si="39"/>
        <v/>
      </c>
      <c r="M300" s="12" t="str">
        <f t="shared" si="40"/>
        <v/>
      </c>
      <c r="N300" s="8" t="str">
        <f t="shared" si="41"/>
        <v/>
      </c>
      <c r="O300" s="9"/>
      <c r="P300" s="31"/>
      <c r="Q300" s="8" t="str">
        <f t="shared" si="42"/>
        <v/>
      </c>
      <c r="R300" s="8" t="str">
        <f t="shared" si="43"/>
        <v/>
      </c>
      <c r="S300" s="8">
        <f>IF(OR(R300="",D300=""),0,IF(SUMPRODUCT(--(R$4:R300=R300))&gt;1,1,0))</f>
        <v>0</v>
      </c>
      <c r="T300" s="8">
        <f t="shared" si="44"/>
        <v>0</v>
      </c>
    </row>
    <row r="301" spans="1:20" x14ac:dyDescent="0.25">
      <c r="A301" s="8">
        <v>298</v>
      </c>
      <c r="B301" s="9"/>
      <c r="C301" s="33" t="str">
        <f t="shared" si="36"/>
        <v/>
      </c>
      <c r="D301" s="9"/>
      <c r="E301" s="31"/>
      <c r="F301" s="11"/>
      <c r="G301" s="11"/>
      <c r="H301" s="9"/>
      <c r="I301" s="12" t="str">
        <f t="shared" si="37"/>
        <v/>
      </c>
      <c r="J301" s="12" t="str">
        <f t="shared" si="38"/>
        <v/>
      </c>
      <c r="K301" s="11"/>
      <c r="L301" s="12" t="str">
        <f t="shared" si="39"/>
        <v/>
      </c>
      <c r="M301" s="12" t="str">
        <f t="shared" si="40"/>
        <v/>
      </c>
      <c r="N301" s="8" t="str">
        <f t="shared" si="41"/>
        <v/>
      </c>
      <c r="O301" s="9"/>
      <c r="P301" s="31"/>
      <c r="Q301" s="8" t="str">
        <f t="shared" si="42"/>
        <v/>
      </c>
      <c r="R301" s="8" t="str">
        <f t="shared" si="43"/>
        <v/>
      </c>
      <c r="S301" s="8">
        <f>IF(OR(R301="",D301=""),0,IF(SUMPRODUCT(--(R$4:R301=R301))&gt;1,1,0))</f>
        <v>0</v>
      </c>
      <c r="T301" s="8">
        <f t="shared" si="44"/>
        <v>0</v>
      </c>
    </row>
    <row r="302" spans="1:20" x14ac:dyDescent="0.25">
      <c r="A302" s="8">
        <v>299</v>
      </c>
      <c r="B302" s="9"/>
      <c r="C302" s="33" t="str">
        <f t="shared" si="36"/>
        <v/>
      </c>
      <c r="D302" s="9"/>
      <c r="E302" s="31"/>
      <c r="F302" s="11"/>
      <c r="G302" s="11"/>
      <c r="H302" s="9"/>
      <c r="I302" s="12" t="str">
        <f t="shared" si="37"/>
        <v/>
      </c>
      <c r="J302" s="12" t="str">
        <f t="shared" si="38"/>
        <v/>
      </c>
      <c r="K302" s="11"/>
      <c r="L302" s="12" t="str">
        <f t="shared" si="39"/>
        <v/>
      </c>
      <c r="M302" s="12" t="str">
        <f t="shared" si="40"/>
        <v/>
      </c>
      <c r="N302" s="8" t="str">
        <f t="shared" si="41"/>
        <v/>
      </c>
      <c r="O302" s="9"/>
      <c r="P302" s="31"/>
      <c r="Q302" s="8" t="str">
        <f t="shared" si="42"/>
        <v/>
      </c>
      <c r="R302" s="8" t="str">
        <f t="shared" si="43"/>
        <v/>
      </c>
      <c r="S302" s="8">
        <f>IF(OR(R302="",D302=""),0,IF(SUMPRODUCT(--(R$4:R302=R302))&gt;1,1,0))</f>
        <v>0</v>
      </c>
      <c r="T302" s="8">
        <f t="shared" si="44"/>
        <v>0</v>
      </c>
    </row>
    <row r="303" spans="1:20" x14ac:dyDescent="0.25">
      <c r="A303" s="8">
        <v>300</v>
      </c>
      <c r="B303" s="9"/>
      <c r="C303" s="33" t="str">
        <f t="shared" si="36"/>
        <v/>
      </c>
      <c r="D303" s="9"/>
      <c r="E303" s="31"/>
      <c r="F303" s="11"/>
      <c r="G303" s="11"/>
      <c r="H303" s="9"/>
      <c r="I303" s="12" t="str">
        <f t="shared" si="37"/>
        <v/>
      </c>
      <c r="J303" s="12" t="str">
        <f t="shared" si="38"/>
        <v/>
      </c>
      <c r="K303" s="11"/>
      <c r="L303" s="12" t="str">
        <f t="shared" si="39"/>
        <v/>
      </c>
      <c r="M303" s="12" t="str">
        <f t="shared" si="40"/>
        <v/>
      </c>
      <c r="N303" s="8" t="str">
        <f t="shared" si="41"/>
        <v/>
      </c>
      <c r="O303" s="9"/>
      <c r="P303" s="31"/>
      <c r="Q303" s="8" t="str">
        <f t="shared" si="42"/>
        <v/>
      </c>
      <c r="R303" s="8" t="str">
        <f t="shared" si="43"/>
        <v/>
      </c>
      <c r="S303" s="8">
        <f>IF(OR(R303="",D303=""),0,IF(SUMPRODUCT(--(R$4:R303=R303))&gt;1,1,0))</f>
        <v>0</v>
      </c>
      <c r="T303" s="8">
        <f t="shared" si="44"/>
        <v>0</v>
      </c>
    </row>
    <row r="304" spans="1:20" x14ac:dyDescent="0.25">
      <c r="A304" s="8">
        <v>301</v>
      </c>
      <c r="B304" s="9"/>
      <c r="C304" s="33" t="str">
        <f t="shared" si="36"/>
        <v/>
      </c>
      <c r="D304" s="9"/>
      <c r="E304" s="31"/>
      <c r="F304" s="11"/>
      <c r="G304" s="11"/>
      <c r="H304" s="9"/>
      <c r="I304" s="12" t="str">
        <f t="shared" si="37"/>
        <v/>
      </c>
      <c r="J304" s="12" t="str">
        <f t="shared" si="38"/>
        <v/>
      </c>
      <c r="K304" s="11"/>
      <c r="L304" s="12" t="str">
        <f t="shared" si="39"/>
        <v/>
      </c>
      <c r="M304" s="12" t="str">
        <f t="shared" si="40"/>
        <v/>
      </c>
      <c r="N304" s="8" t="str">
        <f t="shared" si="41"/>
        <v/>
      </c>
      <c r="O304" s="9"/>
      <c r="P304" s="31"/>
      <c r="Q304" s="8" t="str">
        <f t="shared" si="42"/>
        <v/>
      </c>
      <c r="R304" s="8" t="str">
        <f t="shared" si="43"/>
        <v/>
      </c>
      <c r="S304" s="8">
        <f>IF(OR(R304="",D304=""),0,IF(SUMPRODUCT(--(R$4:R304=R304))&gt;1,1,0))</f>
        <v>0</v>
      </c>
      <c r="T304" s="8">
        <f t="shared" si="44"/>
        <v>0</v>
      </c>
    </row>
    <row r="305" spans="1:20" x14ac:dyDescent="0.25">
      <c r="A305" s="8">
        <v>302</v>
      </c>
      <c r="B305" s="9"/>
      <c r="C305" s="33" t="str">
        <f t="shared" si="36"/>
        <v/>
      </c>
      <c r="D305" s="9"/>
      <c r="E305" s="31"/>
      <c r="F305" s="11"/>
      <c r="G305" s="11"/>
      <c r="H305" s="9"/>
      <c r="I305" s="12" t="str">
        <f t="shared" si="37"/>
        <v/>
      </c>
      <c r="J305" s="12" t="str">
        <f t="shared" si="38"/>
        <v/>
      </c>
      <c r="K305" s="11"/>
      <c r="L305" s="12" t="str">
        <f t="shared" si="39"/>
        <v/>
      </c>
      <c r="M305" s="12" t="str">
        <f t="shared" si="40"/>
        <v/>
      </c>
      <c r="N305" s="8" t="str">
        <f t="shared" si="41"/>
        <v/>
      </c>
      <c r="O305" s="9"/>
      <c r="P305" s="31"/>
      <c r="Q305" s="8" t="str">
        <f t="shared" si="42"/>
        <v/>
      </c>
      <c r="R305" s="8" t="str">
        <f t="shared" si="43"/>
        <v/>
      </c>
      <c r="S305" s="8">
        <f>IF(OR(R305="",D305=""),0,IF(SUMPRODUCT(--(R$4:R305=R305))&gt;1,1,0))</f>
        <v>0</v>
      </c>
      <c r="T305" s="8">
        <f t="shared" si="44"/>
        <v>0</v>
      </c>
    </row>
    <row r="306" spans="1:20" x14ac:dyDescent="0.25">
      <c r="A306" s="8">
        <v>303</v>
      </c>
      <c r="B306" s="9"/>
      <c r="C306" s="33" t="str">
        <f t="shared" si="36"/>
        <v/>
      </c>
      <c r="D306" s="9"/>
      <c r="E306" s="31"/>
      <c r="F306" s="11"/>
      <c r="G306" s="11"/>
      <c r="H306" s="9"/>
      <c r="I306" s="12" t="str">
        <f t="shared" si="37"/>
        <v/>
      </c>
      <c r="J306" s="12" t="str">
        <f t="shared" si="38"/>
        <v/>
      </c>
      <c r="K306" s="11"/>
      <c r="L306" s="12" t="str">
        <f t="shared" si="39"/>
        <v/>
      </c>
      <c r="M306" s="12" t="str">
        <f t="shared" si="40"/>
        <v/>
      </c>
      <c r="N306" s="8" t="str">
        <f t="shared" si="41"/>
        <v/>
      </c>
      <c r="O306" s="9"/>
      <c r="P306" s="31"/>
      <c r="Q306" s="8" t="str">
        <f t="shared" si="42"/>
        <v/>
      </c>
      <c r="R306" s="8" t="str">
        <f t="shared" si="43"/>
        <v/>
      </c>
      <c r="S306" s="8">
        <f>IF(OR(R306="",D306=""),0,IF(SUMPRODUCT(--(R$4:R306=R306))&gt;1,1,0))</f>
        <v>0</v>
      </c>
      <c r="T306" s="8">
        <f t="shared" si="44"/>
        <v>0</v>
      </c>
    </row>
    <row r="307" spans="1:20" x14ac:dyDescent="0.25">
      <c r="A307" s="8">
        <v>304</v>
      </c>
      <c r="B307" s="9"/>
      <c r="C307" s="33" t="str">
        <f t="shared" si="36"/>
        <v/>
      </c>
      <c r="D307" s="9"/>
      <c r="E307" s="31"/>
      <c r="F307" s="11"/>
      <c r="G307" s="11"/>
      <c r="H307" s="9"/>
      <c r="I307" s="12" t="str">
        <f t="shared" si="37"/>
        <v/>
      </c>
      <c r="J307" s="12" t="str">
        <f t="shared" si="38"/>
        <v/>
      </c>
      <c r="K307" s="11"/>
      <c r="L307" s="12" t="str">
        <f t="shared" si="39"/>
        <v/>
      </c>
      <c r="M307" s="12" t="str">
        <f t="shared" si="40"/>
        <v/>
      </c>
      <c r="N307" s="8" t="str">
        <f t="shared" si="41"/>
        <v/>
      </c>
      <c r="O307" s="9"/>
      <c r="P307" s="31"/>
      <c r="Q307" s="8" t="str">
        <f t="shared" si="42"/>
        <v/>
      </c>
      <c r="R307" s="8" t="str">
        <f t="shared" si="43"/>
        <v/>
      </c>
      <c r="S307" s="8">
        <f>IF(OR(R307="",D307=""),0,IF(SUMPRODUCT(--(R$4:R307=R307))&gt;1,1,0))</f>
        <v>0</v>
      </c>
      <c r="T307" s="8">
        <f t="shared" si="44"/>
        <v>0</v>
      </c>
    </row>
    <row r="308" spans="1:20" x14ac:dyDescent="0.25">
      <c r="A308" s="8">
        <v>305</v>
      </c>
      <c r="B308" s="9"/>
      <c r="C308" s="33" t="str">
        <f t="shared" si="36"/>
        <v/>
      </c>
      <c r="D308" s="9"/>
      <c r="E308" s="31"/>
      <c r="F308" s="11"/>
      <c r="G308" s="11"/>
      <c r="H308" s="9"/>
      <c r="I308" s="12" t="str">
        <f t="shared" si="37"/>
        <v/>
      </c>
      <c r="J308" s="12" t="str">
        <f t="shared" si="38"/>
        <v/>
      </c>
      <c r="K308" s="11"/>
      <c r="L308" s="12" t="str">
        <f t="shared" si="39"/>
        <v/>
      </c>
      <c r="M308" s="12" t="str">
        <f t="shared" si="40"/>
        <v/>
      </c>
      <c r="N308" s="8" t="str">
        <f t="shared" si="41"/>
        <v/>
      </c>
      <c r="O308" s="9"/>
      <c r="P308" s="31"/>
      <c r="Q308" s="8" t="str">
        <f t="shared" si="42"/>
        <v/>
      </c>
      <c r="R308" s="8" t="str">
        <f t="shared" si="43"/>
        <v/>
      </c>
      <c r="S308" s="8">
        <f>IF(OR(R308="",D308=""),0,IF(SUMPRODUCT(--(R$4:R308=R308))&gt;1,1,0))</f>
        <v>0</v>
      </c>
      <c r="T308" s="8">
        <f t="shared" si="44"/>
        <v>0</v>
      </c>
    </row>
    <row r="309" spans="1:20" x14ac:dyDescent="0.25">
      <c r="A309" s="8">
        <v>306</v>
      </c>
      <c r="B309" s="9"/>
      <c r="C309" s="33" t="str">
        <f t="shared" si="36"/>
        <v/>
      </c>
      <c r="D309" s="9"/>
      <c r="E309" s="31"/>
      <c r="F309" s="11"/>
      <c r="G309" s="11"/>
      <c r="H309" s="9"/>
      <c r="I309" s="12" t="str">
        <f t="shared" si="37"/>
        <v/>
      </c>
      <c r="J309" s="12" t="str">
        <f t="shared" si="38"/>
        <v/>
      </c>
      <c r="K309" s="11"/>
      <c r="L309" s="12" t="str">
        <f t="shared" si="39"/>
        <v/>
      </c>
      <c r="M309" s="12" t="str">
        <f t="shared" si="40"/>
        <v/>
      </c>
      <c r="N309" s="8" t="str">
        <f t="shared" si="41"/>
        <v/>
      </c>
      <c r="O309" s="9"/>
      <c r="P309" s="31"/>
      <c r="Q309" s="8" t="str">
        <f t="shared" si="42"/>
        <v/>
      </c>
      <c r="R309" s="8" t="str">
        <f t="shared" si="43"/>
        <v/>
      </c>
      <c r="S309" s="8">
        <f>IF(OR(R309="",D309=""),0,IF(SUMPRODUCT(--(R$4:R309=R309))&gt;1,1,0))</f>
        <v>0</v>
      </c>
      <c r="T309" s="8">
        <f t="shared" si="44"/>
        <v>0</v>
      </c>
    </row>
    <row r="310" spans="1:20" x14ac:dyDescent="0.25">
      <c r="A310" s="8">
        <v>307</v>
      </c>
      <c r="B310" s="9"/>
      <c r="C310" s="33" t="str">
        <f t="shared" si="36"/>
        <v/>
      </c>
      <c r="D310" s="9"/>
      <c r="E310" s="31"/>
      <c r="F310" s="11"/>
      <c r="G310" s="11"/>
      <c r="H310" s="9"/>
      <c r="I310" s="12" t="str">
        <f t="shared" si="37"/>
        <v/>
      </c>
      <c r="J310" s="12" t="str">
        <f t="shared" si="38"/>
        <v/>
      </c>
      <c r="K310" s="11"/>
      <c r="L310" s="12" t="str">
        <f t="shared" si="39"/>
        <v/>
      </c>
      <c r="M310" s="12" t="str">
        <f t="shared" si="40"/>
        <v/>
      </c>
      <c r="N310" s="8" t="str">
        <f t="shared" si="41"/>
        <v/>
      </c>
      <c r="O310" s="9"/>
      <c r="P310" s="31"/>
      <c r="Q310" s="8" t="str">
        <f t="shared" si="42"/>
        <v/>
      </c>
      <c r="R310" s="8" t="str">
        <f t="shared" si="43"/>
        <v/>
      </c>
      <c r="S310" s="8">
        <f>IF(OR(R310="",D310=""),0,IF(SUMPRODUCT(--(R$4:R310=R310))&gt;1,1,0))</f>
        <v>0</v>
      </c>
      <c r="T310" s="8">
        <f t="shared" si="44"/>
        <v>0</v>
      </c>
    </row>
    <row r="311" spans="1:20" x14ac:dyDescent="0.25">
      <c r="A311" s="8">
        <v>308</v>
      </c>
      <c r="B311" s="9"/>
      <c r="C311" s="33" t="str">
        <f t="shared" si="36"/>
        <v/>
      </c>
      <c r="D311" s="9"/>
      <c r="E311" s="31"/>
      <c r="F311" s="11"/>
      <c r="G311" s="11"/>
      <c r="H311" s="9"/>
      <c r="I311" s="12" t="str">
        <f t="shared" si="37"/>
        <v/>
      </c>
      <c r="J311" s="12" t="str">
        <f t="shared" si="38"/>
        <v/>
      </c>
      <c r="K311" s="11"/>
      <c r="L311" s="12" t="str">
        <f t="shared" si="39"/>
        <v/>
      </c>
      <c r="M311" s="12" t="str">
        <f t="shared" si="40"/>
        <v/>
      </c>
      <c r="N311" s="8" t="str">
        <f t="shared" si="41"/>
        <v/>
      </c>
      <c r="O311" s="9"/>
      <c r="P311" s="31"/>
      <c r="Q311" s="8" t="str">
        <f t="shared" si="42"/>
        <v/>
      </c>
      <c r="R311" s="8" t="str">
        <f t="shared" si="43"/>
        <v/>
      </c>
      <c r="S311" s="8">
        <f>IF(OR(R311="",D311=""),0,IF(SUMPRODUCT(--(R$4:R311=R311))&gt;1,1,0))</f>
        <v>0</v>
      </c>
      <c r="T311" s="8">
        <f t="shared" si="44"/>
        <v>0</v>
      </c>
    </row>
    <row r="312" spans="1:20" x14ac:dyDescent="0.25">
      <c r="A312" s="8">
        <v>309</v>
      </c>
      <c r="B312" s="9"/>
      <c r="C312" s="33" t="str">
        <f t="shared" si="36"/>
        <v/>
      </c>
      <c r="D312" s="9"/>
      <c r="E312" s="31"/>
      <c r="F312" s="11"/>
      <c r="G312" s="11"/>
      <c r="H312" s="9"/>
      <c r="I312" s="12" t="str">
        <f t="shared" si="37"/>
        <v/>
      </c>
      <c r="J312" s="12" t="str">
        <f t="shared" si="38"/>
        <v/>
      </c>
      <c r="K312" s="11"/>
      <c r="L312" s="12" t="str">
        <f t="shared" si="39"/>
        <v/>
      </c>
      <c r="M312" s="12" t="str">
        <f t="shared" si="40"/>
        <v/>
      </c>
      <c r="N312" s="8" t="str">
        <f t="shared" si="41"/>
        <v/>
      </c>
      <c r="O312" s="9"/>
      <c r="P312" s="31"/>
      <c r="Q312" s="8" t="str">
        <f t="shared" si="42"/>
        <v/>
      </c>
      <c r="R312" s="8" t="str">
        <f t="shared" si="43"/>
        <v/>
      </c>
      <c r="S312" s="8">
        <f>IF(OR(R312="",D312=""),0,IF(SUMPRODUCT(--(R$4:R312=R312))&gt;1,1,0))</f>
        <v>0</v>
      </c>
      <c r="T312" s="8">
        <f t="shared" si="44"/>
        <v>0</v>
      </c>
    </row>
    <row r="313" spans="1:20" x14ac:dyDescent="0.25">
      <c r="A313" s="8">
        <v>310</v>
      </c>
      <c r="B313" s="9"/>
      <c r="C313" s="33" t="str">
        <f t="shared" si="36"/>
        <v/>
      </c>
      <c r="D313" s="9"/>
      <c r="E313" s="31"/>
      <c r="F313" s="11"/>
      <c r="G313" s="11"/>
      <c r="H313" s="9"/>
      <c r="I313" s="12" t="str">
        <f t="shared" si="37"/>
        <v/>
      </c>
      <c r="J313" s="12" t="str">
        <f t="shared" si="38"/>
        <v/>
      </c>
      <c r="K313" s="11"/>
      <c r="L313" s="12" t="str">
        <f t="shared" si="39"/>
        <v/>
      </c>
      <c r="M313" s="12" t="str">
        <f t="shared" si="40"/>
        <v/>
      </c>
      <c r="N313" s="8" t="str">
        <f t="shared" si="41"/>
        <v/>
      </c>
      <c r="O313" s="9"/>
      <c r="P313" s="31"/>
      <c r="Q313" s="8" t="str">
        <f t="shared" si="42"/>
        <v/>
      </c>
      <c r="R313" s="8" t="str">
        <f t="shared" si="43"/>
        <v/>
      </c>
      <c r="S313" s="8">
        <f>IF(OR(R313="",D313=""),0,IF(SUMPRODUCT(--(R$4:R313=R313))&gt;1,1,0))</f>
        <v>0</v>
      </c>
      <c r="T313" s="8">
        <f t="shared" si="44"/>
        <v>0</v>
      </c>
    </row>
    <row r="314" spans="1:20" x14ac:dyDescent="0.25">
      <c r="A314" s="8">
        <v>311</v>
      </c>
      <c r="B314" s="9"/>
      <c r="C314" s="33" t="str">
        <f t="shared" si="36"/>
        <v/>
      </c>
      <c r="D314" s="9"/>
      <c r="E314" s="31"/>
      <c r="F314" s="11"/>
      <c r="G314" s="11"/>
      <c r="H314" s="9"/>
      <c r="I314" s="12" t="str">
        <f t="shared" si="37"/>
        <v/>
      </c>
      <c r="J314" s="12" t="str">
        <f t="shared" si="38"/>
        <v/>
      </c>
      <c r="K314" s="11"/>
      <c r="L314" s="12" t="str">
        <f t="shared" si="39"/>
        <v/>
      </c>
      <c r="M314" s="12" t="str">
        <f t="shared" si="40"/>
        <v/>
      </c>
      <c r="N314" s="8" t="str">
        <f t="shared" si="41"/>
        <v/>
      </c>
      <c r="O314" s="9"/>
      <c r="P314" s="31"/>
      <c r="Q314" s="8" t="str">
        <f t="shared" si="42"/>
        <v/>
      </c>
      <c r="R314" s="8" t="str">
        <f t="shared" si="43"/>
        <v/>
      </c>
      <c r="S314" s="8">
        <f>IF(OR(R314="",D314=""),0,IF(SUMPRODUCT(--(R$4:R314=R314))&gt;1,1,0))</f>
        <v>0</v>
      </c>
      <c r="T314" s="8">
        <f t="shared" si="44"/>
        <v>0</v>
      </c>
    </row>
    <row r="315" spans="1:20" x14ac:dyDescent="0.25">
      <c r="A315" s="8">
        <v>312</v>
      </c>
      <c r="B315" s="9"/>
      <c r="C315" s="33" t="str">
        <f t="shared" si="36"/>
        <v/>
      </c>
      <c r="D315" s="9"/>
      <c r="E315" s="31"/>
      <c r="F315" s="11"/>
      <c r="G315" s="11"/>
      <c r="H315" s="9"/>
      <c r="I315" s="12" t="str">
        <f t="shared" si="37"/>
        <v/>
      </c>
      <c r="J315" s="12" t="str">
        <f t="shared" si="38"/>
        <v/>
      </c>
      <c r="K315" s="11"/>
      <c r="L315" s="12" t="str">
        <f t="shared" si="39"/>
        <v/>
      </c>
      <c r="M315" s="12" t="str">
        <f t="shared" si="40"/>
        <v/>
      </c>
      <c r="N315" s="8" t="str">
        <f t="shared" si="41"/>
        <v/>
      </c>
      <c r="O315" s="9"/>
      <c r="P315" s="31"/>
      <c r="Q315" s="8" t="str">
        <f t="shared" si="42"/>
        <v/>
      </c>
      <c r="R315" s="8" t="str">
        <f t="shared" si="43"/>
        <v/>
      </c>
      <c r="S315" s="8">
        <f>IF(OR(R315="",D315=""),0,IF(SUMPRODUCT(--(R$4:R315=R315))&gt;1,1,0))</f>
        <v>0</v>
      </c>
      <c r="T315" s="8">
        <f t="shared" si="44"/>
        <v>0</v>
      </c>
    </row>
    <row r="316" spans="1:20" x14ac:dyDescent="0.25">
      <c r="A316" s="8">
        <v>313</v>
      </c>
      <c r="B316" s="9"/>
      <c r="C316" s="33" t="str">
        <f t="shared" si="36"/>
        <v/>
      </c>
      <c r="D316" s="9"/>
      <c r="E316" s="31"/>
      <c r="F316" s="11"/>
      <c r="G316" s="11"/>
      <c r="H316" s="9"/>
      <c r="I316" s="12" t="str">
        <f t="shared" si="37"/>
        <v/>
      </c>
      <c r="J316" s="12" t="str">
        <f t="shared" si="38"/>
        <v/>
      </c>
      <c r="K316" s="11"/>
      <c r="L316" s="12" t="str">
        <f t="shared" si="39"/>
        <v/>
      </c>
      <c r="M316" s="12" t="str">
        <f t="shared" si="40"/>
        <v/>
      </c>
      <c r="N316" s="8" t="str">
        <f t="shared" si="41"/>
        <v/>
      </c>
      <c r="O316" s="9"/>
      <c r="P316" s="31"/>
      <c r="Q316" s="8" t="str">
        <f t="shared" si="42"/>
        <v/>
      </c>
      <c r="R316" s="8" t="str">
        <f t="shared" si="43"/>
        <v/>
      </c>
      <c r="S316" s="8">
        <f>IF(OR(R316="",D316=""),0,IF(SUMPRODUCT(--(R$4:R316=R316))&gt;1,1,0))</f>
        <v>0</v>
      </c>
      <c r="T316" s="8">
        <f t="shared" si="44"/>
        <v>0</v>
      </c>
    </row>
    <row r="317" spans="1:20" x14ac:dyDescent="0.25">
      <c r="A317" s="8">
        <v>314</v>
      </c>
      <c r="B317" s="9"/>
      <c r="C317" s="33" t="str">
        <f t="shared" si="36"/>
        <v/>
      </c>
      <c r="D317" s="9"/>
      <c r="E317" s="31"/>
      <c r="F317" s="11"/>
      <c r="G317" s="11"/>
      <c r="H317" s="9"/>
      <c r="I317" s="12" t="str">
        <f t="shared" si="37"/>
        <v/>
      </c>
      <c r="J317" s="12" t="str">
        <f t="shared" si="38"/>
        <v/>
      </c>
      <c r="K317" s="11"/>
      <c r="L317" s="12" t="str">
        <f t="shared" si="39"/>
        <v/>
      </c>
      <c r="M317" s="12" t="str">
        <f t="shared" si="40"/>
        <v/>
      </c>
      <c r="N317" s="8" t="str">
        <f t="shared" si="41"/>
        <v/>
      </c>
      <c r="O317" s="9"/>
      <c r="P317" s="31"/>
      <c r="Q317" s="8" t="str">
        <f t="shared" si="42"/>
        <v/>
      </c>
      <c r="R317" s="8" t="str">
        <f t="shared" si="43"/>
        <v/>
      </c>
      <c r="S317" s="8">
        <f>IF(OR(R317="",D317=""),0,IF(SUMPRODUCT(--(R$4:R317=R317))&gt;1,1,0))</f>
        <v>0</v>
      </c>
      <c r="T317" s="8">
        <f t="shared" si="44"/>
        <v>0</v>
      </c>
    </row>
    <row r="318" spans="1:20" x14ac:dyDescent="0.25">
      <c r="A318" s="8">
        <v>315</v>
      </c>
      <c r="B318" s="9"/>
      <c r="C318" s="33" t="str">
        <f t="shared" si="36"/>
        <v/>
      </c>
      <c r="D318" s="9"/>
      <c r="E318" s="31"/>
      <c r="F318" s="11"/>
      <c r="G318" s="11"/>
      <c r="H318" s="9"/>
      <c r="I318" s="12" t="str">
        <f t="shared" si="37"/>
        <v/>
      </c>
      <c r="J318" s="12" t="str">
        <f t="shared" si="38"/>
        <v/>
      </c>
      <c r="K318" s="11"/>
      <c r="L318" s="12" t="str">
        <f t="shared" si="39"/>
        <v/>
      </c>
      <c r="M318" s="12" t="str">
        <f t="shared" si="40"/>
        <v/>
      </c>
      <c r="N318" s="8" t="str">
        <f t="shared" si="41"/>
        <v/>
      </c>
      <c r="O318" s="9"/>
      <c r="P318" s="31"/>
      <c r="Q318" s="8" t="str">
        <f t="shared" si="42"/>
        <v/>
      </c>
      <c r="R318" s="8" t="str">
        <f t="shared" si="43"/>
        <v/>
      </c>
      <c r="S318" s="8">
        <f>IF(OR(R318="",D318=""),0,IF(SUMPRODUCT(--(R$4:R318=R318))&gt;1,1,0))</f>
        <v>0</v>
      </c>
      <c r="T318" s="8">
        <f t="shared" si="44"/>
        <v>0</v>
      </c>
    </row>
    <row r="319" spans="1:20" x14ac:dyDescent="0.25">
      <c r="A319" s="8">
        <v>316</v>
      </c>
      <c r="B319" s="9"/>
      <c r="C319" s="33" t="str">
        <f t="shared" si="36"/>
        <v/>
      </c>
      <c r="D319" s="9"/>
      <c r="E319" s="31"/>
      <c r="F319" s="11"/>
      <c r="G319" s="11"/>
      <c r="H319" s="9"/>
      <c r="I319" s="12" t="str">
        <f t="shared" si="37"/>
        <v/>
      </c>
      <c r="J319" s="12" t="str">
        <f t="shared" si="38"/>
        <v/>
      </c>
      <c r="K319" s="11"/>
      <c r="L319" s="12" t="str">
        <f t="shared" si="39"/>
        <v/>
      </c>
      <c r="M319" s="12" t="str">
        <f t="shared" si="40"/>
        <v/>
      </c>
      <c r="N319" s="8" t="str">
        <f t="shared" si="41"/>
        <v/>
      </c>
      <c r="O319" s="9"/>
      <c r="P319" s="31"/>
      <c r="Q319" s="8" t="str">
        <f t="shared" si="42"/>
        <v/>
      </c>
      <c r="R319" s="8" t="str">
        <f t="shared" si="43"/>
        <v/>
      </c>
      <c r="S319" s="8">
        <f>IF(OR(R319="",D319=""),0,IF(SUMPRODUCT(--(R$4:R319=R319))&gt;1,1,0))</f>
        <v>0</v>
      </c>
      <c r="T319" s="8">
        <f t="shared" si="44"/>
        <v>0</v>
      </c>
    </row>
    <row r="320" spans="1:20" x14ac:dyDescent="0.25">
      <c r="A320" s="8">
        <v>317</v>
      </c>
      <c r="B320" s="9"/>
      <c r="C320" s="33" t="str">
        <f t="shared" si="36"/>
        <v/>
      </c>
      <c r="D320" s="9"/>
      <c r="E320" s="31"/>
      <c r="F320" s="11"/>
      <c r="G320" s="11"/>
      <c r="H320" s="9"/>
      <c r="I320" s="12" t="str">
        <f t="shared" si="37"/>
        <v/>
      </c>
      <c r="J320" s="12" t="str">
        <f t="shared" si="38"/>
        <v/>
      </c>
      <c r="K320" s="11"/>
      <c r="L320" s="12" t="str">
        <f t="shared" si="39"/>
        <v/>
      </c>
      <c r="M320" s="12" t="str">
        <f t="shared" si="40"/>
        <v/>
      </c>
      <c r="N320" s="8" t="str">
        <f t="shared" si="41"/>
        <v/>
      </c>
      <c r="O320" s="9"/>
      <c r="P320" s="31"/>
      <c r="Q320" s="8" t="str">
        <f t="shared" si="42"/>
        <v/>
      </c>
      <c r="R320" s="8" t="str">
        <f t="shared" si="43"/>
        <v/>
      </c>
      <c r="S320" s="8">
        <f>IF(OR(R320="",D320=""),0,IF(SUMPRODUCT(--(R$4:R320=R320))&gt;1,1,0))</f>
        <v>0</v>
      </c>
      <c r="T320" s="8">
        <f t="shared" si="44"/>
        <v>0</v>
      </c>
    </row>
    <row r="321" spans="1:20" x14ac:dyDescent="0.25">
      <c r="A321" s="8">
        <v>318</v>
      </c>
      <c r="B321" s="9"/>
      <c r="C321" s="33" t="str">
        <f t="shared" si="36"/>
        <v/>
      </c>
      <c r="D321" s="9"/>
      <c r="E321" s="31"/>
      <c r="F321" s="11"/>
      <c r="G321" s="11"/>
      <c r="H321" s="9"/>
      <c r="I321" s="12" t="str">
        <f t="shared" si="37"/>
        <v/>
      </c>
      <c r="J321" s="12" t="str">
        <f t="shared" si="38"/>
        <v/>
      </c>
      <c r="K321" s="11"/>
      <c r="L321" s="12" t="str">
        <f t="shared" si="39"/>
        <v/>
      </c>
      <c r="M321" s="12" t="str">
        <f t="shared" si="40"/>
        <v/>
      </c>
      <c r="N321" s="8" t="str">
        <f t="shared" si="41"/>
        <v/>
      </c>
      <c r="O321" s="9"/>
      <c r="P321" s="31"/>
      <c r="Q321" s="8" t="str">
        <f t="shared" si="42"/>
        <v/>
      </c>
      <c r="R321" s="8" t="str">
        <f t="shared" si="43"/>
        <v/>
      </c>
      <c r="S321" s="8">
        <f>IF(OR(R321="",D321=""),0,IF(SUMPRODUCT(--(R$4:R321=R321))&gt;1,1,0))</f>
        <v>0</v>
      </c>
      <c r="T321" s="8">
        <f t="shared" si="44"/>
        <v>0</v>
      </c>
    </row>
    <row r="322" spans="1:20" x14ac:dyDescent="0.25">
      <c r="A322" s="8">
        <v>319</v>
      </c>
      <c r="B322" s="9"/>
      <c r="C322" s="33" t="str">
        <f t="shared" si="36"/>
        <v/>
      </c>
      <c r="D322" s="9"/>
      <c r="E322" s="31"/>
      <c r="F322" s="11"/>
      <c r="G322" s="11"/>
      <c r="H322" s="9"/>
      <c r="I322" s="12" t="str">
        <f t="shared" si="37"/>
        <v/>
      </c>
      <c r="J322" s="12" t="str">
        <f t="shared" si="38"/>
        <v/>
      </c>
      <c r="K322" s="11"/>
      <c r="L322" s="12" t="str">
        <f t="shared" si="39"/>
        <v/>
      </c>
      <c r="M322" s="12" t="str">
        <f t="shared" si="40"/>
        <v/>
      </c>
      <c r="N322" s="8" t="str">
        <f t="shared" si="41"/>
        <v/>
      </c>
      <c r="O322" s="9"/>
      <c r="P322" s="31"/>
      <c r="Q322" s="8" t="str">
        <f t="shared" si="42"/>
        <v/>
      </c>
      <c r="R322" s="8" t="str">
        <f t="shared" si="43"/>
        <v/>
      </c>
      <c r="S322" s="8">
        <f>IF(OR(R322="",D322=""),0,IF(SUMPRODUCT(--(R$4:R322=R322))&gt;1,1,0))</f>
        <v>0</v>
      </c>
      <c r="T322" s="8">
        <f t="shared" si="44"/>
        <v>0</v>
      </c>
    </row>
    <row r="323" spans="1:20" x14ac:dyDescent="0.25">
      <c r="A323" s="8">
        <v>320</v>
      </c>
      <c r="B323" s="9"/>
      <c r="C323" s="33" t="str">
        <f t="shared" si="36"/>
        <v/>
      </c>
      <c r="D323" s="9"/>
      <c r="E323" s="31"/>
      <c r="F323" s="11"/>
      <c r="G323" s="11"/>
      <c r="H323" s="9"/>
      <c r="I323" s="12" t="str">
        <f t="shared" si="37"/>
        <v/>
      </c>
      <c r="J323" s="12" t="str">
        <f t="shared" si="38"/>
        <v/>
      </c>
      <c r="K323" s="11"/>
      <c r="L323" s="12" t="str">
        <f t="shared" si="39"/>
        <v/>
      </c>
      <c r="M323" s="12" t="str">
        <f t="shared" si="40"/>
        <v/>
      </c>
      <c r="N323" s="8" t="str">
        <f t="shared" si="41"/>
        <v/>
      </c>
      <c r="O323" s="9"/>
      <c r="P323" s="31"/>
      <c r="Q323" s="8" t="str">
        <f t="shared" si="42"/>
        <v/>
      </c>
      <c r="R323" s="8" t="str">
        <f t="shared" si="43"/>
        <v/>
      </c>
      <c r="S323" s="8">
        <f>IF(OR(R323="",D323=""),0,IF(SUMPRODUCT(--(R$4:R323=R323))&gt;1,1,0))</f>
        <v>0</v>
      </c>
      <c r="T323" s="8">
        <f t="shared" si="44"/>
        <v>0</v>
      </c>
    </row>
    <row r="324" spans="1:20" x14ac:dyDescent="0.25">
      <c r="A324" s="8">
        <v>321</v>
      </c>
      <c r="B324" s="9"/>
      <c r="C324" s="33" t="str">
        <f t="shared" ref="C324:C387" si="45">IF(B324="","",IFERROR(INDEX(SpaceNames,MATCH(B324,SpaceCodes,0))&amp;"",""))</f>
        <v/>
      </c>
      <c r="D324" s="9"/>
      <c r="E324" s="31"/>
      <c r="F324" s="11"/>
      <c r="G324" s="11"/>
      <c r="H324" s="9"/>
      <c r="I324" s="12" t="str">
        <f t="shared" ref="I324:I387" si="46">IF(R324="","",IF(S324=1,0,IF(AND(F324&lt;&gt;"",G324&lt;&gt;""),F324*G324*IF(H324="",1,H324),"")))</f>
        <v/>
      </c>
      <c r="J324" s="12" t="str">
        <f t="shared" ref="J324:J387" si="47">IF(R324="","",IF(T324=0,0,T324*SUMIFS(OP_Area,OP_Space,B324,OP_Wall,D324,OP_DedPl,"نعم")))</f>
        <v/>
      </c>
      <c r="K324" s="11"/>
      <c r="L324" s="12" t="str">
        <f t="shared" ref="L324:L387" si="48">IF(OR(R324="",I324=""),"",N(J324)+N(K324))</f>
        <v/>
      </c>
      <c r="M324" s="12" t="str">
        <f t="shared" ref="M324:M387" si="49">IF(OR(R324="",I324=""),"",I324-L324)</f>
        <v/>
      </c>
      <c r="N324" s="8" t="str">
        <f t="shared" ref="N324:N387" si="50">IF(E324="","",IFERROR(IF(INDEX(PlUnit,MATCH(E324,PlMat,0))="","م²",INDEX(PlUnit,MATCH(E324,PlMat,0))),"م²"))</f>
        <v/>
      </c>
      <c r="O324" s="9"/>
      <c r="P324" s="31"/>
      <c r="Q324" s="8" t="str">
        <f t="shared" ref="Q324:Q387" si="51">IF(R324="","",IF(S324=1,"تكرار — غير محتسب",IF(B324="","ناقص بيانات: كود الفراغ",IF(COUNTIF(SpaceCodes,B324)=0,"ناقص بيانات: الفراغ غير مسجل",IF(D324="","ناقص بيانات: كود الحائط",IF(E324="","ناقص بيانات: نوع البند",IF(I324="","ناقص قياس",IF(L324&gt;I324+0.000001,"خطأ خصم: الخصم أكبر من الإجمالي",IF(O324="نعم","يحتاج مراجعة","مكتمل")))))))))</f>
        <v/>
      </c>
      <c r="R324" s="8" t="str">
        <f t="shared" ref="R324:R387" si="52">IF(COUNTA(B324,D324:H324,K324)=0,"",B324&amp;"|"&amp;D324&amp;"|"&amp;E324)</f>
        <v/>
      </c>
      <c r="S324" s="8">
        <f>IF(OR(R324="",D324=""),0,IF(SUMPRODUCT(--(R$4:R324=R324))&gt;1,1,0))</f>
        <v>0</v>
      </c>
      <c r="T324" s="8">
        <f t="shared" ref="T324:T387" si="53">IF(OR(R324="",S324=1,B324="",D324=""),0,IF(H324="",1,H324))</f>
        <v>0</v>
      </c>
    </row>
    <row r="325" spans="1:20" x14ac:dyDescent="0.25">
      <c r="A325" s="8">
        <v>322</v>
      </c>
      <c r="B325" s="9"/>
      <c r="C325" s="33" t="str">
        <f t="shared" si="45"/>
        <v/>
      </c>
      <c r="D325" s="9"/>
      <c r="E325" s="31"/>
      <c r="F325" s="11"/>
      <c r="G325" s="11"/>
      <c r="H325" s="9"/>
      <c r="I325" s="12" t="str">
        <f t="shared" si="46"/>
        <v/>
      </c>
      <c r="J325" s="12" t="str">
        <f t="shared" si="47"/>
        <v/>
      </c>
      <c r="K325" s="11"/>
      <c r="L325" s="12" t="str">
        <f t="shared" si="48"/>
        <v/>
      </c>
      <c r="M325" s="12" t="str">
        <f t="shared" si="49"/>
        <v/>
      </c>
      <c r="N325" s="8" t="str">
        <f t="shared" si="50"/>
        <v/>
      </c>
      <c r="O325" s="9"/>
      <c r="P325" s="31"/>
      <c r="Q325" s="8" t="str">
        <f t="shared" si="51"/>
        <v/>
      </c>
      <c r="R325" s="8" t="str">
        <f t="shared" si="52"/>
        <v/>
      </c>
      <c r="S325" s="8">
        <f>IF(OR(R325="",D325=""),0,IF(SUMPRODUCT(--(R$4:R325=R325))&gt;1,1,0))</f>
        <v>0</v>
      </c>
      <c r="T325" s="8">
        <f t="shared" si="53"/>
        <v>0</v>
      </c>
    </row>
    <row r="326" spans="1:20" x14ac:dyDescent="0.25">
      <c r="A326" s="8">
        <v>323</v>
      </c>
      <c r="B326" s="9"/>
      <c r="C326" s="33" t="str">
        <f t="shared" si="45"/>
        <v/>
      </c>
      <c r="D326" s="9"/>
      <c r="E326" s="31"/>
      <c r="F326" s="11"/>
      <c r="G326" s="11"/>
      <c r="H326" s="9"/>
      <c r="I326" s="12" t="str">
        <f t="shared" si="46"/>
        <v/>
      </c>
      <c r="J326" s="12" t="str">
        <f t="shared" si="47"/>
        <v/>
      </c>
      <c r="K326" s="11"/>
      <c r="L326" s="12" t="str">
        <f t="shared" si="48"/>
        <v/>
      </c>
      <c r="M326" s="12" t="str">
        <f t="shared" si="49"/>
        <v/>
      </c>
      <c r="N326" s="8" t="str">
        <f t="shared" si="50"/>
        <v/>
      </c>
      <c r="O326" s="9"/>
      <c r="P326" s="31"/>
      <c r="Q326" s="8" t="str">
        <f t="shared" si="51"/>
        <v/>
      </c>
      <c r="R326" s="8" t="str">
        <f t="shared" si="52"/>
        <v/>
      </c>
      <c r="S326" s="8">
        <f>IF(OR(R326="",D326=""),0,IF(SUMPRODUCT(--(R$4:R326=R326))&gt;1,1,0))</f>
        <v>0</v>
      </c>
      <c r="T326" s="8">
        <f t="shared" si="53"/>
        <v>0</v>
      </c>
    </row>
    <row r="327" spans="1:20" x14ac:dyDescent="0.25">
      <c r="A327" s="8">
        <v>324</v>
      </c>
      <c r="B327" s="9"/>
      <c r="C327" s="33" t="str">
        <f t="shared" si="45"/>
        <v/>
      </c>
      <c r="D327" s="9"/>
      <c r="E327" s="31"/>
      <c r="F327" s="11"/>
      <c r="G327" s="11"/>
      <c r="H327" s="9"/>
      <c r="I327" s="12" t="str">
        <f t="shared" si="46"/>
        <v/>
      </c>
      <c r="J327" s="12" t="str">
        <f t="shared" si="47"/>
        <v/>
      </c>
      <c r="K327" s="11"/>
      <c r="L327" s="12" t="str">
        <f t="shared" si="48"/>
        <v/>
      </c>
      <c r="M327" s="12" t="str">
        <f t="shared" si="49"/>
        <v/>
      </c>
      <c r="N327" s="8" t="str">
        <f t="shared" si="50"/>
        <v/>
      </c>
      <c r="O327" s="9"/>
      <c r="P327" s="31"/>
      <c r="Q327" s="8" t="str">
        <f t="shared" si="51"/>
        <v/>
      </c>
      <c r="R327" s="8" t="str">
        <f t="shared" si="52"/>
        <v/>
      </c>
      <c r="S327" s="8">
        <f>IF(OR(R327="",D327=""),0,IF(SUMPRODUCT(--(R$4:R327=R327))&gt;1,1,0))</f>
        <v>0</v>
      </c>
      <c r="T327" s="8">
        <f t="shared" si="53"/>
        <v>0</v>
      </c>
    </row>
    <row r="328" spans="1:20" x14ac:dyDescent="0.25">
      <c r="A328" s="8">
        <v>325</v>
      </c>
      <c r="B328" s="9"/>
      <c r="C328" s="33" t="str">
        <f t="shared" si="45"/>
        <v/>
      </c>
      <c r="D328" s="9"/>
      <c r="E328" s="31"/>
      <c r="F328" s="11"/>
      <c r="G328" s="11"/>
      <c r="H328" s="9"/>
      <c r="I328" s="12" t="str">
        <f t="shared" si="46"/>
        <v/>
      </c>
      <c r="J328" s="12" t="str">
        <f t="shared" si="47"/>
        <v/>
      </c>
      <c r="K328" s="11"/>
      <c r="L328" s="12" t="str">
        <f t="shared" si="48"/>
        <v/>
      </c>
      <c r="M328" s="12" t="str">
        <f t="shared" si="49"/>
        <v/>
      </c>
      <c r="N328" s="8" t="str">
        <f t="shared" si="50"/>
        <v/>
      </c>
      <c r="O328" s="9"/>
      <c r="P328" s="31"/>
      <c r="Q328" s="8" t="str">
        <f t="shared" si="51"/>
        <v/>
      </c>
      <c r="R328" s="8" t="str">
        <f t="shared" si="52"/>
        <v/>
      </c>
      <c r="S328" s="8">
        <f>IF(OR(R328="",D328=""),0,IF(SUMPRODUCT(--(R$4:R328=R328))&gt;1,1,0))</f>
        <v>0</v>
      </c>
      <c r="T328" s="8">
        <f t="shared" si="53"/>
        <v>0</v>
      </c>
    </row>
    <row r="329" spans="1:20" x14ac:dyDescent="0.25">
      <c r="A329" s="8">
        <v>326</v>
      </c>
      <c r="B329" s="9"/>
      <c r="C329" s="33" t="str">
        <f t="shared" si="45"/>
        <v/>
      </c>
      <c r="D329" s="9"/>
      <c r="E329" s="31"/>
      <c r="F329" s="11"/>
      <c r="G329" s="11"/>
      <c r="H329" s="9"/>
      <c r="I329" s="12" t="str">
        <f t="shared" si="46"/>
        <v/>
      </c>
      <c r="J329" s="12" t="str">
        <f t="shared" si="47"/>
        <v/>
      </c>
      <c r="K329" s="11"/>
      <c r="L329" s="12" t="str">
        <f t="shared" si="48"/>
        <v/>
      </c>
      <c r="M329" s="12" t="str">
        <f t="shared" si="49"/>
        <v/>
      </c>
      <c r="N329" s="8" t="str">
        <f t="shared" si="50"/>
        <v/>
      </c>
      <c r="O329" s="9"/>
      <c r="P329" s="31"/>
      <c r="Q329" s="8" t="str">
        <f t="shared" si="51"/>
        <v/>
      </c>
      <c r="R329" s="8" t="str">
        <f t="shared" si="52"/>
        <v/>
      </c>
      <c r="S329" s="8">
        <f>IF(OR(R329="",D329=""),0,IF(SUMPRODUCT(--(R$4:R329=R329))&gt;1,1,0))</f>
        <v>0</v>
      </c>
      <c r="T329" s="8">
        <f t="shared" si="53"/>
        <v>0</v>
      </c>
    </row>
    <row r="330" spans="1:20" x14ac:dyDescent="0.25">
      <c r="A330" s="8">
        <v>327</v>
      </c>
      <c r="B330" s="9"/>
      <c r="C330" s="33" t="str">
        <f t="shared" si="45"/>
        <v/>
      </c>
      <c r="D330" s="9"/>
      <c r="E330" s="31"/>
      <c r="F330" s="11"/>
      <c r="G330" s="11"/>
      <c r="H330" s="9"/>
      <c r="I330" s="12" t="str">
        <f t="shared" si="46"/>
        <v/>
      </c>
      <c r="J330" s="12" t="str">
        <f t="shared" si="47"/>
        <v/>
      </c>
      <c r="K330" s="11"/>
      <c r="L330" s="12" t="str">
        <f t="shared" si="48"/>
        <v/>
      </c>
      <c r="M330" s="12" t="str">
        <f t="shared" si="49"/>
        <v/>
      </c>
      <c r="N330" s="8" t="str">
        <f t="shared" si="50"/>
        <v/>
      </c>
      <c r="O330" s="9"/>
      <c r="P330" s="31"/>
      <c r="Q330" s="8" t="str">
        <f t="shared" si="51"/>
        <v/>
      </c>
      <c r="R330" s="8" t="str">
        <f t="shared" si="52"/>
        <v/>
      </c>
      <c r="S330" s="8">
        <f>IF(OR(R330="",D330=""),0,IF(SUMPRODUCT(--(R$4:R330=R330))&gt;1,1,0))</f>
        <v>0</v>
      </c>
      <c r="T330" s="8">
        <f t="shared" si="53"/>
        <v>0</v>
      </c>
    </row>
    <row r="331" spans="1:20" x14ac:dyDescent="0.25">
      <c r="A331" s="8">
        <v>328</v>
      </c>
      <c r="B331" s="9"/>
      <c r="C331" s="33" t="str">
        <f t="shared" si="45"/>
        <v/>
      </c>
      <c r="D331" s="9"/>
      <c r="E331" s="31"/>
      <c r="F331" s="11"/>
      <c r="G331" s="11"/>
      <c r="H331" s="9"/>
      <c r="I331" s="12" t="str">
        <f t="shared" si="46"/>
        <v/>
      </c>
      <c r="J331" s="12" t="str">
        <f t="shared" si="47"/>
        <v/>
      </c>
      <c r="K331" s="11"/>
      <c r="L331" s="12" t="str">
        <f t="shared" si="48"/>
        <v/>
      </c>
      <c r="M331" s="12" t="str">
        <f t="shared" si="49"/>
        <v/>
      </c>
      <c r="N331" s="8" t="str">
        <f t="shared" si="50"/>
        <v/>
      </c>
      <c r="O331" s="9"/>
      <c r="P331" s="31"/>
      <c r="Q331" s="8" t="str">
        <f t="shared" si="51"/>
        <v/>
      </c>
      <c r="R331" s="8" t="str">
        <f t="shared" si="52"/>
        <v/>
      </c>
      <c r="S331" s="8">
        <f>IF(OR(R331="",D331=""),0,IF(SUMPRODUCT(--(R$4:R331=R331))&gt;1,1,0))</f>
        <v>0</v>
      </c>
      <c r="T331" s="8">
        <f t="shared" si="53"/>
        <v>0</v>
      </c>
    </row>
    <row r="332" spans="1:20" x14ac:dyDescent="0.25">
      <c r="A332" s="8">
        <v>329</v>
      </c>
      <c r="B332" s="9"/>
      <c r="C332" s="33" t="str">
        <f t="shared" si="45"/>
        <v/>
      </c>
      <c r="D332" s="9"/>
      <c r="E332" s="31"/>
      <c r="F332" s="11"/>
      <c r="G332" s="11"/>
      <c r="H332" s="9"/>
      <c r="I332" s="12" t="str">
        <f t="shared" si="46"/>
        <v/>
      </c>
      <c r="J332" s="12" t="str">
        <f t="shared" si="47"/>
        <v/>
      </c>
      <c r="K332" s="11"/>
      <c r="L332" s="12" t="str">
        <f t="shared" si="48"/>
        <v/>
      </c>
      <c r="M332" s="12" t="str">
        <f t="shared" si="49"/>
        <v/>
      </c>
      <c r="N332" s="8" t="str">
        <f t="shared" si="50"/>
        <v/>
      </c>
      <c r="O332" s="9"/>
      <c r="P332" s="31"/>
      <c r="Q332" s="8" t="str">
        <f t="shared" si="51"/>
        <v/>
      </c>
      <c r="R332" s="8" t="str">
        <f t="shared" si="52"/>
        <v/>
      </c>
      <c r="S332" s="8">
        <f>IF(OR(R332="",D332=""),0,IF(SUMPRODUCT(--(R$4:R332=R332))&gt;1,1,0))</f>
        <v>0</v>
      </c>
      <c r="T332" s="8">
        <f t="shared" si="53"/>
        <v>0</v>
      </c>
    </row>
    <row r="333" spans="1:20" x14ac:dyDescent="0.25">
      <c r="A333" s="8">
        <v>330</v>
      </c>
      <c r="B333" s="9"/>
      <c r="C333" s="33" t="str">
        <f t="shared" si="45"/>
        <v/>
      </c>
      <c r="D333" s="9"/>
      <c r="E333" s="31"/>
      <c r="F333" s="11"/>
      <c r="G333" s="11"/>
      <c r="H333" s="9"/>
      <c r="I333" s="12" t="str">
        <f t="shared" si="46"/>
        <v/>
      </c>
      <c r="J333" s="12" t="str">
        <f t="shared" si="47"/>
        <v/>
      </c>
      <c r="K333" s="11"/>
      <c r="L333" s="12" t="str">
        <f t="shared" si="48"/>
        <v/>
      </c>
      <c r="M333" s="12" t="str">
        <f t="shared" si="49"/>
        <v/>
      </c>
      <c r="N333" s="8" t="str">
        <f t="shared" si="50"/>
        <v/>
      </c>
      <c r="O333" s="9"/>
      <c r="P333" s="31"/>
      <c r="Q333" s="8" t="str">
        <f t="shared" si="51"/>
        <v/>
      </c>
      <c r="R333" s="8" t="str">
        <f t="shared" si="52"/>
        <v/>
      </c>
      <c r="S333" s="8">
        <f>IF(OR(R333="",D333=""),0,IF(SUMPRODUCT(--(R$4:R333=R333))&gt;1,1,0))</f>
        <v>0</v>
      </c>
      <c r="T333" s="8">
        <f t="shared" si="53"/>
        <v>0</v>
      </c>
    </row>
    <row r="334" spans="1:20" x14ac:dyDescent="0.25">
      <c r="A334" s="8">
        <v>331</v>
      </c>
      <c r="B334" s="9"/>
      <c r="C334" s="33" t="str">
        <f t="shared" si="45"/>
        <v/>
      </c>
      <c r="D334" s="9"/>
      <c r="E334" s="31"/>
      <c r="F334" s="11"/>
      <c r="G334" s="11"/>
      <c r="H334" s="9"/>
      <c r="I334" s="12" t="str">
        <f t="shared" si="46"/>
        <v/>
      </c>
      <c r="J334" s="12" t="str">
        <f t="shared" si="47"/>
        <v/>
      </c>
      <c r="K334" s="11"/>
      <c r="L334" s="12" t="str">
        <f t="shared" si="48"/>
        <v/>
      </c>
      <c r="M334" s="12" t="str">
        <f t="shared" si="49"/>
        <v/>
      </c>
      <c r="N334" s="8" t="str">
        <f t="shared" si="50"/>
        <v/>
      </c>
      <c r="O334" s="9"/>
      <c r="P334" s="31"/>
      <c r="Q334" s="8" t="str">
        <f t="shared" si="51"/>
        <v/>
      </c>
      <c r="R334" s="8" t="str">
        <f t="shared" si="52"/>
        <v/>
      </c>
      <c r="S334" s="8">
        <f>IF(OR(R334="",D334=""),0,IF(SUMPRODUCT(--(R$4:R334=R334))&gt;1,1,0))</f>
        <v>0</v>
      </c>
      <c r="T334" s="8">
        <f t="shared" si="53"/>
        <v>0</v>
      </c>
    </row>
    <row r="335" spans="1:20" x14ac:dyDescent="0.25">
      <c r="A335" s="8">
        <v>332</v>
      </c>
      <c r="B335" s="9"/>
      <c r="C335" s="33" t="str">
        <f t="shared" si="45"/>
        <v/>
      </c>
      <c r="D335" s="9"/>
      <c r="E335" s="31"/>
      <c r="F335" s="11"/>
      <c r="G335" s="11"/>
      <c r="H335" s="9"/>
      <c r="I335" s="12" t="str">
        <f t="shared" si="46"/>
        <v/>
      </c>
      <c r="J335" s="12" t="str">
        <f t="shared" si="47"/>
        <v/>
      </c>
      <c r="K335" s="11"/>
      <c r="L335" s="12" t="str">
        <f t="shared" si="48"/>
        <v/>
      </c>
      <c r="M335" s="12" t="str">
        <f t="shared" si="49"/>
        <v/>
      </c>
      <c r="N335" s="8" t="str">
        <f t="shared" si="50"/>
        <v/>
      </c>
      <c r="O335" s="9"/>
      <c r="P335" s="31"/>
      <c r="Q335" s="8" t="str">
        <f t="shared" si="51"/>
        <v/>
      </c>
      <c r="R335" s="8" t="str">
        <f t="shared" si="52"/>
        <v/>
      </c>
      <c r="S335" s="8">
        <f>IF(OR(R335="",D335=""),0,IF(SUMPRODUCT(--(R$4:R335=R335))&gt;1,1,0))</f>
        <v>0</v>
      </c>
      <c r="T335" s="8">
        <f t="shared" si="53"/>
        <v>0</v>
      </c>
    </row>
    <row r="336" spans="1:20" x14ac:dyDescent="0.25">
      <c r="A336" s="8">
        <v>333</v>
      </c>
      <c r="B336" s="9"/>
      <c r="C336" s="33" t="str">
        <f t="shared" si="45"/>
        <v/>
      </c>
      <c r="D336" s="9"/>
      <c r="E336" s="31"/>
      <c r="F336" s="11"/>
      <c r="G336" s="11"/>
      <c r="H336" s="9"/>
      <c r="I336" s="12" t="str">
        <f t="shared" si="46"/>
        <v/>
      </c>
      <c r="J336" s="12" t="str">
        <f t="shared" si="47"/>
        <v/>
      </c>
      <c r="K336" s="11"/>
      <c r="L336" s="12" t="str">
        <f t="shared" si="48"/>
        <v/>
      </c>
      <c r="M336" s="12" t="str">
        <f t="shared" si="49"/>
        <v/>
      </c>
      <c r="N336" s="8" t="str">
        <f t="shared" si="50"/>
        <v/>
      </c>
      <c r="O336" s="9"/>
      <c r="P336" s="31"/>
      <c r="Q336" s="8" t="str">
        <f t="shared" si="51"/>
        <v/>
      </c>
      <c r="R336" s="8" t="str">
        <f t="shared" si="52"/>
        <v/>
      </c>
      <c r="S336" s="8">
        <f>IF(OR(R336="",D336=""),0,IF(SUMPRODUCT(--(R$4:R336=R336))&gt;1,1,0))</f>
        <v>0</v>
      </c>
      <c r="T336" s="8">
        <f t="shared" si="53"/>
        <v>0</v>
      </c>
    </row>
    <row r="337" spans="1:20" x14ac:dyDescent="0.25">
      <c r="A337" s="8">
        <v>334</v>
      </c>
      <c r="B337" s="9"/>
      <c r="C337" s="33" t="str">
        <f t="shared" si="45"/>
        <v/>
      </c>
      <c r="D337" s="9"/>
      <c r="E337" s="31"/>
      <c r="F337" s="11"/>
      <c r="G337" s="11"/>
      <c r="H337" s="9"/>
      <c r="I337" s="12" t="str">
        <f t="shared" si="46"/>
        <v/>
      </c>
      <c r="J337" s="12" t="str">
        <f t="shared" si="47"/>
        <v/>
      </c>
      <c r="K337" s="11"/>
      <c r="L337" s="12" t="str">
        <f t="shared" si="48"/>
        <v/>
      </c>
      <c r="M337" s="12" t="str">
        <f t="shared" si="49"/>
        <v/>
      </c>
      <c r="N337" s="8" t="str">
        <f t="shared" si="50"/>
        <v/>
      </c>
      <c r="O337" s="9"/>
      <c r="P337" s="31"/>
      <c r="Q337" s="8" t="str">
        <f t="shared" si="51"/>
        <v/>
      </c>
      <c r="R337" s="8" t="str">
        <f t="shared" si="52"/>
        <v/>
      </c>
      <c r="S337" s="8">
        <f>IF(OR(R337="",D337=""),0,IF(SUMPRODUCT(--(R$4:R337=R337))&gt;1,1,0))</f>
        <v>0</v>
      </c>
      <c r="T337" s="8">
        <f t="shared" si="53"/>
        <v>0</v>
      </c>
    </row>
    <row r="338" spans="1:20" x14ac:dyDescent="0.25">
      <c r="A338" s="8">
        <v>335</v>
      </c>
      <c r="B338" s="9"/>
      <c r="C338" s="33" t="str">
        <f t="shared" si="45"/>
        <v/>
      </c>
      <c r="D338" s="9"/>
      <c r="E338" s="31"/>
      <c r="F338" s="11"/>
      <c r="G338" s="11"/>
      <c r="H338" s="9"/>
      <c r="I338" s="12" t="str">
        <f t="shared" si="46"/>
        <v/>
      </c>
      <c r="J338" s="12" t="str">
        <f t="shared" si="47"/>
        <v/>
      </c>
      <c r="K338" s="11"/>
      <c r="L338" s="12" t="str">
        <f t="shared" si="48"/>
        <v/>
      </c>
      <c r="M338" s="12" t="str">
        <f t="shared" si="49"/>
        <v/>
      </c>
      <c r="N338" s="8" t="str">
        <f t="shared" si="50"/>
        <v/>
      </c>
      <c r="O338" s="9"/>
      <c r="P338" s="31"/>
      <c r="Q338" s="8" t="str">
        <f t="shared" si="51"/>
        <v/>
      </c>
      <c r="R338" s="8" t="str">
        <f t="shared" si="52"/>
        <v/>
      </c>
      <c r="S338" s="8">
        <f>IF(OR(R338="",D338=""),0,IF(SUMPRODUCT(--(R$4:R338=R338))&gt;1,1,0))</f>
        <v>0</v>
      </c>
      <c r="T338" s="8">
        <f t="shared" si="53"/>
        <v>0</v>
      </c>
    </row>
    <row r="339" spans="1:20" x14ac:dyDescent="0.25">
      <c r="A339" s="8">
        <v>336</v>
      </c>
      <c r="B339" s="9"/>
      <c r="C339" s="33" t="str">
        <f t="shared" si="45"/>
        <v/>
      </c>
      <c r="D339" s="9"/>
      <c r="E339" s="31"/>
      <c r="F339" s="11"/>
      <c r="G339" s="11"/>
      <c r="H339" s="9"/>
      <c r="I339" s="12" t="str">
        <f t="shared" si="46"/>
        <v/>
      </c>
      <c r="J339" s="12" t="str">
        <f t="shared" si="47"/>
        <v/>
      </c>
      <c r="K339" s="11"/>
      <c r="L339" s="12" t="str">
        <f t="shared" si="48"/>
        <v/>
      </c>
      <c r="M339" s="12" t="str">
        <f t="shared" si="49"/>
        <v/>
      </c>
      <c r="N339" s="8" t="str">
        <f t="shared" si="50"/>
        <v/>
      </c>
      <c r="O339" s="9"/>
      <c r="P339" s="31"/>
      <c r="Q339" s="8" t="str">
        <f t="shared" si="51"/>
        <v/>
      </c>
      <c r="R339" s="8" t="str">
        <f t="shared" si="52"/>
        <v/>
      </c>
      <c r="S339" s="8">
        <f>IF(OR(R339="",D339=""),0,IF(SUMPRODUCT(--(R$4:R339=R339))&gt;1,1,0))</f>
        <v>0</v>
      </c>
      <c r="T339" s="8">
        <f t="shared" si="53"/>
        <v>0</v>
      </c>
    </row>
    <row r="340" spans="1:20" x14ac:dyDescent="0.25">
      <c r="A340" s="8">
        <v>337</v>
      </c>
      <c r="B340" s="9"/>
      <c r="C340" s="33" t="str">
        <f t="shared" si="45"/>
        <v/>
      </c>
      <c r="D340" s="9"/>
      <c r="E340" s="31"/>
      <c r="F340" s="11"/>
      <c r="G340" s="11"/>
      <c r="H340" s="9"/>
      <c r="I340" s="12" t="str">
        <f t="shared" si="46"/>
        <v/>
      </c>
      <c r="J340" s="12" t="str">
        <f t="shared" si="47"/>
        <v/>
      </c>
      <c r="K340" s="11"/>
      <c r="L340" s="12" t="str">
        <f t="shared" si="48"/>
        <v/>
      </c>
      <c r="M340" s="12" t="str">
        <f t="shared" si="49"/>
        <v/>
      </c>
      <c r="N340" s="8" t="str">
        <f t="shared" si="50"/>
        <v/>
      </c>
      <c r="O340" s="9"/>
      <c r="P340" s="31"/>
      <c r="Q340" s="8" t="str">
        <f t="shared" si="51"/>
        <v/>
      </c>
      <c r="R340" s="8" t="str">
        <f t="shared" si="52"/>
        <v/>
      </c>
      <c r="S340" s="8">
        <f>IF(OR(R340="",D340=""),0,IF(SUMPRODUCT(--(R$4:R340=R340))&gt;1,1,0))</f>
        <v>0</v>
      </c>
      <c r="T340" s="8">
        <f t="shared" si="53"/>
        <v>0</v>
      </c>
    </row>
    <row r="341" spans="1:20" x14ac:dyDescent="0.25">
      <c r="A341" s="8">
        <v>338</v>
      </c>
      <c r="B341" s="9"/>
      <c r="C341" s="33" t="str">
        <f t="shared" si="45"/>
        <v/>
      </c>
      <c r="D341" s="9"/>
      <c r="E341" s="31"/>
      <c r="F341" s="11"/>
      <c r="G341" s="11"/>
      <c r="H341" s="9"/>
      <c r="I341" s="12" t="str">
        <f t="shared" si="46"/>
        <v/>
      </c>
      <c r="J341" s="12" t="str">
        <f t="shared" si="47"/>
        <v/>
      </c>
      <c r="K341" s="11"/>
      <c r="L341" s="12" t="str">
        <f t="shared" si="48"/>
        <v/>
      </c>
      <c r="M341" s="12" t="str">
        <f t="shared" si="49"/>
        <v/>
      </c>
      <c r="N341" s="8" t="str">
        <f t="shared" si="50"/>
        <v/>
      </c>
      <c r="O341" s="9"/>
      <c r="P341" s="31"/>
      <c r="Q341" s="8" t="str">
        <f t="shared" si="51"/>
        <v/>
      </c>
      <c r="R341" s="8" t="str">
        <f t="shared" si="52"/>
        <v/>
      </c>
      <c r="S341" s="8">
        <f>IF(OR(R341="",D341=""),0,IF(SUMPRODUCT(--(R$4:R341=R341))&gt;1,1,0))</f>
        <v>0</v>
      </c>
      <c r="T341" s="8">
        <f t="shared" si="53"/>
        <v>0</v>
      </c>
    </row>
    <row r="342" spans="1:20" x14ac:dyDescent="0.25">
      <c r="A342" s="8">
        <v>339</v>
      </c>
      <c r="B342" s="9"/>
      <c r="C342" s="33" t="str">
        <f t="shared" si="45"/>
        <v/>
      </c>
      <c r="D342" s="9"/>
      <c r="E342" s="31"/>
      <c r="F342" s="11"/>
      <c r="G342" s="11"/>
      <c r="H342" s="9"/>
      <c r="I342" s="12" t="str">
        <f t="shared" si="46"/>
        <v/>
      </c>
      <c r="J342" s="12" t="str">
        <f t="shared" si="47"/>
        <v/>
      </c>
      <c r="K342" s="11"/>
      <c r="L342" s="12" t="str">
        <f t="shared" si="48"/>
        <v/>
      </c>
      <c r="M342" s="12" t="str">
        <f t="shared" si="49"/>
        <v/>
      </c>
      <c r="N342" s="8" t="str">
        <f t="shared" si="50"/>
        <v/>
      </c>
      <c r="O342" s="9"/>
      <c r="P342" s="31"/>
      <c r="Q342" s="8" t="str">
        <f t="shared" si="51"/>
        <v/>
      </c>
      <c r="R342" s="8" t="str">
        <f t="shared" si="52"/>
        <v/>
      </c>
      <c r="S342" s="8">
        <f>IF(OR(R342="",D342=""),0,IF(SUMPRODUCT(--(R$4:R342=R342))&gt;1,1,0))</f>
        <v>0</v>
      </c>
      <c r="T342" s="8">
        <f t="shared" si="53"/>
        <v>0</v>
      </c>
    </row>
    <row r="343" spans="1:20" x14ac:dyDescent="0.25">
      <c r="A343" s="8">
        <v>340</v>
      </c>
      <c r="B343" s="9"/>
      <c r="C343" s="33" t="str">
        <f t="shared" si="45"/>
        <v/>
      </c>
      <c r="D343" s="9"/>
      <c r="E343" s="31"/>
      <c r="F343" s="11"/>
      <c r="G343" s="11"/>
      <c r="H343" s="9"/>
      <c r="I343" s="12" t="str">
        <f t="shared" si="46"/>
        <v/>
      </c>
      <c r="J343" s="12" t="str">
        <f t="shared" si="47"/>
        <v/>
      </c>
      <c r="K343" s="11"/>
      <c r="L343" s="12" t="str">
        <f t="shared" si="48"/>
        <v/>
      </c>
      <c r="M343" s="12" t="str">
        <f t="shared" si="49"/>
        <v/>
      </c>
      <c r="N343" s="8" t="str">
        <f t="shared" si="50"/>
        <v/>
      </c>
      <c r="O343" s="9"/>
      <c r="P343" s="31"/>
      <c r="Q343" s="8" t="str">
        <f t="shared" si="51"/>
        <v/>
      </c>
      <c r="R343" s="8" t="str">
        <f t="shared" si="52"/>
        <v/>
      </c>
      <c r="S343" s="8">
        <f>IF(OR(R343="",D343=""),0,IF(SUMPRODUCT(--(R$4:R343=R343))&gt;1,1,0))</f>
        <v>0</v>
      </c>
      <c r="T343" s="8">
        <f t="shared" si="53"/>
        <v>0</v>
      </c>
    </row>
    <row r="344" spans="1:20" x14ac:dyDescent="0.25">
      <c r="A344" s="8">
        <v>341</v>
      </c>
      <c r="B344" s="9"/>
      <c r="C344" s="33" t="str">
        <f t="shared" si="45"/>
        <v/>
      </c>
      <c r="D344" s="9"/>
      <c r="E344" s="31"/>
      <c r="F344" s="11"/>
      <c r="G344" s="11"/>
      <c r="H344" s="9"/>
      <c r="I344" s="12" t="str">
        <f t="shared" si="46"/>
        <v/>
      </c>
      <c r="J344" s="12" t="str">
        <f t="shared" si="47"/>
        <v/>
      </c>
      <c r="K344" s="11"/>
      <c r="L344" s="12" t="str">
        <f t="shared" si="48"/>
        <v/>
      </c>
      <c r="M344" s="12" t="str">
        <f t="shared" si="49"/>
        <v/>
      </c>
      <c r="N344" s="8" t="str">
        <f t="shared" si="50"/>
        <v/>
      </c>
      <c r="O344" s="9"/>
      <c r="P344" s="31"/>
      <c r="Q344" s="8" t="str">
        <f t="shared" si="51"/>
        <v/>
      </c>
      <c r="R344" s="8" t="str">
        <f t="shared" si="52"/>
        <v/>
      </c>
      <c r="S344" s="8">
        <f>IF(OR(R344="",D344=""),0,IF(SUMPRODUCT(--(R$4:R344=R344))&gt;1,1,0))</f>
        <v>0</v>
      </c>
      <c r="T344" s="8">
        <f t="shared" si="53"/>
        <v>0</v>
      </c>
    </row>
    <row r="345" spans="1:20" x14ac:dyDescent="0.25">
      <c r="A345" s="8">
        <v>342</v>
      </c>
      <c r="B345" s="9"/>
      <c r="C345" s="33" t="str">
        <f t="shared" si="45"/>
        <v/>
      </c>
      <c r="D345" s="9"/>
      <c r="E345" s="31"/>
      <c r="F345" s="11"/>
      <c r="G345" s="11"/>
      <c r="H345" s="9"/>
      <c r="I345" s="12" t="str">
        <f t="shared" si="46"/>
        <v/>
      </c>
      <c r="J345" s="12" t="str">
        <f t="shared" si="47"/>
        <v/>
      </c>
      <c r="K345" s="11"/>
      <c r="L345" s="12" t="str">
        <f t="shared" si="48"/>
        <v/>
      </c>
      <c r="M345" s="12" t="str">
        <f t="shared" si="49"/>
        <v/>
      </c>
      <c r="N345" s="8" t="str">
        <f t="shared" si="50"/>
        <v/>
      </c>
      <c r="O345" s="9"/>
      <c r="P345" s="31"/>
      <c r="Q345" s="8" t="str">
        <f t="shared" si="51"/>
        <v/>
      </c>
      <c r="R345" s="8" t="str">
        <f t="shared" si="52"/>
        <v/>
      </c>
      <c r="S345" s="8">
        <f>IF(OR(R345="",D345=""),0,IF(SUMPRODUCT(--(R$4:R345=R345))&gt;1,1,0))</f>
        <v>0</v>
      </c>
      <c r="T345" s="8">
        <f t="shared" si="53"/>
        <v>0</v>
      </c>
    </row>
    <row r="346" spans="1:20" x14ac:dyDescent="0.25">
      <c r="A346" s="8">
        <v>343</v>
      </c>
      <c r="B346" s="9"/>
      <c r="C346" s="33" t="str">
        <f t="shared" si="45"/>
        <v/>
      </c>
      <c r="D346" s="9"/>
      <c r="E346" s="31"/>
      <c r="F346" s="11"/>
      <c r="G346" s="11"/>
      <c r="H346" s="9"/>
      <c r="I346" s="12" t="str">
        <f t="shared" si="46"/>
        <v/>
      </c>
      <c r="J346" s="12" t="str">
        <f t="shared" si="47"/>
        <v/>
      </c>
      <c r="K346" s="11"/>
      <c r="L346" s="12" t="str">
        <f t="shared" si="48"/>
        <v/>
      </c>
      <c r="M346" s="12" t="str">
        <f t="shared" si="49"/>
        <v/>
      </c>
      <c r="N346" s="8" t="str">
        <f t="shared" si="50"/>
        <v/>
      </c>
      <c r="O346" s="9"/>
      <c r="P346" s="31"/>
      <c r="Q346" s="8" t="str">
        <f t="shared" si="51"/>
        <v/>
      </c>
      <c r="R346" s="8" t="str">
        <f t="shared" si="52"/>
        <v/>
      </c>
      <c r="S346" s="8">
        <f>IF(OR(R346="",D346=""),0,IF(SUMPRODUCT(--(R$4:R346=R346))&gt;1,1,0))</f>
        <v>0</v>
      </c>
      <c r="T346" s="8">
        <f t="shared" si="53"/>
        <v>0</v>
      </c>
    </row>
    <row r="347" spans="1:20" x14ac:dyDescent="0.25">
      <c r="A347" s="8">
        <v>344</v>
      </c>
      <c r="B347" s="9"/>
      <c r="C347" s="33" t="str">
        <f t="shared" si="45"/>
        <v/>
      </c>
      <c r="D347" s="9"/>
      <c r="E347" s="31"/>
      <c r="F347" s="11"/>
      <c r="G347" s="11"/>
      <c r="H347" s="9"/>
      <c r="I347" s="12" t="str">
        <f t="shared" si="46"/>
        <v/>
      </c>
      <c r="J347" s="12" t="str">
        <f t="shared" si="47"/>
        <v/>
      </c>
      <c r="K347" s="11"/>
      <c r="L347" s="12" t="str">
        <f t="shared" si="48"/>
        <v/>
      </c>
      <c r="M347" s="12" t="str">
        <f t="shared" si="49"/>
        <v/>
      </c>
      <c r="N347" s="8" t="str">
        <f t="shared" si="50"/>
        <v/>
      </c>
      <c r="O347" s="9"/>
      <c r="P347" s="31"/>
      <c r="Q347" s="8" t="str">
        <f t="shared" si="51"/>
        <v/>
      </c>
      <c r="R347" s="8" t="str">
        <f t="shared" si="52"/>
        <v/>
      </c>
      <c r="S347" s="8">
        <f>IF(OR(R347="",D347=""),0,IF(SUMPRODUCT(--(R$4:R347=R347))&gt;1,1,0))</f>
        <v>0</v>
      </c>
      <c r="T347" s="8">
        <f t="shared" si="53"/>
        <v>0</v>
      </c>
    </row>
    <row r="348" spans="1:20" x14ac:dyDescent="0.25">
      <c r="A348" s="8">
        <v>345</v>
      </c>
      <c r="B348" s="9"/>
      <c r="C348" s="33" t="str">
        <f t="shared" si="45"/>
        <v/>
      </c>
      <c r="D348" s="9"/>
      <c r="E348" s="31"/>
      <c r="F348" s="11"/>
      <c r="G348" s="11"/>
      <c r="H348" s="9"/>
      <c r="I348" s="12" t="str">
        <f t="shared" si="46"/>
        <v/>
      </c>
      <c r="J348" s="12" t="str">
        <f t="shared" si="47"/>
        <v/>
      </c>
      <c r="K348" s="11"/>
      <c r="L348" s="12" t="str">
        <f t="shared" si="48"/>
        <v/>
      </c>
      <c r="M348" s="12" t="str">
        <f t="shared" si="49"/>
        <v/>
      </c>
      <c r="N348" s="8" t="str">
        <f t="shared" si="50"/>
        <v/>
      </c>
      <c r="O348" s="9"/>
      <c r="P348" s="31"/>
      <c r="Q348" s="8" t="str">
        <f t="shared" si="51"/>
        <v/>
      </c>
      <c r="R348" s="8" t="str">
        <f t="shared" si="52"/>
        <v/>
      </c>
      <c r="S348" s="8">
        <f>IF(OR(R348="",D348=""),0,IF(SUMPRODUCT(--(R$4:R348=R348))&gt;1,1,0))</f>
        <v>0</v>
      </c>
      <c r="T348" s="8">
        <f t="shared" si="53"/>
        <v>0</v>
      </c>
    </row>
    <row r="349" spans="1:20" x14ac:dyDescent="0.25">
      <c r="A349" s="8">
        <v>346</v>
      </c>
      <c r="B349" s="9"/>
      <c r="C349" s="33" t="str">
        <f t="shared" si="45"/>
        <v/>
      </c>
      <c r="D349" s="9"/>
      <c r="E349" s="31"/>
      <c r="F349" s="11"/>
      <c r="G349" s="11"/>
      <c r="H349" s="9"/>
      <c r="I349" s="12" t="str">
        <f t="shared" si="46"/>
        <v/>
      </c>
      <c r="J349" s="12" t="str">
        <f t="shared" si="47"/>
        <v/>
      </c>
      <c r="K349" s="11"/>
      <c r="L349" s="12" t="str">
        <f t="shared" si="48"/>
        <v/>
      </c>
      <c r="M349" s="12" t="str">
        <f t="shared" si="49"/>
        <v/>
      </c>
      <c r="N349" s="8" t="str">
        <f t="shared" si="50"/>
        <v/>
      </c>
      <c r="O349" s="9"/>
      <c r="P349" s="31"/>
      <c r="Q349" s="8" t="str">
        <f t="shared" si="51"/>
        <v/>
      </c>
      <c r="R349" s="8" t="str">
        <f t="shared" si="52"/>
        <v/>
      </c>
      <c r="S349" s="8">
        <f>IF(OR(R349="",D349=""),0,IF(SUMPRODUCT(--(R$4:R349=R349))&gt;1,1,0))</f>
        <v>0</v>
      </c>
      <c r="T349" s="8">
        <f t="shared" si="53"/>
        <v>0</v>
      </c>
    </row>
    <row r="350" spans="1:20" x14ac:dyDescent="0.25">
      <c r="A350" s="8">
        <v>347</v>
      </c>
      <c r="B350" s="9"/>
      <c r="C350" s="33" t="str">
        <f t="shared" si="45"/>
        <v/>
      </c>
      <c r="D350" s="9"/>
      <c r="E350" s="31"/>
      <c r="F350" s="11"/>
      <c r="G350" s="11"/>
      <c r="H350" s="9"/>
      <c r="I350" s="12" t="str">
        <f t="shared" si="46"/>
        <v/>
      </c>
      <c r="J350" s="12" t="str">
        <f t="shared" si="47"/>
        <v/>
      </c>
      <c r="K350" s="11"/>
      <c r="L350" s="12" t="str">
        <f t="shared" si="48"/>
        <v/>
      </c>
      <c r="M350" s="12" t="str">
        <f t="shared" si="49"/>
        <v/>
      </c>
      <c r="N350" s="8" t="str">
        <f t="shared" si="50"/>
        <v/>
      </c>
      <c r="O350" s="9"/>
      <c r="P350" s="31"/>
      <c r="Q350" s="8" t="str">
        <f t="shared" si="51"/>
        <v/>
      </c>
      <c r="R350" s="8" t="str">
        <f t="shared" si="52"/>
        <v/>
      </c>
      <c r="S350" s="8">
        <f>IF(OR(R350="",D350=""),0,IF(SUMPRODUCT(--(R$4:R350=R350))&gt;1,1,0))</f>
        <v>0</v>
      </c>
      <c r="T350" s="8">
        <f t="shared" si="53"/>
        <v>0</v>
      </c>
    </row>
    <row r="351" spans="1:20" x14ac:dyDescent="0.25">
      <c r="A351" s="8">
        <v>348</v>
      </c>
      <c r="B351" s="9"/>
      <c r="C351" s="33" t="str">
        <f t="shared" si="45"/>
        <v/>
      </c>
      <c r="D351" s="9"/>
      <c r="E351" s="31"/>
      <c r="F351" s="11"/>
      <c r="G351" s="11"/>
      <c r="H351" s="9"/>
      <c r="I351" s="12" t="str">
        <f t="shared" si="46"/>
        <v/>
      </c>
      <c r="J351" s="12" t="str">
        <f t="shared" si="47"/>
        <v/>
      </c>
      <c r="K351" s="11"/>
      <c r="L351" s="12" t="str">
        <f t="shared" si="48"/>
        <v/>
      </c>
      <c r="M351" s="12" t="str">
        <f t="shared" si="49"/>
        <v/>
      </c>
      <c r="N351" s="8" t="str">
        <f t="shared" si="50"/>
        <v/>
      </c>
      <c r="O351" s="9"/>
      <c r="P351" s="31"/>
      <c r="Q351" s="8" t="str">
        <f t="shared" si="51"/>
        <v/>
      </c>
      <c r="R351" s="8" t="str">
        <f t="shared" si="52"/>
        <v/>
      </c>
      <c r="S351" s="8">
        <f>IF(OR(R351="",D351=""),0,IF(SUMPRODUCT(--(R$4:R351=R351))&gt;1,1,0))</f>
        <v>0</v>
      </c>
      <c r="T351" s="8">
        <f t="shared" si="53"/>
        <v>0</v>
      </c>
    </row>
    <row r="352" spans="1:20" x14ac:dyDescent="0.25">
      <c r="A352" s="8">
        <v>349</v>
      </c>
      <c r="B352" s="9"/>
      <c r="C352" s="33" t="str">
        <f t="shared" si="45"/>
        <v/>
      </c>
      <c r="D352" s="9"/>
      <c r="E352" s="31"/>
      <c r="F352" s="11"/>
      <c r="G352" s="11"/>
      <c r="H352" s="9"/>
      <c r="I352" s="12" t="str">
        <f t="shared" si="46"/>
        <v/>
      </c>
      <c r="J352" s="12" t="str">
        <f t="shared" si="47"/>
        <v/>
      </c>
      <c r="K352" s="11"/>
      <c r="L352" s="12" t="str">
        <f t="shared" si="48"/>
        <v/>
      </c>
      <c r="M352" s="12" t="str">
        <f t="shared" si="49"/>
        <v/>
      </c>
      <c r="N352" s="8" t="str">
        <f t="shared" si="50"/>
        <v/>
      </c>
      <c r="O352" s="9"/>
      <c r="P352" s="31"/>
      <c r="Q352" s="8" t="str">
        <f t="shared" si="51"/>
        <v/>
      </c>
      <c r="R352" s="8" t="str">
        <f t="shared" si="52"/>
        <v/>
      </c>
      <c r="S352" s="8">
        <f>IF(OR(R352="",D352=""),0,IF(SUMPRODUCT(--(R$4:R352=R352))&gt;1,1,0))</f>
        <v>0</v>
      </c>
      <c r="T352" s="8">
        <f t="shared" si="53"/>
        <v>0</v>
      </c>
    </row>
    <row r="353" spans="1:20" x14ac:dyDescent="0.25">
      <c r="A353" s="8">
        <v>350</v>
      </c>
      <c r="B353" s="9"/>
      <c r="C353" s="33" t="str">
        <f t="shared" si="45"/>
        <v/>
      </c>
      <c r="D353" s="9"/>
      <c r="E353" s="31"/>
      <c r="F353" s="11"/>
      <c r="G353" s="11"/>
      <c r="H353" s="9"/>
      <c r="I353" s="12" t="str">
        <f t="shared" si="46"/>
        <v/>
      </c>
      <c r="J353" s="12" t="str">
        <f t="shared" si="47"/>
        <v/>
      </c>
      <c r="K353" s="11"/>
      <c r="L353" s="12" t="str">
        <f t="shared" si="48"/>
        <v/>
      </c>
      <c r="M353" s="12" t="str">
        <f t="shared" si="49"/>
        <v/>
      </c>
      <c r="N353" s="8" t="str">
        <f t="shared" si="50"/>
        <v/>
      </c>
      <c r="O353" s="9"/>
      <c r="P353" s="31"/>
      <c r="Q353" s="8" t="str">
        <f t="shared" si="51"/>
        <v/>
      </c>
      <c r="R353" s="8" t="str">
        <f t="shared" si="52"/>
        <v/>
      </c>
      <c r="S353" s="8">
        <f>IF(OR(R353="",D353=""),0,IF(SUMPRODUCT(--(R$4:R353=R353))&gt;1,1,0))</f>
        <v>0</v>
      </c>
      <c r="T353" s="8">
        <f t="shared" si="53"/>
        <v>0</v>
      </c>
    </row>
    <row r="354" spans="1:20" x14ac:dyDescent="0.25">
      <c r="A354" s="8">
        <v>351</v>
      </c>
      <c r="B354" s="9"/>
      <c r="C354" s="33" t="str">
        <f t="shared" si="45"/>
        <v/>
      </c>
      <c r="D354" s="9"/>
      <c r="E354" s="31"/>
      <c r="F354" s="11"/>
      <c r="G354" s="11"/>
      <c r="H354" s="9"/>
      <c r="I354" s="12" t="str">
        <f t="shared" si="46"/>
        <v/>
      </c>
      <c r="J354" s="12" t="str">
        <f t="shared" si="47"/>
        <v/>
      </c>
      <c r="K354" s="11"/>
      <c r="L354" s="12" t="str">
        <f t="shared" si="48"/>
        <v/>
      </c>
      <c r="M354" s="12" t="str">
        <f t="shared" si="49"/>
        <v/>
      </c>
      <c r="N354" s="8" t="str">
        <f t="shared" si="50"/>
        <v/>
      </c>
      <c r="O354" s="9"/>
      <c r="P354" s="31"/>
      <c r="Q354" s="8" t="str">
        <f t="shared" si="51"/>
        <v/>
      </c>
      <c r="R354" s="8" t="str">
        <f t="shared" si="52"/>
        <v/>
      </c>
      <c r="S354" s="8">
        <f>IF(OR(R354="",D354=""),0,IF(SUMPRODUCT(--(R$4:R354=R354))&gt;1,1,0))</f>
        <v>0</v>
      </c>
      <c r="T354" s="8">
        <f t="shared" si="53"/>
        <v>0</v>
      </c>
    </row>
    <row r="355" spans="1:20" x14ac:dyDescent="0.25">
      <c r="A355" s="8">
        <v>352</v>
      </c>
      <c r="B355" s="9"/>
      <c r="C355" s="33" t="str">
        <f t="shared" si="45"/>
        <v/>
      </c>
      <c r="D355" s="9"/>
      <c r="E355" s="31"/>
      <c r="F355" s="11"/>
      <c r="G355" s="11"/>
      <c r="H355" s="9"/>
      <c r="I355" s="12" t="str">
        <f t="shared" si="46"/>
        <v/>
      </c>
      <c r="J355" s="12" t="str">
        <f t="shared" si="47"/>
        <v/>
      </c>
      <c r="K355" s="11"/>
      <c r="L355" s="12" t="str">
        <f t="shared" si="48"/>
        <v/>
      </c>
      <c r="M355" s="12" t="str">
        <f t="shared" si="49"/>
        <v/>
      </c>
      <c r="N355" s="8" t="str">
        <f t="shared" si="50"/>
        <v/>
      </c>
      <c r="O355" s="9"/>
      <c r="P355" s="31"/>
      <c r="Q355" s="8" t="str">
        <f t="shared" si="51"/>
        <v/>
      </c>
      <c r="R355" s="8" t="str">
        <f t="shared" si="52"/>
        <v/>
      </c>
      <c r="S355" s="8">
        <f>IF(OR(R355="",D355=""),0,IF(SUMPRODUCT(--(R$4:R355=R355))&gt;1,1,0))</f>
        <v>0</v>
      </c>
      <c r="T355" s="8">
        <f t="shared" si="53"/>
        <v>0</v>
      </c>
    </row>
    <row r="356" spans="1:20" x14ac:dyDescent="0.25">
      <c r="A356" s="8">
        <v>353</v>
      </c>
      <c r="B356" s="9"/>
      <c r="C356" s="33" t="str">
        <f t="shared" si="45"/>
        <v/>
      </c>
      <c r="D356" s="9"/>
      <c r="E356" s="31"/>
      <c r="F356" s="11"/>
      <c r="G356" s="11"/>
      <c r="H356" s="9"/>
      <c r="I356" s="12" t="str">
        <f t="shared" si="46"/>
        <v/>
      </c>
      <c r="J356" s="12" t="str">
        <f t="shared" si="47"/>
        <v/>
      </c>
      <c r="K356" s="11"/>
      <c r="L356" s="12" t="str">
        <f t="shared" si="48"/>
        <v/>
      </c>
      <c r="M356" s="12" t="str">
        <f t="shared" si="49"/>
        <v/>
      </c>
      <c r="N356" s="8" t="str">
        <f t="shared" si="50"/>
        <v/>
      </c>
      <c r="O356" s="9"/>
      <c r="P356" s="31"/>
      <c r="Q356" s="8" t="str">
        <f t="shared" si="51"/>
        <v/>
      </c>
      <c r="R356" s="8" t="str">
        <f t="shared" si="52"/>
        <v/>
      </c>
      <c r="S356" s="8">
        <f>IF(OR(R356="",D356=""),0,IF(SUMPRODUCT(--(R$4:R356=R356))&gt;1,1,0))</f>
        <v>0</v>
      </c>
      <c r="T356" s="8">
        <f t="shared" si="53"/>
        <v>0</v>
      </c>
    </row>
    <row r="357" spans="1:20" x14ac:dyDescent="0.25">
      <c r="A357" s="8">
        <v>354</v>
      </c>
      <c r="B357" s="9"/>
      <c r="C357" s="33" t="str">
        <f t="shared" si="45"/>
        <v/>
      </c>
      <c r="D357" s="9"/>
      <c r="E357" s="31"/>
      <c r="F357" s="11"/>
      <c r="G357" s="11"/>
      <c r="H357" s="9"/>
      <c r="I357" s="12" t="str">
        <f t="shared" si="46"/>
        <v/>
      </c>
      <c r="J357" s="12" t="str">
        <f t="shared" si="47"/>
        <v/>
      </c>
      <c r="K357" s="11"/>
      <c r="L357" s="12" t="str">
        <f t="shared" si="48"/>
        <v/>
      </c>
      <c r="M357" s="12" t="str">
        <f t="shared" si="49"/>
        <v/>
      </c>
      <c r="N357" s="8" t="str">
        <f t="shared" si="50"/>
        <v/>
      </c>
      <c r="O357" s="9"/>
      <c r="P357" s="31"/>
      <c r="Q357" s="8" t="str">
        <f t="shared" si="51"/>
        <v/>
      </c>
      <c r="R357" s="8" t="str">
        <f t="shared" si="52"/>
        <v/>
      </c>
      <c r="S357" s="8">
        <f>IF(OR(R357="",D357=""),0,IF(SUMPRODUCT(--(R$4:R357=R357))&gt;1,1,0))</f>
        <v>0</v>
      </c>
      <c r="T357" s="8">
        <f t="shared" si="53"/>
        <v>0</v>
      </c>
    </row>
    <row r="358" spans="1:20" x14ac:dyDescent="0.25">
      <c r="A358" s="8">
        <v>355</v>
      </c>
      <c r="B358" s="9"/>
      <c r="C358" s="33" t="str">
        <f t="shared" si="45"/>
        <v/>
      </c>
      <c r="D358" s="9"/>
      <c r="E358" s="31"/>
      <c r="F358" s="11"/>
      <c r="G358" s="11"/>
      <c r="H358" s="9"/>
      <c r="I358" s="12" t="str">
        <f t="shared" si="46"/>
        <v/>
      </c>
      <c r="J358" s="12" t="str">
        <f t="shared" si="47"/>
        <v/>
      </c>
      <c r="K358" s="11"/>
      <c r="L358" s="12" t="str">
        <f t="shared" si="48"/>
        <v/>
      </c>
      <c r="M358" s="12" t="str">
        <f t="shared" si="49"/>
        <v/>
      </c>
      <c r="N358" s="8" t="str">
        <f t="shared" si="50"/>
        <v/>
      </c>
      <c r="O358" s="9"/>
      <c r="P358" s="31"/>
      <c r="Q358" s="8" t="str">
        <f t="shared" si="51"/>
        <v/>
      </c>
      <c r="R358" s="8" t="str">
        <f t="shared" si="52"/>
        <v/>
      </c>
      <c r="S358" s="8">
        <f>IF(OR(R358="",D358=""),0,IF(SUMPRODUCT(--(R$4:R358=R358))&gt;1,1,0))</f>
        <v>0</v>
      </c>
      <c r="T358" s="8">
        <f t="shared" si="53"/>
        <v>0</v>
      </c>
    </row>
    <row r="359" spans="1:20" x14ac:dyDescent="0.25">
      <c r="A359" s="8">
        <v>356</v>
      </c>
      <c r="B359" s="9"/>
      <c r="C359" s="33" t="str">
        <f t="shared" si="45"/>
        <v/>
      </c>
      <c r="D359" s="9"/>
      <c r="E359" s="31"/>
      <c r="F359" s="11"/>
      <c r="G359" s="11"/>
      <c r="H359" s="9"/>
      <c r="I359" s="12" t="str">
        <f t="shared" si="46"/>
        <v/>
      </c>
      <c r="J359" s="12" t="str">
        <f t="shared" si="47"/>
        <v/>
      </c>
      <c r="K359" s="11"/>
      <c r="L359" s="12" t="str">
        <f t="shared" si="48"/>
        <v/>
      </c>
      <c r="M359" s="12" t="str">
        <f t="shared" si="49"/>
        <v/>
      </c>
      <c r="N359" s="8" t="str">
        <f t="shared" si="50"/>
        <v/>
      </c>
      <c r="O359" s="9"/>
      <c r="P359" s="31"/>
      <c r="Q359" s="8" t="str">
        <f t="shared" si="51"/>
        <v/>
      </c>
      <c r="R359" s="8" t="str">
        <f t="shared" si="52"/>
        <v/>
      </c>
      <c r="S359" s="8">
        <f>IF(OR(R359="",D359=""),0,IF(SUMPRODUCT(--(R$4:R359=R359))&gt;1,1,0))</f>
        <v>0</v>
      </c>
      <c r="T359" s="8">
        <f t="shared" si="53"/>
        <v>0</v>
      </c>
    </row>
    <row r="360" spans="1:20" x14ac:dyDescent="0.25">
      <c r="A360" s="8">
        <v>357</v>
      </c>
      <c r="B360" s="9"/>
      <c r="C360" s="33" t="str">
        <f t="shared" si="45"/>
        <v/>
      </c>
      <c r="D360" s="9"/>
      <c r="E360" s="31"/>
      <c r="F360" s="11"/>
      <c r="G360" s="11"/>
      <c r="H360" s="9"/>
      <c r="I360" s="12" t="str">
        <f t="shared" si="46"/>
        <v/>
      </c>
      <c r="J360" s="12" t="str">
        <f t="shared" si="47"/>
        <v/>
      </c>
      <c r="K360" s="11"/>
      <c r="L360" s="12" t="str">
        <f t="shared" si="48"/>
        <v/>
      </c>
      <c r="M360" s="12" t="str">
        <f t="shared" si="49"/>
        <v/>
      </c>
      <c r="N360" s="8" t="str">
        <f t="shared" si="50"/>
        <v/>
      </c>
      <c r="O360" s="9"/>
      <c r="P360" s="31"/>
      <c r="Q360" s="8" t="str">
        <f t="shared" si="51"/>
        <v/>
      </c>
      <c r="R360" s="8" t="str">
        <f t="shared" si="52"/>
        <v/>
      </c>
      <c r="S360" s="8">
        <f>IF(OR(R360="",D360=""),0,IF(SUMPRODUCT(--(R$4:R360=R360))&gt;1,1,0))</f>
        <v>0</v>
      </c>
      <c r="T360" s="8">
        <f t="shared" si="53"/>
        <v>0</v>
      </c>
    </row>
    <row r="361" spans="1:20" x14ac:dyDescent="0.25">
      <c r="A361" s="8">
        <v>358</v>
      </c>
      <c r="B361" s="9"/>
      <c r="C361" s="33" t="str">
        <f t="shared" si="45"/>
        <v/>
      </c>
      <c r="D361" s="9"/>
      <c r="E361" s="31"/>
      <c r="F361" s="11"/>
      <c r="G361" s="11"/>
      <c r="H361" s="9"/>
      <c r="I361" s="12" t="str">
        <f t="shared" si="46"/>
        <v/>
      </c>
      <c r="J361" s="12" t="str">
        <f t="shared" si="47"/>
        <v/>
      </c>
      <c r="K361" s="11"/>
      <c r="L361" s="12" t="str">
        <f t="shared" si="48"/>
        <v/>
      </c>
      <c r="M361" s="12" t="str">
        <f t="shared" si="49"/>
        <v/>
      </c>
      <c r="N361" s="8" t="str">
        <f t="shared" si="50"/>
        <v/>
      </c>
      <c r="O361" s="9"/>
      <c r="P361" s="31"/>
      <c r="Q361" s="8" t="str">
        <f t="shared" si="51"/>
        <v/>
      </c>
      <c r="R361" s="8" t="str">
        <f t="shared" si="52"/>
        <v/>
      </c>
      <c r="S361" s="8">
        <f>IF(OR(R361="",D361=""),0,IF(SUMPRODUCT(--(R$4:R361=R361))&gt;1,1,0))</f>
        <v>0</v>
      </c>
      <c r="T361" s="8">
        <f t="shared" si="53"/>
        <v>0</v>
      </c>
    </row>
    <row r="362" spans="1:20" x14ac:dyDescent="0.25">
      <c r="A362" s="8">
        <v>359</v>
      </c>
      <c r="B362" s="9"/>
      <c r="C362" s="33" t="str">
        <f t="shared" si="45"/>
        <v/>
      </c>
      <c r="D362" s="9"/>
      <c r="E362" s="31"/>
      <c r="F362" s="11"/>
      <c r="G362" s="11"/>
      <c r="H362" s="9"/>
      <c r="I362" s="12" t="str">
        <f t="shared" si="46"/>
        <v/>
      </c>
      <c r="J362" s="12" t="str">
        <f t="shared" si="47"/>
        <v/>
      </c>
      <c r="K362" s="11"/>
      <c r="L362" s="12" t="str">
        <f t="shared" si="48"/>
        <v/>
      </c>
      <c r="M362" s="12" t="str">
        <f t="shared" si="49"/>
        <v/>
      </c>
      <c r="N362" s="8" t="str">
        <f t="shared" si="50"/>
        <v/>
      </c>
      <c r="O362" s="9"/>
      <c r="P362" s="31"/>
      <c r="Q362" s="8" t="str">
        <f t="shared" si="51"/>
        <v/>
      </c>
      <c r="R362" s="8" t="str">
        <f t="shared" si="52"/>
        <v/>
      </c>
      <c r="S362" s="8">
        <f>IF(OR(R362="",D362=""),0,IF(SUMPRODUCT(--(R$4:R362=R362))&gt;1,1,0))</f>
        <v>0</v>
      </c>
      <c r="T362" s="8">
        <f t="shared" si="53"/>
        <v>0</v>
      </c>
    </row>
    <row r="363" spans="1:20" x14ac:dyDescent="0.25">
      <c r="A363" s="8">
        <v>360</v>
      </c>
      <c r="B363" s="9"/>
      <c r="C363" s="33" t="str">
        <f t="shared" si="45"/>
        <v/>
      </c>
      <c r="D363" s="9"/>
      <c r="E363" s="31"/>
      <c r="F363" s="11"/>
      <c r="G363" s="11"/>
      <c r="H363" s="9"/>
      <c r="I363" s="12" t="str">
        <f t="shared" si="46"/>
        <v/>
      </c>
      <c r="J363" s="12" t="str">
        <f t="shared" si="47"/>
        <v/>
      </c>
      <c r="K363" s="11"/>
      <c r="L363" s="12" t="str">
        <f t="shared" si="48"/>
        <v/>
      </c>
      <c r="M363" s="12" t="str">
        <f t="shared" si="49"/>
        <v/>
      </c>
      <c r="N363" s="8" t="str">
        <f t="shared" si="50"/>
        <v/>
      </c>
      <c r="O363" s="9"/>
      <c r="P363" s="31"/>
      <c r="Q363" s="8" t="str">
        <f t="shared" si="51"/>
        <v/>
      </c>
      <c r="R363" s="8" t="str">
        <f t="shared" si="52"/>
        <v/>
      </c>
      <c r="S363" s="8">
        <f>IF(OR(R363="",D363=""),0,IF(SUMPRODUCT(--(R$4:R363=R363))&gt;1,1,0))</f>
        <v>0</v>
      </c>
      <c r="T363" s="8">
        <f t="shared" si="53"/>
        <v>0</v>
      </c>
    </row>
    <row r="364" spans="1:20" x14ac:dyDescent="0.25">
      <c r="A364" s="8">
        <v>361</v>
      </c>
      <c r="B364" s="9"/>
      <c r="C364" s="33" t="str">
        <f t="shared" si="45"/>
        <v/>
      </c>
      <c r="D364" s="9"/>
      <c r="E364" s="31"/>
      <c r="F364" s="11"/>
      <c r="G364" s="11"/>
      <c r="H364" s="9"/>
      <c r="I364" s="12" t="str">
        <f t="shared" si="46"/>
        <v/>
      </c>
      <c r="J364" s="12" t="str">
        <f t="shared" si="47"/>
        <v/>
      </c>
      <c r="K364" s="11"/>
      <c r="L364" s="12" t="str">
        <f t="shared" si="48"/>
        <v/>
      </c>
      <c r="M364" s="12" t="str">
        <f t="shared" si="49"/>
        <v/>
      </c>
      <c r="N364" s="8" t="str">
        <f t="shared" si="50"/>
        <v/>
      </c>
      <c r="O364" s="9"/>
      <c r="P364" s="31"/>
      <c r="Q364" s="8" t="str">
        <f t="shared" si="51"/>
        <v/>
      </c>
      <c r="R364" s="8" t="str">
        <f t="shared" si="52"/>
        <v/>
      </c>
      <c r="S364" s="8">
        <f>IF(OR(R364="",D364=""),0,IF(SUMPRODUCT(--(R$4:R364=R364))&gt;1,1,0))</f>
        <v>0</v>
      </c>
      <c r="T364" s="8">
        <f t="shared" si="53"/>
        <v>0</v>
      </c>
    </row>
    <row r="365" spans="1:20" x14ac:dyDescent="0.25">
      <c r="A365" s="8">
        <v>362</v>
      </c>
      <c r="B365" s="9"/>
      <c r="C365" s="33" t="str">
        <f t="shared" si="45"/>
        <v/>
      </c>
      <c r="D365" s="9"/>
      <c r="E365" s="31"/>
      <c r="F365" s="11"/>
      <c r="G365" s="11"/>
      <c r="H365" s="9"/>
      <c r="I365" s="12" t="str">
        <f t="shared" si="46"/>
        <v/>
      </c>
      <c r="J365" s="12" t="str">
        <f t="shared" si="47"/>
        <v/>
      </c>
      <c r="K365" s="11"/>
      <c r="L365" s="12" t="str">
        <f t="shared" si="48"/>
        <v/>
      </c>
      <c r="M365" s="12" t="str">
        <f t="shared" si="49"/>
        <v/>
      </c>
      <c r="N365" s="8" t="str">
        <f t="shared" si="50"/>
        <v/>
      </c>
      <c r="O365" s="9"/>
      <c r="P365" s="31"/>
      <c r="Q365" s="8" t="str">
        <f t="shared" si="51"/>
        <v/>
      </c>
      <c r="R365" s="8" t="str">
        <f t="shared" si="52"/>
        <v/>
      </c>
      <c r="S365" s="8">
        <f>IF(OR(R365="",D365=""),0,IF(SUMPRODUCT(--(R$4:R365=R365))&gt;1,1,0))</f>
        <v>0</v>
      </c>
      <c r="T365" s="8">
        <f t="shared" si="53"/>
        <v>0</v>
      </c>
    </row>
    <row r="366" spans="1:20" x14ac:dyDescent="0.25">
      <c r="A366" s="8">
        <v>363</v>
      </c>
      <c r="B366" s="9"/>
      <c r="C366" s="33" t="str">
        <f t="shared" si="45"/>
        <v/>
      </c>
      <c r="D366" s="9"/>
      <c r="E366" s="31"/>
      <c r="F366" s="11"/>
      <c r="G366" s="11"/>
      <c r="H366" s="9"/>
      <c r="I366" s="12" t="str">
        <f t="shared" si="46"/>
        <v/>
      </c>
      <c r="J366" s="12" t="str">
        <f t="shared" si="47"/>
        <v/>
      </c>
      <c r="K366" s="11"/>
      <c r="L366" s="12" t="str">
        <f t="shared" si="48"/>
        <v/>
      </c>
      <c r="M366" s="12" t="str">
        <f t="shared" si="49"/>
        <v/>
      </c>
      <c r="N366" s="8" t="str">
        <f t="shared" si="50"/>
        <v/>
      </c>
      <c r="O366" s="9"/>
      <c r="P366" s="31"/>
      <c r="Q366" s="8" t="str">
        <f t="shared" si="51"/>
        <v/>
      </c>
      <c r="R366" s="8" t="str">
        <f t="shared" si="52"/>
        <v/>
      </c>
      <c r="S366" s="8">
        <f>IF(OR(R366="",D366=""),0,IF(SUMPRODUCT(--(R$4:R366=R366))&gt;1,1,0))</f>
        <v>0</v>
      </c>
      <c r="T366" s="8">
        <f t="shared" si="53"/>
        <v>0</v>
      </c>
    </row>
    <row r="367" spans="1:20" x14ac:dyDescent="0.25">
      <c r="A367" s="8">
        <v>364</v>
      </c>
      <c r="B367" s="9"/>
      <c r="C367" s="33" t="str">
        <f t="shared" si="45"/>
        <v/>
      </c>
      <c r="D367" s="9"/>
      <c r="E367" s="31"/>
      <c r="F367" s="11"/>
      <c r="G367" s="11"/>
      <c r="H367" s="9"/>
      <c r="I367" s="12" t="str">
        <f t="shared" si="46"/>
        <v/>
      </c>
      <c r="J367" s="12" t="str">
        <f t="shared" si="47"/>
        <v/>
      </c>
      <c r="K367" s="11"/>
      <c r="L367" s="12" t="str">
        <f t="shared" si="48"/>
        <v/>
      </c>
      <c r="M367" s="12" t="str">
        <f t="shared" si="49"/>
        <v/>
      </c>
      <c r="N367" s="8" t="str">
        <f t="shared" si="50"/>
        <v/>
      </c>
      <c r="O367" s="9"/>
      <c r="P367" s="31"/>
      <c r="Q367" s="8" t="str">
        <f t="shared" si="51"/>
        <v/>
      </c>
      <c r="R367" s="8" t="str">
        <f t="shared" si="52"/>
        <v/>
      </c>
      <c r="S367" s="8">
        <f>IF(OR(R367="",D367=""),0,IF(SUMPRODUCT(--(R$4:R367=R367))&gt;1,1,0))</f>
        <v>0</v>
      </c>
      <c r="T367" s="8">
        <f t="shared" si="53"/>
        <v>0</v>
      </c>
    </row>
    <row r="368" spans="1:20" x14ac:dyDescent="0.25">
      <c r="A368" s="8">
        <v>365</v>
      </c>
      <c r="B368" s="9"/>
      <c r="C368" s="33" t="str">
        <f t="shared" si="45"/>
        <v/>
      </c>
      <c r="D368" s="9"/>
      <c r="E368" s="31"/>
      <c r="F368" s="11"/>
      <c r="G368" s="11"/>
      <c r="H368" s="9"/>
      <c r="I368" s="12" t="str">
        <f t="shared" si="46"/>
        <v/>
      </c>
      <c r="J368" s="12" t="str">
        <f t="shared" si="47"/>
        <v/>
      </c>
      <c r="K368" s="11"/>
      <c r="L368" s="12" t="str">
        <f t="shared" si="48"/>
        <v/>
      </c>
      <c r="M368" s="12" t="str">
        <f t="shared" si="49"/>
        <v/>
      </c>
      <c r="N368" s="8" t="str">
        <f t="shared" si="50"/>
        <v/>
      </c>
      <c r="O368" s="9"/>
      <c r="P368" s="31"/>
      <c r="Q368" s="8" t="str">
        <f t="shared" si="51"/>
        <v/>
      </c>
      <c r="R368" s="8" t="str">
        <f t="shared" si="52"/>
        <v/>
      </c>
      <c r="S368" s="8">
        <f>IF(OR(R368="",D368=""),0,IF(SUMPRODUCT(--(R$4:R368=R368))&gt;1,1,0))</f>
        <v>0</v>
      </c>
      <c r="T368" s="8">
        <f t="shared" si="53"/>
        <v>0</v>
      </c>
    </row>
    <row r="369" spans="1:20" x14ac:dyDescent="0.25">
      <c r="A369" s="8">
        <v>366</v>
      </c>
      <c r="B369" s="9"/>
      <c r="C369" s="33" t="str">
        <f t="shared" si="45"/>
        <v/>
      </c>
      <c r="D369" s="9"/>
      <c r="E369" s="31"/>
      <c r="F369" s="11"/>
      <c r="G369" s="11"/>
      <c r="H369" s="9"/>
      <c r="I369" s="12" t="str">
        <f t="shared" si="46"/>
        <v/>
      </c>
      <c r="J369" s="12" t="str">
        <f t="shared" si="47"/>
        <v/>
      </c>
      <c r="K369" s="11"/>
      <c r="L369" s="12" t="str">
        <f t="shared" si="48"/>
        <v/>
      </c>
      <c r="M369" s="12" t="str">
        <f t="shared" si="49"/>
        <v/>
      </c>
      <c r="N369" s="8" t="str">
        <f t="shared" si="50"/>
        <v/>
      </c>
      <c r="O369" s="9"/>
      <c r="P369" s="31"/>
      <c r="Q369" s="8" t="str">
        <f t="shared" si="51"/>
        <v/>
      </c>
      <c r="R369" s="8" t="str">
        <f t="shared" si="52"/>
        <v/>
      </c>
      <c r="S369" s="8">
        <f>IF(OR(R369="",D369=""),0,IF(SUMPRODUCT(--(R$4:R369=R369))&gt;1,1,0))</f>
        <v>0</v>
      </c>
      <c r="T369" s="8">
        <f t="shared" si="53"/>
        <v>0</v>
      </c>
    </row>
    <row r="370" spans="1:20" x14ac:dyDescent="0.25">
      <c r="A370" s="8">
        <v>367</v>
      </c>
      <c r="B370" s="9"/>
      <c r="C370" s="33" t="str">
        <f t="shared" si="45"/>
        <v/>
      </c>
      <c r="D370" s="9"/>
      <c r="E370" s="31"/>
      <c r="F370" s="11"/>
      <c r="G370" s="11"/>
      <c r="H370" s="9"/>
      <c r="I370" s="12" t="str">
        <f t="shared" si="46"/>
        <v/>
      </c>
      <c r="J370" s="12" t="str">
        <f t="shared" si="47"/>
        <v/>
      </c>
      <c r="K370" s="11"/>
      <c r="L370" s="12" t="str">
        <f t="shared" si="48"/>
        <v/>
      </c>
      <c r="M370" s="12" t="str">
        <f t="shared" si="49"/>
        <v/>
      </c>
      <c r="N370" s="8" t="str">
        <f t="shared" si="50"/>
        <v/>
      </c>
      <c r="O370" s="9"/>
      <c r="P370" s="31"/>
      <c r="Q370" s="8" t="str">
        <f t="shared" si="51"/>
        <v/>
      </c>
      <c r="R370" s="8" t="str">
        <f t="shared" si="52"/>
        <v/>
      </c>
      <c r="S370" s="8">
        <f>IF(OR(R370="",D370=""),0,IF(SUMPRODUCT(--(R$4:R370=R370))&gt;1,1,0))</f>
        <v>0</v>
      </c>
      <c r="T370" s="8">
        <f t="shared" si="53"/>
        <v>0</v>
      </c>
    </row>
    <row r="371" spans="1:20" x14ac:dyDescent="0.25">
      <c r="A371" s="8">
        <v>368</v>
      </c>
      <c r="B371" s="9"/>
      <c r="C371" s="33" t="str">
        <f t="shared" si="45"/>
        <v/>
      </c>
      <c r="D371" s="9"/>
      <c r="E371" s="31"/>
      <c r="F371" s="11"/>
      <c r="G371" s="11"/>
      <c r="H371" s="9"/>
      <c r="I371" s="12" t="str">
        <f t="shared" si="46"/>
        <v/>
      </c>
      <c r="J371" s="12" t="str">
        <f t="shared" si="47"/>
        <v/>
      </c>
      <c r="K371" s="11"/>
      <c r="L371" s="12" t="str">
        <f t="shared" si="48"/>
        <v/>
      </c>
      <c r="M371" s="12" t="str">
        <f t="shared" si="49"/>
        <v/>
      </c>
      <c r="N371" s="8" t="str">
        <f t="shared" si="50"/>
        <v/>
      </c>
      <c r="O371" s="9"/>
      <c r="P371" s="31"/>
      <c r="Q371" s="8" t="str">
        <f t="shared" si="51"/>
        <v/>
      </c>
      <c r="R371" s="8" t="str">
        <f t="shared" si="52"/>
        <v/>
      </c>
      <c r="S371" s="8">
        <f>IF(OR(R371="",D371=""),0,IF(SUMPRODUCT(--(R$4:R371=R371))&gt;1,1,0))</f>
        <v>0</v>
      </c>
      <c r="T371" s="8">
        <f t="shared" si="53"/>
        <v>0</v>
      </c>
    </row>
    <row r="372" spans="1:20" x14ac:dyDescent="0.25">
      <c r="A372" s="8">
        <v>369</v>
      </c>
      <c r="B372" s="9"/>
      <c r="C372" s="33" t="str">
        <f t="shared" si="45"/>
        <v/>
      </c>
      <c r="D372" s="9"/>
      <c r="E372" s="31"/>
      <c r="F372" s="11"/>
      <c r="G372" s="11"/>
      <c r="H372" s="9"/>
      <c r="I372" s="12" t="str">
        <f t="shared" si="46"/>
        <v/>
      </c>
      <c r="J372" s="12" t="str">
        <f t="shared" si="47"/>
        <v/>
      </c>
      <c r="K372" s="11"/>
      <c r="L372" s="12" t="str">
        <f t="shared" si="48"/>
        <v/>
      </c>
      <c r="M372" s="12" t="str">
        <f t="shared" si="49"/>
        <v/>
      </c>
      <c r="N372" s="8" t="str">
        <f t="shared" si="50"/>
        <v/>
      </c>
      <c r="O372" s="9"/>
      <c r="P372" s="31"/>
      <c r="Q372" s="8" t="str">
        <f t="shared" si="51"/>
        <v/>
      </c>
      <c r="R372" s="8" t="str">
        <f t="shared" si="52"/>
        <v/>
      </c>
      <c r="S372" s="8">
        <f>IF(OR(R372="",D372=""),0,IF(SUMPRODUCT(--(R$4:R372=R372))&gt;1,1,0))</f>
        <v>0</v>
      </c>
      <c r="T372" s="8">
        <f t="shared" si="53"/>
        <v>0</v>
      </c>
    </row>
    <row r="373" spans="1:20" x14ac:dyDescent="0.25">
      <c r="A373" s="8">
        <v>370</v>
      </c>
      <c r="B373" s="9"/>
      <c r="C373" s="33" t="str">
        <f t="shared" si="45"/>
        <v/>
      </c>
      <c r="D373" s="9"/>
      <c r="E373" s="31"/>
      <c r="F373" s="11"/>
      <c r="G373" s="11"/>
      <c r="H373" s="9"/>
      <c r="I373" s="12" t="str">
        <f t="shared" si="46"/>
        <v/>
      </c>
      <c r="J373" s="12" t="str">
        <f t="shared" si="47"/>
        <v/>
      </c>
      <c r="K373" s="11"/>
      <c r="L373" s="12" t="str">
        <f t="shared" si="48"/>
        <v/>
      </c>
      <c r="M373" s="12" t="str">
        <f t="shared" si="49"/>
        <v/>
      </c>
      <c r="N373" s="8" t="str">
        <f t="shared" si="50"/>
        <v/>
      </c>
      <c r="O373" s="9"/>
      <c r="P373" s="31"/>
      <c r="Q373" s="8" t="str">
        <f t="shared" si="51"/>
        <v/>
      </c>
      <c r="R373" s="8" t="str">
        <f t="shared" si="52"/>
        <v/>
      </c>
      <c r="S373" s="8">
        <f>IF(OR(R373="",D373=""),0,IF(SUMPRODUCT(--(R$4:R373=R373))&gt;1,1,0))</f>
        <v>0</v>
      </c>
      <c r="T373" s="8">
        <f t="shared" si="53"/>
        <v>0</v>
      </c>
    </row>
    <row r="374" spans="1:20" x14ac:dyDescent="0.25">
      <c r="A374" s="8">
        <v>371</v>
      </c>
      <c r="B374" s="9"/>
      <c r="C374" s="33" t="str">
        <f t="shared" si="45"/>
        <v/>
      </c>
      <c r="D374" s="9"/>
      <c r="E374" s="31"/>
      <c r="F374" s="11"/>
      <c r="G374" s="11"/>
      <c r="H374" s="9"/>
      <c r="I374" s="12" t="str">
        <f t="shared" si="46"/>
        <v/>
      </c>
      <c r="J374" s="12" t="str">
        <f t="shared" si="47"/>
        <v/>
      </c>
      <c r="K374" s="11"/>
      <c r="L374" s="12" t="str">
        <f t="shared" si="48"/>
        <v/>
      </c>
      <c r="M374" s="12" t="str">
        <f t="shared" si="49"/>
        <v/>
      </c>
      <c r="N374" s="8" t="str">
        <f t="shared" si="50"/>
        <v/>
      </c>
      <c r="O374" s="9"/>
      <c r="P374" s="31"/>
      <c r="Q374" s="8" t="str">
        <f t="shared" si="51"/>
        <v/>
      </c>
      <c r="R374" s="8" t="str">
        <f t="shared" si="52"/>
        <v/>
      </c>
      <c r="S374" s="8">
        <f>IF(OR(R374="",D374=""),0,IF(SUMPRODUCT(--(R$4:R374=R374))&gt;1,1,0))</f>
        <v>0</v>
      </c>
      <c r="T374" s="8">
        <f t="shared" si="53"/>
        <v>0</v>
      </c>
    </row>
    <row r="375" spans="1:20" x14ac:dyDescent="0.25">
      <c r="A375" s="8">
        <v>372</v>
      </c>
      <c r="B375" s="9"/>
      <c r="C375" s="33" t="str">
        <f t="shared" si="45"/>
        <v/>
      </c>
      <c r="D375" s="9"/>
      <c r="E375" s="31"/>
      <c r="F375" s="11"/>
      <c r="G375" s="11"/>
      <c r="H375" s="9"/>
      <c r="I375" s="12" t="str">
        <f t="shared" si="46"/>
        <v/>
      </c>
      <c r="J375" s="12" t="str">
        <f t="shared" si="47"/>
        <v/>
      </c>
      <c r="K375" s="11"/>
      <c r="L375" s="12" t="str">
        <f t="shared" si="48"/>
        <v/>
      </c>
      <c r="M375" s="12" t="str">
        <f t="shared" si="49"/>
        <v/>
      </c>
      <c r="N375" s="8" t="str">
        <f t="shared" si="50"/>
        <v/>
      </c>
      <c r="O375" s="9"/>
      <c r="P375" s="31"/>
      <c r="Q375" s="8" t="str">
        <f t="shared" si="51"/>
        <v/>
      </c>
      <c r="R375" s="8" t="str">
        <f t="shared" si="52"/>
        <v/>
      </c>
      <c r="S375" s="8">
        <f>IF(OR(R375="",D375=""),0,IF(SUMPRODUCT(--(R$4:R375=R375))&gt;1,1,0))</f>
        <v>0</v>
      </c>
      <c r="T375" s="8">
        <f t="shared" si="53"/>
        <v>0</v>
      </c>
    </row>
    <row r="376" spans="1:20" x14ac:dyDescent="0.25">
      <c r="A376" s="8">
        <v>373</v>
      </c>
      <c r="B376" s="9"/>
      <c r="C376" s="33" t="str">
        <f t="shared" si="45"/>
        <v/>
      </c>
      <c r="D376" s="9"/>
      <c r="E376" s="31"/>
      <c r="F376" s="11"/>
      <c r="G376" s="11"/>
      <c r="H376" s="9"/>
      <c r="I376" s="12" t="str">
        <f t="shared" si="46"/>
        <v/>
      </c>
      <c r="J376" s="12" t="str">
        <f t="shared" si="47"/>
        <v/>
      </c>
      <c r="K376" s="11"/>
      <c r="L376" s="12" t="str">
        <f t="shared" si="48"/>
        <v/>
      </c>
      <c r="M376" s="12" t="str">
        <f t="shared" si="49"/>
        <v/>
      </c>
      <c r="N376" s="8" t="str">
        <f t="shared" si="50"/>
        <v/>
      </c>
      <c r="O376" s="9"/>
      <c r="P376" s="31"/>
      <c r="Q376" s="8" t="str">
        <f t="shared" si="51"/>
        <v/>
      </c>
      <c r="R376" s="8" t="str">
        <f t="shared" si="52"/>
        <v/>
      </c>
      <c r="S376" s="8">
        <f>IF(OR(R376="",D376=""),0,IF(SUMPRODUCT(--(R$4:R376=R376))&gt;1,1,0))</f>
        <v>0</v>
      </c>
      <c r="T376" s="8">
        <f t="shared" si="53"/>
        <v>0</v>
      </c>
    </row>
    <row r="377" spans="1:20" x14ac:dyDescent="0.25">
      <c r="A377" s="8">
        <v>374</v>
      </c>
      <c r="B377" s="9"/>
      <c r="C377" s="33" t="str">
        <f t="shared" si="45"/>
        <v/>
      </c>
      <c r="D377" s="9"/>
      <c r="E377" s="31"/>
      <c r="F377" s="11"/>
      <c r="G377" s="11"/>
      <c r="H377" s="9"/>
      <c r="I377" s="12" t="str">
        <f t="shared" si="46"/>
        <v/>
      </c>
      <c r="J377" s="12" t="str">
        <f t="shared" si="47"/>
        <v/>
      </c>
      <c r="K377" s="11"/>
      <c r="L377" s="12" t="str">
        <f t="shared" si="48"/>
        <v/>
      </c>
      <c r="M377" s="12" t="str">
        <f t="shared" si="49"/>
        <v/>
      </c>
      <c r="N377" s="8" t="str">
        <f t="shared" si="50"/>
        <v/>
      </c>
      <c r="O377" s="9"/>
      <c r="P377" s="31"/>
      <c r="Q377" s="8" t="str">
        <f t="shared" si="51"/>
        <v/>
      </c>
      <c r="R377" s="8" t="str">
        <f t="shared" si="52"/>
        <v/>
      </c>
      <c r="S377" s="8">
        <f>IF(OR(R377="",D377=""),0,IF(SUMPRODUCT(--(R$4:R377=R377))&gt;1,1,0))</f>
        <v>0</v>
      </c>
      <c r="T377" s="8">
        <f t="shared" si="53"/>
        <v>0</v>
      </c>
    </row>
    <row r="378" spans="1:20" x14ac:dyDescent="0.25">
      <c r="A378" s="8">
        <v>375</v>
      </c>
      <c r="B378" s="9"/>
      <c r="C378" s="33" t="str">
        <f t="shared" si="45"/>
        <v/>
      </c>
      <c r="D378" s="9"/>
      <c r="E378" s="31"/>
      <c r="F378" s="11"/>
      <c r="G378" s="11"/>
      <c r="H378" s="9"/>
      <c r="I378" s="12" t="str">
        <f t="shared" si="46"/>
        <v/>
      </c>
      <c r="J378" s="12" t="str">
        <f t="shared" si="47"/>
        <v/>
      </c>
      <c r="K378" s="11"/>
      <c r="L378" s="12" t="str">
        <f t="shared" si="48"/>
        <v/>
      </c>
      <c r="M378" s="12" t="str">
        <f t="shared" si="49"/>
        <v/>
      </c>
      <c r="N378" s="8" t="str">
        <f t="shared" si="50"/>
        <v/>
      </c>
      <c r="O378" s="9"/>
      <c r="P378" s="31"/>
      <c r="Q378" s="8" t="str">
        <f t="shared" si="51"/>
        <v/>
      </c>
      <c r="R378" s="8" t="str">
        <f t="shared" si="52"/>
        <v/>
      </c>
      <c r="S378" s="8">
        <f>IF(OR(R378="",D378=""),0,IF(SUMPRODUCT(--(R$4:R378=R378))&gt;1,1,0))</f>
        <v>0</v>
      </c>
      <c r="T378" s="8">
        <f t="shared" si="53"/>
        <v>0</v>
      </c>
    </row>
    <row r="379" spans="1:20" x14ac:dyDescent="0.25">
      <c r="A379" s="8">
        <v>376</v>
      </c>
      <c r="B379" s="9"/>
      <c r="C379" s="33" t="str">
        <f t="shared" si="45"/>
        <v/>
      </c>
      <c r="D379" s="9"/>
      <c r="E379" s="31"/>
      <c r="F379" s="11"/>
      <c r="G379" s="11"/>
      <c r="H379" s="9"/>
      <c r="I379" s="12" t="str">
        <f t="shared" si="46"/>
        <v/>
      </c>
      <c r="J379" s="12" t="str">
        <f t="shared" si="47"/>
        <v/>
      </c>
      <c r="K379" s="11"/>
      <c r="L379" s="12" t="str">
        <f t="shared" si="48"/>
        <v/>
      </c>
      <c r="M379" s="12" t="str">
        <f t="shared" si="49"/>
        <v/>
      </c>
      <c r="N379" s="8" t="str">
        <f t="shared" si="50"/>
        <v/>
      </c>
      <c r="O379" s="9"/>
      <c r="P379" s="31"/>
      <c r="Q379" s="8" t="str">
        <f t="shared" si="51"/>
        <v/>
      </c>
      <c r="R379" s="8" t="str">
        <f t="shared" si="52"/>
        <v/>
      </c>
      <c r="S379" s="8">
        <f>IF(OR(R379="",D379=""),0,IF(SUMPRODUCT(--(R$4:R379=R379))&gt;1,1,0))</f>
        <v>0</v>
      </c>
      <c r="T379" s="8">
        <f t="shared" si="53"/>
        <v>0</v>
      </c>
    </row>
    <row r="380" spans="1:20" x14ac:dyDescent="0.25">
      <c r="A380" s="8">
        <v>377</v>
      </c>
      <c r="B380" s="9"/>
      <c r="C380" s="33" t="str">
        <f t="shared" si="45"/>
        <v/>
      </c>
      <c r="D380" s="9"/>
      <c r="E380" s="31"/>
      <c r="F380" s="11"/>
      <c r="G380" s="11"/>
      <c r="H380" s="9"/>
      <c r="I380" s="12" t="str">
        <f t="shared" si="46"/>
        <v/>
      </c>
      <c r="J380" s="12" t="str">
        <f t="shared" si="47"/>
        <v/>
      </c>
      <c r="K380" s="11"/>
      <c r="L380" s="12" t="str">
        <f t="shared" si="48"/>
        <v/>
      </c>
      <c r="M380" s="12" t="str">
        <f t="shared" si="49"/>
        <v/>
      </c>
      <c r="N380" s="8" t="str">
        <f t="shared" si="50"/>
        <v/>
      </c>
      <c r="O380" s="9"/>
      <c r="P380" s="31"/>
      <c r="Q380" s="8" t="str">
        <f t="shared" si="51"/>
        <v/>
      </c>
      <c r="R380" s="8" t="str">
        <f t="shared" si="52"/>
        <v/>
      </c>
      <c r="S380" s="8">
        <f>IF(OR(R380="",D380=""),0,IF(SUMPRODUCT(--(R$4:R380=R380))&gt;1,1,0))</f>
        <v>0</v>
      </c>
      <c r="T380" s="8">
        <f t="shared" si="53"/>
        <v>0</v>
      </c>
    </row>
    <row r="381" spans="1:20" x14ac:dyDescent="0.25">
      <c r="A381" s="8">
        <v>378</v>
      </c>
      <c r="B381" s="9"/>
      <c r="C381" s="33" t="str">
        <f t="shared" si="45"/>
        <v/>
      </c>
      <c r="D381" s="9"/>
      <c r="E381" s="31"/>
      <c r="F381" s="11"/>
      <c r="G381" s="11"/>
      <c r="H381" s="9"/>
      <c r="I381" s="12" t="str">
        <f t="shared" si="46"/>
        <v/>
      </c>
      <c r="J381" s="12" t="str">
        <f t="shared" si="47"/>
        <v/>
      </c>
      <c r="K381" s="11"/>
      <c r="L381" s="12" t="str">
        <f t="shared" si="48"/>
        <v/>
      </c>
      <c r="M381" s="12" t="str">
        <f t="shared" si="49"/>
        <v/>
      </c>
      <c r="N381" s="8" t="str">
        <f t="shared" si="50"/>
        <v/>
      </c>
      <c r="O381" s="9"/>
      <c r="P381" s="31"/>
      <c r="Q381" s="8" t="str">
        <f t="shared" si="51"/>
        <v/>
      </c>
      <c r="R381" s="8" t="str">
        <f t="shared" si="52"/>
        <v/>
      </c>
      <c r="S381" s="8">
        <f>IF(OR(R381="",D381=""),0,IF(SUMPRODUCT(--(R$4:R381=R381))&gt;1,1,0))</f>
        <v>0</v>
      </c>
      <c r="T381" s="8">
        <f t="shared" si="53"/>
        <v>0</v>
      </c>
    </row>
    <row r="382" spans="1:20" x14ac:dyDescent="0.25">
      <c r="A382" s="8">
        <v>379</v>
      </c>
      <c r="B382" s="9"/>
      <c r="C382" s="33" t="str">
        <f t="shared" si="45"/>
        <v/>
      </c>
      <c r="D382" s="9"/>
      <c r="E382" s="31"/>
      <c r="F382" s="11"/>
      <c r="G382" s="11"/>
      <c r="H382" s="9"/>
      <c r="I382" s="12" t="str">
        <f t="shared" si="46"/>
        <v/>
      </c>
      <c r="J382" s="12" t="str">
        <f t="shared" si="47"/>
        <v/>
      </c>
      <c r="K382" s="11"/>
      <c r="L382" s="12" t="str">
        <f t="shared" si="48"/>
        <v/>
      </c>
      <c r="M382" s="12" t="str">
        <f t="shared" si="49"/>
        <v/>
      </c>
      <c r="N382" s="8" t="str">
        <f t="shared" si="50"/>
        <v/>
      </c>
      <c r="O382" s="9"/>
      <c r="P382" s="31"/>
      <c r="Q382" s="8" t="str">
        <f t="shared" si="51"/>
        <v/>
      </c>
      <c r="R382" s="8" t="str">
        <f t="shared" si="52"/>
        <v/>
      </c>
      <c r="S382" s="8">
        <f>IF(OR(R382="",D382=""),0,IF(SUMPRODUCT(--(R$4:R382=R382))&gt;1,1,0))</f>
        <v>0</v>
      </c>
      <c r="T382" s="8">
        <f t="shared" si="53"/>
        <v>0</v>
      </c>
    </row>
    <row r="383" spans="1:20" x14ac:dyDescent="0.25">
      <c r="A383" s="8">
        <v>380</v>
      </c>
      <c r="B383" s="9"/>
      <c r="C383" s="33" t="str">
        <f t="shared" si="45"/>
        <v/>
      </c>
      <c r="D383" s="9"/>
      <c r="E383" s="31"/>
      <c r="F383" s="11"/>
      <c r="G383" s="11"/>
      <c r="H383" s="9"/>
      <c r="I383" s="12" t="str">
        <f t="shared" si="46"/>
        <v/>
      </c>
      <c r="J383" s="12" t="str">
        <f t="shared" si="47"/>
        <v/>
      </c>
      <c r="K383" s="11"/>
      <c r="L383" s="12" t="str">
        <f t="shared" si="48"/>
        <v/>
      </c>
      <c r="M383" s="12" t="str">
        <f t="shared" si="49"/>
        <v/>
      </c>
      <c r="N383" s="8" t="str">
        <f t="shared" si="50"/>
        <v/>
      </c>
      <c r="O383" s="9"/>
      <c r="P383" s="31"/>
      <c r="Q383" s="8" t="str">
        <f t="shared" si="51"/>
        <v/>
      </c>
      <c r="R383" s="8" t="str">
        <f t="shared" si="52"/>
        <v/>
      </c>
      <c r="S383" s="8">
        <f>IF(OR(R383="",D383=""),0,IF(SUMPRODUCT(--(R$4:R383=R383))&gt;1,1,0))</f>
        <v>0</v>
      </c>
      <c r="T383" s="8">
        <f t="shared" si="53"/>
        <v>0</v>
      </c>
    </row>
    <row r="384" spans="1:20" x14ac:dyDescent="0.25">
      <c r="A384" s="8">
        <v>381</v>
      </c>
      <c r="B384" s="9"/>
      <c r="C384" s="33" t="str">
        <f t="shared" si="45"/>
        <v/>
      </c>
      <c r="D384" s="9"/>
      <c r="E384" s="31"/>
      <c r="F384" s="11"/>
      <c r="G384" s="11"/>
      <c r="H384" s="9"/>
      <c r="I384" s="12" t="str">
        <f t="shared" si="46"/>
        <v/>
      </c>
      <c r="J384" s="12" t="str">
        <f t="shared" si="47"/>
        <v/>
      </c>
      <c r="K384" s="11"/>
      <c r="L384" s="12" t="str">
        <f t="shared" si="48"/>
        <v/>
      </c>
      <c r="M384" s="12" t="str">
        <f t="shared" si="49"/>
        <v/>
      </c>
      <c r="N384" s="8" t="str">
        <f t="shared" si="50"/>
        <v/>
      </c>
      <c r="O384" s="9"/>
      <c r="P384" s="31"/>
      <c r="Q384" s="8" t="str">
        <f t="shared" si="51"/>
        <v/>
      </c>
      <c r="R384" s="8" t="str">
        <f t="shared" si="52"/>
        <v/>
      </c>
      <c r="S384" s="8">
        <f>IF(OR(R384="",D384=""),0,IF(SUMPRODUCT(--(R$4:R384=R384))&gt;1,1,0))</f>
        <v>0</v>
      </c>
      <c r="T384" s="8">
        <f t="shared" si="53"/>
        <v>0</v>
      </c>
    </row>
    <row r="385" spans="1:20" x14ac:dyDescent="0.25">
      <c r="A385" s="8">
        <v>382</v>
      </c>
      <c r="B385" s="9"/>
      <c r="C385" s="33" t="str">
        <f t="shared" si="45"/>
        <v/>
      </c>
      <c r="D385" s="9"/>
      <c r="E385" s="31"/>
      <c r="F385" s="11"/>
      <c r="G385" s="11"/>
      <c r="H385" s="9"/>
      <c r="I385" s="12" t="str">
        <f t="shared" si="46"/>
        <v/>
      </c>
      <c r="J385" s="12" t="str">
        <f t="shared" si="47"/>
        <v/>
      </c>
      <c r="K385" s="11"/>
      <c r="L385" s="12" t="str">
        <f t="shared" si="48"/>
        <v/>
      </c>
      <c r="M385" s="12" t="str">
        <f t="shared" si="49"/>
        <v/>
      </c>
      <c r="N385" s="8" t="str">
        <f t="shared" si="50"/>
        <v/>
      </c>
      <c r="O385" s="9"/>
      <c r="P385" s="31"/>
      <c r="Q385" s="8" t="str">
        <f t="shared" si="51"/>
        <v/>
      </c>
      <c r="R385" s="8" t="str">
        <f t="shared" si="52"/>
        <v/>
      </c>
      <c r="S385" s="8">
        <f>IF(OR(R385="",D385=""),0,IF(SUMPRODUCT(--(R$4:R385=R385))&gt;1,1,0))</f>
        <v>0</v>
      </c>
      <c r="T385" s="8">
        <f t="shared" si="53"/>
        <v>0</v>
      </c>
    </row>
    <row r="386" spans="1:20" x14ac:dyDescent="0.25">
      <c r="A386" s="8">
        <v>383</v>
      </c>
      <c r="B386" s="9"/>
      <c r="C386" s="33" t="str">
        <f t="shared" si="45"/>
        <v/>
      </c>
      <c r="D386" s="9"/>
      <c r="E386" s="31"/>
      <c r="F386" s="11"/>
      <c r="G386" s="11"/>
      <c r="H386" s="9"/>
      <c r="I386" s="12" t="str">
        <f t="shared" si="46"/>
        <v/>
      </c>
      <c r="J386" s="12" t="str">
        <f t="shared" si="47"/>
        <v/>
      </c>
      <c r="K386" s="11"/>
      <c r="L386" s="12" t="str">
        <f t="shared" si="48"/>
        <v/>
      </c>
      <c r="M386" s="12" t="str">
        <f t="shared" si="49"/>
        <v/>
      </c>
      <c r="N386" s="8" t="str">
        <f t="shared" si="50"/>
        <v/>
      </c>
      <c r="O386" s="9"/>
      <c r="P386" s="31"/>
      <c r="Q386" s="8" t="str">
        <f t="shared" si="51"/>
        <v/>
      </c>
      <c r="R386" s="8" t="str">
        <f t="shared" si="52"/>
        <v/>
      </c>
      <c r="S386" s="8">
        <f>IF(OR(R386="",D386=""),0,IF(SUMPRODUCT(--(R$4:R386=R386))&gt;1,1,0))</f>
        <v>0</v>
      </c>
      <c r="T386" s="8">
        <f t="shared" si="53"/>
        <v>0</v>
      </c>
    </row>
    <row r="387" spans="1:20" x14ac:dyDescent="0.25">
      <c r="A387" s="8">
        <v>384</v>
      </c>
      <c r="B387" s="9"/>
      <c r="C387" s="33" t="str">
        <f t="shared" si="45"/>
        <v/>
      </c>
      <c r="D387" s="9"/>
      <c r="E387" s="31"/>
      <c r="F387" s="11"/>
      <c r="G387" s="11"/>
      <c r="H387" s="9"/>
      <c r="I387" s="12" t="str">
        <f t="shared" si="46"/>
        <v/>
      </c>
      <c r="J387" s="12" t="str">
        <f t="shared" si="47"/>
        <v/>
      </c>
      <c r="K387" s="11"/>
      <c r="L387" s="12" t="str">
        <f t="shared" si="48"/>
        <v/>
      </c>
      <c r="M387" s="12" t="str">
        <f t="shared" si="49"/>
        <v/>
      </c>
      <c r="N387" s="8" t="str">
        <f t="shared" si="50"/>
        <v/>
      </c>
      <c r="O387" s="9"/>
      <c r="P387" s="31"/>
      <c r="Q387" s="8" t="str">
        <f t="shared" si="51"/>
        <v/>
      </c>
      <c r="R387" s="8" t="str">
        <f t="shared" si="52"/>
        <v/>
      </c>
      <c r="S387" s="8">
        <f>IF(OR(R387="",D387=""),0,IF(SUMPRODUCT(--(R$4:R387=R387))&gt;1,1,0))</f>
        <v>0</v>
      </c>
      <c r="T387" s="8">
        <f t="shared" si="53"/>
        <v>0</v>
      </c>
    </row>
    <row r="388" spans="1:20" x14ac:dyDescent="0.25">
      <c r="A388" s="8">
        <v>385</v>
      </c>
      <c r="B388" s="9"/>
      <c r="C388" s="33" t="str">
        <f t="shared" ref="C388:C451" si="54">IF(B388="","",IFERROR(INDEX(SpaceNames,MATCH(B388,SpaceCodes,0))&amp;"",""))</f>
        <v/>
      </c>
      <c r="D388" s="9"/>
      <c r="E388" s="31"/>
      <c r="F388" s="11"/>
      <c r="G388" s="11"/>
      <c r="H388" s="9"/>
      <c r="I388" s="12" t="str">
        <f t="shared" ref="I388:I451" si="55">IF(R388="","",IF(S388=1,0,IF(AND(F388&lt;&gt;"",G388&lt;&gt;""),F388*G388*IF(H388="",1,H388),"")))</f>
        <v/>
      </c>
      <c r="J388" s="12" t="str">
        <f t="shared" ref="J388:J403" si="56">IF(R388="","",IF(T388=0,0,T388*SUMIFS(OP_Area,OP_Space,B388,OP_Wall,D388,OP_DedPl,"نعم")))</f>
        <v/>
      </c>
      <c r="K388" s="11"/>
      <c r="L388" s="12" t="str">
        <f t="shared" ref="L388:L451" si="57">IF(OR(R388="",I388=""),"",N(J388)+N(K388))</f>
        <v/>
      </c>
      <c r="M388" s="12" t="str">
        <f t="shared" ref="M388:M451" si="58">IF(OR(R388="",I388=""),"",I388-L388)</f>
        <v/>
      </c>
      <c r="N388" s="8" t="str">
        <f t="shared" ref="N388:N403" si="59">IF(E388="","",IFERROR(IF(INDEX(PlUnit,MATCH(E388,PlMat,0))="","م²",INDEX(PlUnit,MATCH(E388,PlMat,0))),"م²"))</f>
        <v/>
      </c>
      <c r="O388" s="9"/>
      <c r="P388" s="31"/>
      <c r="Q388" s="8" t="str">
        <f t="shared" ref="Q388:Q451" si="60">IF(R388="","",IF(S388=1,"تكرار — غير محتسب",IF(B388="","ناقص بيانات: كود الفراغ",IF(COUNTIF(SpaceCodes,B388)=0,"ناقص بيانات: الفراغ غير مسجل",IF(D388="","ناقص بيانات: كود الحائط",IF(E388="","ناقص بيانات: نوع البند",IF(I388="","ناقص قياس",IF(L388&gt;I388+0.000001,"خطأ خصم: الخصم أكبر من الإجمالي",IF(O388="نعم","يحتاج مراجعة","مكتمل")))))))))</f>
        <v/>
      </c>
      <c r="R388" s="8" t="str">
        <f t="shared" ref="R388:R403" si="61">IF(COUNTA(B388,D388:H388,K388)=0,"",B388&amp;"|"&amp;D388&amp;"|"&amp;E388)</f>
        <v/>
      </c>
      <c r="S388" s="8">
        <f>IF(OR(R388="",D388=""),0,IF(SUMPRODUCT(--(R$4:R388=R388))&gt;1,1,0))</f>
        <v>0</v>
      </c>
      <c r="T388" s="8">
        <f t="shared" ref="T388:T451" si="62">IF(OR(R388="",S388=1,B388="",D388=""),0,IF(H388="",1,H388))</f>
        <v>0</v>
      </c>
    </row>
    <row r="389" spans="1:20" x14ac:dyDescent="0.25">
      <c r="A389" s="8">
        <v>386</v>
      </c>
      <c r="B389" s="9"/>
      <c r="C389" s="33" t="str">
        <f t="shared" si="54"/>
        <v/>
      </c>
      <c r="D389" s="9"/>
      <c r="E389" s="31"/>
      <c r="F389" s="11"/>
      <c r="G389" s="11"/>
      <c r="H389" s="9"/>
      <c r="I389" s="12" t="str">
        <f t="shared" si="55"/>
        <v/>
      </c>
      <c r="J389" s="12" t="str">
        <f t="shared" si="56"/>
        <v/>
      </c>
      <c r="K389" s="11"/>
      <c r="L389" s="12" t="str">
        <f t="shared" si="57"/>
        <v/>
      </c>
      <c r="M389" s="12" t="str">
        <f t="shared" si="58"/>
        <v/>
      </c>
      <c r="N389" s="8" t="str">
        <f t="shared" si="59"/>
        <v/>
      </c>
      <c r="O389" s="9"/>
      <c r="P389" s="31"/>
      <c r="Q389" s="8" t="str">
        <f t="shared" si="60"/>
        <v/>
      </c>
      <c r="R389" s="8" t="str">
        <f t="shared" si="61"/>
        <v/>
      </c>
      <c r="S389" s="8">
        <f>IF(OR(R389="",D389=""),0,IF(SUMPRODUCT(--(R$4:R389=R389))&gt;1,1,0))</f>
        <v>0</v>
      </c>
      <c r="T389" s="8">
        <f t="shared" si="62"/>
        <v>0</v>
      </c>
    </row>
    <row r="390" spans="1:20" x14ac:dyDescent="0.25">
      <c r="A390" s="8">
        <v>387</v>
      </c>
      <c r="B390" s="9"/>
      <c r="C390" s="33" t="str">
        <f t="shared" si="54"/>
        <v/>
      </c>
      <c r="D390" s="9"/>
      <c r="E390" s="31"/>
      <c r="F390" s="11"/>
      <c r="G390" s="11"/>
      <c r="H390" s="9"/>
      <c r="I390" s="12" t="str">
        <f t="shared" si="55"/>
        <v/>
      </c>
      <c r="J390" s="12" t="str">
        <f t="shared" si="56"/>
        <v/>
      </c>
      <c r="K390" s="11"/>
      <c r="L390" s="12" t="str">
        <f t="shared" si="57"/>
        <v/>
      </c>
      <c r="M390" s="12" t="str">
        <f t="shared" si="58"/>
        <v/>
      </c>
      <c r="N390" s="8" t="str">
        <f t="shared" si="59"/>
        <v/>
      </c>
      <c r="O390" s="9"/>
      <c r="P390" s="31"/>
      <c r="Q390" s="8" t="str">
        <f t="shared" si="60"/>
        <v/>
      </c>
      <c r="R390" s="8" t="str">
        <f t="shared" si="61"/>
        <v/>
      </c>
      <c r="S390" s="8">
        <f>IF(OR(R390="",D390=""),0,IF(SUMPRODUCT(--(R$4:R390=R390))&gt;1,1,0))</f>
        <v>0</v>
      </c>
      <c r="T390" s="8">
        <f t="shared" si="62"/>
        <v>0</v>
      </c>
    </row>
    <row r="391" spans="1:20" x14ac:dyDescent="0.25">
      <c r="A391" s="8">
        <v>388</v>
      </c>
      <c r="B391" s="9"/>
      <c r="C391" s="33" t="str">
        <f t="shared" si="54"/>
        <v/>
      </c>
      <c r="D391" s="9"/>
      <c r="E391" s="31"/>
      <c r="F391" s="11"/>
      <c r="G391" s="11"/>
      <c r="H391" s="9"/>
      <c r="I391" s="12" t="str">
        <f t="shared" si="55"/>
        <v/>
      </c>
      <c r="J391" s="12" t="str">
        <f t="shared" si="56"/>
        <v/>
      </c>
      <c r="K391" s="11"/>
      <c r="L391" s="12" t="str">
        <f t="shared" si="57"/>
        <v/>
      </c>
      <c r="M391" s="12" t="str">
        <f t="shared" si="58"/>
        <v/>
      </c>
      <c r="N391" s="8" t="str">
        <f t="shared" si="59"/>
        <v/>
      </c>
      <c r="O391" s="9"/>
      <c r="P391" s="31"/>
      <c r="Q391" s="8" t="str">
        <f t="shared" si="60"/>
        <v/>
      </c>
      <c r="R391" s="8" t="str">
        <f t="shared" si="61"/>
        <v/>
      </c>
      <c r="S391" s="8">
        <f>IF(OR(R391="",D391=""),0,IF(SUMPRODUCT(--(R$4:R391=R391))&gt;1,1,0))</f>
        <v>0</v>
      </c>
      <c r="T391" s="8">
        <f t="shared" si="62"/>
        <v>0</v>
      </c>
    </row>
    <row r="392" spans="1:20" x14ac:dyDescent="0.25">
      <c r="A392" s="8">
        <v>389</v>
      </c>
      <c r="B392" s="9"/>
      <c r="C392" s="33" t="str">
        <f t="shared" si="54"/>
        <v/>
      </c>
      <c r="D392" s="9"/>
      <c r="E392" s="31"/>
      <c r="F392" s="11"/>
      <c r="G392" s="11"/>
      <c r="H392" s="9"/>
      <c r="I392" s="12" t="str">
        <f t="shared" si="55"/>
        <v/>
      </c>
      <c r="J392" s="12" t="str">
        <f t="shared" si="56"/>
        <v/>
      </c>
      <c r="K392" s="11"/>
      <c r="L392" s="12" t="str">
        <f t="shared" si="57"/>
        <v/>
      </c>
      <c r="M392" s="12" t="str">
        <f t="shared" si="58"/>
        <v/>
      </c>
      <c r="N392" s="8" t="str">
        <f t="shared" si="59"/>
        <v/>
      </c>
      <c r="O392" s="9"/>
      <c r="P392" s="31"/>
      <c r="Q392" s="8" t="str">
        <f t="shared" si="60"/>
        <v/>
      </c>
      <c r="R392" s="8" t="str">
        <f t="shared" si="61"/>
        <v/>
      </c>
      <c r="S392" s="8">
        <f>IF(OR(R392="",D392=""),0,IF(SUMPRODUCT(--(R$4:R392=R392))&gt;1,1,0))</f>
        <v>0</v>
      </c>
      <c r="T392" s="8">
        <f t="shared" si="62"/>
        <v>0</v>
      </c>
    </row>
    <row r="393" spans="1:20" x14ac:dyDescent="0.25">
      <c r="A393" s="8">
        <v>390</v>
      </c>
      <c r="B393" s="9"/>
      <c r="C393" s="33" t="str">
        <f t="shared" si="54"/>
        <v/>
      </c>
      <c r="D393" s="9"/>
      <c r="E393" s="31"/>
      <c r="F393" s="11"/>
      <c r="G393" s="11"/>
      <c r="H393" s="9"/>
      <c r="I393" s="12" t="str">
        <f t="shared" si="55"/>
        <v/>
      </c>
      <c r="J393" s="12" t="str">
        <f t="shared" si="56"/>
        <v/>
      </c>
      <c r="K393" s="11"/>
      <c r="L393" s="12" t="str">
        <f t="shared" si="57"/>
        <v/>
      </c>
      <c r="M393" s="12" t="str">
        <f t="shared" si="58"/>
        <v/>
      </c>
      <c r="N393" s="8" t="str">
        <f t="shared" si="59"/>
        <v/>
      </c>
      <c r="O393" s="9"/>
      <c r="P393" s="31"/>
      <c r="Q393" s="8" t="str">
        <f t="shared" si="60"/>
        <v/>
      </c>
      <c r="R393" s="8" t="str">
        <f t="shared" si="61"/>
        <v/>
      </c>
      <c r="S393" s="8">
        <f>IF(OR(R393="",D393=""),0,IF(SUMPRODUCT(--(R$4:R393=R393))&gt;1,1,0))</f>
        <v>0</v>
      </c>
      <c r="T393" s="8">
        <f t="shared" si="62"/>
        <v>0</v>
      </c>
    </row>
    <row r="394" spans="1:20" x14ac:dyDescent="0.25">
      <c r="A394" s="8">
        <v>391</v>
      </c>
      <c r="B394" s="9"/>
      <c r="C394" s="33" t="str">
        <f t="shared" si="54"/>
        <v/>
      </c>
      <c r="D394" s="9"/>
      <c r="E394" s="31"/>
      <c r="F394" s="11"/>
      <c r="G394" s="11"/>
      <c r="H394" s="9"/>
      <c r="I394" s="12" t="str">
        <f t="shared" si="55"/>
        <v/>
      </c>
      <c r="J394" s="12" t="str">
        <f t="shared" si="56"/>
        <v/>
      </c>
      <c r="K394" s="11"/>
      <c r="L394" s="12" t="str">
        <f t="shared" si="57"/>
        <v/>
      </c>
      <c r="M394" s="12" t="str">
        <f t="shared" si="58"/>
        <v/>
      </c>
      <c r="N394" s="8" t="str">
        <f t="shared" si="59"/>
        <v/>
      </c>
      <c r="O394" s="9"/>
      <c r="P394" s="31"/>
      <c r="Q394" s="8" t="str">
        <f t="shared" si="60"/>
        <v/>
      </c>
      <c r="R394" s="8" t="str">
        <f t="shared" si="61"/>
        <v/>
      </c>
      <c r="S394" s="8">
        <f>IF(OR(R394="",D394=""),0,IF(SUMPRODUCT(--(R$4:R394=R394))&gt;1,1,0))</f>
        <v>0</v>
      </c>
      <c r="T394" s="8">
        <f t="shared" si="62"/>
        <v>0</v>
      </c>
    </row>
    <row r="395" spans="1:20" x14ac:dyDescent="0.25">
      <c r="A395" s="8">
        <v>392</v>
      </c>
      <c r="B395" s="9"/>
      <c r="C395" s="33" t="str">
        <f t="shared" si="54"/>
        <v/>
      </c>
      <c r="D395" s="9"/>
      <c r="E395" s="31"/>
      <c r="F395" s="11"/>
      <c r="G395" s="11"/>
      <c r="H395" s="9"/>
      <c r="I395" s="12" t="str">
        <f t="shared" si="55"/>
        <v/>
      </c>
      <c r="J395" s="12" t="str">
        <f t="shared" si="56"/>
        <v/>
      </c>
      <c r="K395" s="11"/>
      <c r="L395" s="12" t="str">
        <f t="shared" si="57"/>
        <v/>
      </c>
      <c r="M395" s="12" t="str">
        <f t="shared" si="58"/>
        <v/>
      </c>
      <c r="N395" s="8" t="str">
        <f t="shared" si="59"/>
        <v/>
      </c>
      <c r="O395" s="9"/>
      <c r="P395" s="31"/>
      <c r="Q395" s="8" t="str">
        <f t="shared" si="60"/>
        <v/>
      </c>
      <c r="R395" s="8" t="str">
        <f t="shared" si="61"/>
        <v/>
      </c>
      <c r="S395" s="8">
        <f>IF(OR(R395="",D395=""),0,IF(SUMPRODUCT(--(R$4:R395=R395))&gt;1,1,0))</f>
        <v>0</v>
      </c>
      <c r="T395" s="8">
        <f t="shared" si="62"/>
        <v>0</v>
      </c>
    </row>
    <row r="396" spans="1:20" x14ac:dyDescent="0.25">
      <c r="A396" s="8">
        <v>393</v>
      </c>
      <c r="B396" s="9"/>
      <c r="C396" s="33" t="str">
        <f t="shared" si="54"/>
        <v/>
      </c>
      <c r="D396" s="9"/>
      <c r="E396" s="31"/>
      <c r="F396" s="11"/>
      <c r="G396" s="11"/>
      <c r="H396" s="9"/>
      <c r="I396" s="12" t="str">
        <f t="shared" si="55"/>
        <v/>
      </c>
      <c r="J396" s="12" t="str">
        <f t="shared" si="56"/>
        <v/>
      </c>
      <c r="K396" s="11"/>
      <c r="L396" s="12" t="str">
        <f t="shared" si="57"/>
        <v/>
      </c>
      <c r="M396" s="12" t="str">
        <f t="shared" si="58"/>
        <v/>
      </c>
      <c r="N396" s="8" t="str">
        <f t="shared" si="59"/>
        <v/>
      </c>
      <c r="O396" s="9"/>
      <c r="P396" s="31"/>
      <c r="Q396" s="8" t="str">
        <f t="shared" si="60"/>
        <v/>
      </c>
      <c r="R396" s="8" t="str">
        <f t="shared" si="61"/>
        <v/>
      </c>
      <c r="S396" s="8">
        <f>IF(OR(R396="",D396=""),0,IF(SUMPRODUCT(--(R$4:R396=R396))&gt;1,1,0))</f>
        <v>0</v>
      </c>
      <c r="T396" s="8">
        <f t="shared" si="62"/>
        <v>0</v>
      </c>
    </row>
    <row r="397" spans="1:20" x14ac:dyDescent="0.25">
      <c r="A397" s="8">
        <v>394</v>
      </c>
      <c r="B397" s="9"/>
      <c r="C397" s="33" t="str">
        <f t="shared" si="54"/>
        <v/>
      </c>
      <c r="D397" s="9"/>
      <c r="E397" s="31"/>
      <c r="F397" s="11"/>
      <c r="G397" s="11"/>
      <c r="H397" s="9"/>
      <c r="I397" s="12" t="str">
        <f t="shared" si="55"/>
        <v/>
      </c>
      <c r="J397" s="12" t="str">
        <f t="shared" si="56"/>
        <v/>
      </c>
      <c r="K397" s="11"/>
      <c r="L397" s="12" t="str">
        <f t="shared" si="57"/>
        <v/>
      </c>
      <c r="M397" s="12" t="str">
        <f t="shared" si="58"/>
        <v/>
      </c>
      <c r="N397" s="8" t="str">
        <f t="shared" si="59"/>
        <v/>
      </c>
      <c r="O397" s="9"/>
      <c r="P397" s="31"/>
      <c r="Q397" s="8" t="str">
        <f t="shared" si="60"/>
        <v/>
      </c>
      <c r="R397" s="8" t="str">
        <f t="shared" si="61"/>
        <v/>
      </c>
      <c r="S397" s="8">
        <f>IF(OR(R397="",D397=""),0,IF(SUMPRODUCT(--(R$4:R397=R397))&gt;1,1,0))</f>
        <v>0</v>
      </c>
      <c r="T397" s="8">
        <f t="shared" si="62"/>
        <v>0</v>
      </c>
    </row>
    <row r="398" spans="1:20" x14ac:dyDescent="0.25">
      <c r="A398" s="8">
        <v>395</v>
      </c>
      <c r="B398" s="9"/>
      <c r="C398" s="33" t="str">
        <f t="shared" si="54"/>
        <v/>
      </c>
      <c r="D398" s="9"/>
      <c r="E398" s="31"/>
      <c r="F398" s="11"/>
      <c r="G398" s="11"/>
      <c r="H398" s="9"/>
      <c r="I398" s="12" t="str">
        <f t="shared" si="55"/>
        <v/>
      </c>
      <c r="J398" s="12" t="str">
        <f t="shared" si="56"/>
        <v/>
      </c>
      <c r="K398" s="11"/>
      <c r="L398" s="12" t="str">
        <f t="shared" si="57"/>
        <v/>
      </c>
      <c r="M398" s="12" t="str">
        <f t="shared" si="58"/>
        <v/>
      </c>
      <c r="N398" s="8" t="str">
        <f t="shared" si="59"/>
        <v/>
      </c>
      <c r="O398" s="9"/>
      <c r="P398" s="31"/>
      <c r="Q398" s="8" t="str">
        <f t="shared" si="60"/>
        <v/>
      </c>
      <c r="R398" s="8" t="str">
        <f t="shared" si="61"/>
        <v/>
      </c>
      <c r="S398" s="8">
        <f>IF(OR(R398="",D398=""),0,IF(SUMPRODUCT(--(R$4:R398=R398))&gt;1,1,0))</f>
        <v>0</v>
      </c>
      <c r="T398" s="8">
        <f t="shared" si="62"/>
        <v>0</v>
      </c>
    </row>
    <row r="399" spans="1:20" x14ac:dyDescent="0.25">
      <c r="A399" s="8">
        <v>396</v>
      </c>
      <c r="B399" s="9"/>
      <c r="C399" s="33" t="str">
        <f t="shared" si="54"/>
        <v/>
      </c>
      <c r="D399" s="9"/>
      <c r="E399" s="31"/>
      <c r="F399" s="11"/>
      <c r="G399" s="11"/>
      <c r="H399" s="9"/>
      <c r="I399" s="12" t="str">
        <f t="shared" si="55"/>
        <v/>
      </c>
      <c r="J399" s="12" t="str">
        <f t="shared" si="56"/>
        <v/>
      </c>
      <c r="K399" s="11"/>
      <c r="L399" s="12" t="str">
        <f t="shared" si="57"/>
        <v/>
      </c>
      <c r="M399" s="12" t="str">
        <f t="shared" si="58"/>
        <v/>
      </c>
      <c r="N399" s="8" t="str">
        <f t="shared" si="59"/>
        <v/>
      </c>
      <c r="O399" s="9"/>
      <c r="P399" s="31"/>
      <c r="Q399" s="8" t="str">
        <f t="shared" si="60"/>
        <v/>
      </c>
      <c r="R399" s="8" t="str">
        <f t="shared" si="61"/>
        <v/>
      </c>
      <c r="S399" s="8">
        <f>IF(OR(R399="",D399=""),0,IF(SUMPRODUCT(--(R$4:R399=R399))&gt;1,1,0))</f>
        <v>0</v>
      </c>
      <c r="T399" s="8">
        <f t="shared" si="62"/>
        <v>0</v>
      </c>
    </row>
    <row r="400" spans="1:20" x14ac:dyDescent="0.25">
      <c r="A400" s="8">
        <v>397</v>
      </c>
      <c r="B400" s="9"/>
      <c r="C400" s="33" t="str">
        <f t="shared" si="54"/>
        <v/>
      </c>
      <c r="D400" s="9"/>
      <c r="E400" s="31"/>
      <c r="F400" s="11"/>
      <c r="G400" s="11"/>
      <c r="H400" s="9"/>
      <c r="I400" s="12" t="str">
        <f t="shared" si="55"/>
        <v/>
      </c>
      <c r="J400" s="12" t="str">
        <f t="shared" si="56"/>
        <v/>
      </c>
      <c r="K400" s="11"/>
      <c r="L400" s="12" t="str">
        <f t="shared" si="57"/>
        <v/>
      </c>
      <c r="M400" s="12" t="str">
        <f t="shared" si="58"/>
        <v/>
      </c>
      <c r="N400" s="8" t="str">
        <f t="shared" si="59"/>
        <v/>
      </c>
      <c r="O400" s="9"/>
      <c r="P400" s="31"/>
      <c r="Q400" s="8" t="str">
        <f t="shared" si="60"/>
        <v/>
      </c>
      <c r="R400" s="8" t="str">
        <f t="shared" si="61"/>
        <v/>
      </c>
      <c r="S400" s="8">
        <f>IF(OR(R400="",D400=""),0,IF(SUMPRODUCT(--(R$4:R400=R400))&gt;1,1,0))</f>
        <v>0</v>
      </c>
      <c r="T400" s="8">
        <f t="shared" si="62"/>
        <v>0</v>
      </c>
    </row>
    <row r="401" spans="1:20" x14ac:dyDescent="0.25">
      <c r="A401" s="8">
        <v>398</v>
      </c>
      <c r="B401" s="9"/>
      <c r="C401" s="33" t="str">
        <f t="shared" si="54"/>
        <v/>
      </c>
      <c r="D401" s="9"/>
      <c r="E401" s="31"/>
      <c r="F401" s="11"/>
      <c r="G401" s="11"/>
      <c r="H401" s="9"/>
      <c r="I401" s="12" t="str">
        <f t="shared" si="55"/>
        <v/>
      </c>
      <c r="J401" s="12" t="str">
        <f t="shared" si="56"/>
        <v/>
      </c>
      <c r="K401" s="11"/>
      <c r="L401" s="12" t="str">
        <f t="shared" si="57"/>
        <v/>
      </c>
      <c r="M401" s="12" t="str">
        <f t="shared" si="58"/>
        <v/>
      </c>
      <c r="N401" s="8" t="str">
        <f t="shared" si="59"/>
        <v/>
      </c>
      <c r="O401" s="9"/>
      <c r="P401" s="31"/>
      <c r="Q401" s="8" t="str">
        <f t="shared" si="60"/>
        <v/>
      </c>
      <c r="R401" s="8" t="str">
        <f t="shared" si="61"/>
        <v/>
      </c>
      <c r="S401" s="8">
        <f>IF(OR(R401="",D401=""),0,IF(SUMPRODUCT(--(R$4:R401=R401))&gt;1,1,0))</f>
        <v>0</v>
      </c>
      <c r="T401" s="8">
        <f t="shared" si="62"/>
        <v>0</v>
      </c>
    </row>
    <row r="402" spans="1:20" x14ac:dyDescent="0.25">
      <c r="A402" s="8">
        <v>399</v>
      </c>
      <c r="B402" s="9"/>
      <c r="C402" s="33" t="str">
        <f t="shared" si="54"/>
        <v/>
      </c>
      <c r="D402" s="9"/>
      <c r="E402" s="31"/>
      <c r="F402" s="11"/>
      <c r="G402" s="11"/>
      <c r="H402" s="9"/>
      <c r="I402" s="12" t="str">
        <f t="shared" si="55"/>
        <v/>
      </c>
      <c r="J402" s="12" t="str">
        <f t="shared" si="56"/>
        <v/>
      </c>
      <c r="K402" s="11"/>
      <c r="L402" s="12" t="str">
        <f t="shared" si="57"/>
        <v/>
      </c>
      <c r="M402" s="12" t="str">
        <f t="shared" si="58"/>
        <v/>
      </c>
      <c r="N402" s="8" t="str">
        <f t="shared" si="59"/>
        <v/>
      </c>
      <c r="O402" s="9"/>
      <c r="P402" s="31"/>
      <c r="Q402" s="8" t="str">
        <f t="shared" si="60"/>
        <v/>
      </c>
      <c r="R402" s="8" t="str">
        <f t="shared" si="61"/>
        <v/>
      </c>
      <c r="S402" s="8">
        <f>IF(OR(R402="",D402=""),0,IF(SUMPRODUCT(--(R$4:R402=R402))&gt;1,1,0))</f>
        <v>0</v>
      </c>
      <c r="T402" s="8">
        <f t="shared" si="62"/>
        <v>0</v>
      </c>
    </row>
    <row r="403" spans="1:20" x14ac:dyDescent="0.25">
      <c r="A403" s="8">
        <v>400</v>
      </c>
      <c r="B403" s="9"/>
      <c r="C403" s="33" t="str">
        <f t="shared" si="54"/>
        <v/>
      </c>
      <c r="D403" s="9"/>
      <c r="E403" s="31"/>
      <c r="F403" s="11"/>
      <c r="G403" s="11"/>
      <c r="H403" s="9"/>
      <c r="I403" s="12" t="str">
        <f t="shared" si="55"/>
        <v/>
      </c>
      <c r="J403" s="12" t="str">
        <f t="shared" si="56"/>
        <v/>
      </c>
      <c r="K403" s="11"/>
      <c r="L403" s="12" t="str">
        <f t="shared" si="57"/>
        <v/>
      </c>
      <c r="M403" s="12" t="str">
        <f t="shared" si="58"/>
        <v/>
      </c>
      <c r="N403" s="8" t="str">
        <f t="shared" si="59"/>
        <v/>
      </c>
      <c r="O403" s="9"/>
      <c r="P403" s="31"/>
      <c r="Q403" s="8" t="str">
        <f t="shared" si="60"/>
        <v/>
      </c>
      <c r="R403" s="8" t="str">
        <f t="shared" si="61"/>
        <v/>
      </c>
      <c r="S403" s="8">
        <f>IF(OR(R403="",D403=""),0,IF(SUMPRODUCT(--(R$4:R403=R403))&gt;1,1,0))</f>
        <v>0</v>
      </c>
      <c r="T403" s="8">
        <f t="shared" si="62"/>
        <v>0</v>
      </c>
    </row>
  </sheetData>
  <sheetProtection sheet="1" formatCells="0" formatColumns="0" formatRows="0" sort="0" autoFilter="0"/>
  <autoFilter ref="A3:Q403"/>
  <mergeCells count="2">
    <mergeCell ref="A2:H2"/>
    <mergeCell ref="A1:Q1"/>
  </mergeCells>
  <conditionalFormatting sqref="Q4:Q403">
    <cfRule type="expression" dxfId="15" priority="1" stopIfTrue="1">
      <formula>OR($Q4="مكتمل",$Q4="مسجل")</formula>
    </cfRule>
    <cfRule type="expression" dxfId="14" priority="2" stopIfTrue="1">
      <formula>LEFT($Q4,4)="ناقص"</formula>
    </cfRule>
    <cfRule type="expression" dxfId="13" priority="3" stopIfTrue="1">
      <formula>LEN($Q4)&gt;0</formula>
    </cfRule>
  </conditionalFormatting>
  <dataValidations count="7">
    <dataValidation type="list" errorStyle="warning" allowBlank="1" showErrorMessage="1" errorTitle="قيمة غير موجودة بالقائمة" error="هذا الكود غير موجود في «سجل الفراغات». يفضل تسجيل الفراغ أولًا." sqref="B4:B403">
      <formula1>SpaceCodes</formula1>
    </dataValidation>
    <dataValidation type="list" allowBlank="1" showErrorMessage="1" errorTitle="قيمة غير موجودة بالقائمة" error="اختر من القائمة. لإضافة خامة/بند جديد أضفه أولًا في ورقة القوائم." sqref="E4:E403">
      <formula1>PlMat</formula1>
    </dataValidation>
    <dataValidation type="decimal" operator="greaterThanOrEqual" allowBlank="1" showErrorMessage="1" errorTitle="قيمة غير صحيحة" error="أدخل رقمًا موجبًا فقط (بالمتر)." sqref="F4:F403">
      <formula1>0</formula1>
    </dataValidation>
    <dataValidation type="decimal" operator="greaterThanOrEqual" allowBlank="1" showErrorMessage="1" errorTitle="قيمة غير صحيحة" error="أدخل رقمًا موجبًا فقط (بالمتر)." sqref="G4:G403">
      <formula1>0</formula1>
    </dataValidation>
    <dataValidation type="decimal" operator="greaterThanOrEqual" allowBlank="1" showErrorMessage="1" errorTitle="قيمة غير صحيحة" error="أدخل رقمًا موجبًا فقط (بالمتر)." sqref="H4:H403">
      <formula1>0</formula1>
    </dataValidation>
    <dataValidation type="decimal" operator="greaterThanOrEqual" allowBlank="1" showErrorMessage="1" errorTitle="قيمة غير صحيحة" error="أدخل رقمًا موجبًا فقط (بالمتر)." sqref="K4:K403">
      <formula1>0</formula1>
    </dataValidation>
    <dataValidation type="list" allowBlank="1" showErrorMessage="1" errorTitle="قيمة غير موجودة بالقائمة" error="اختر قيمة من القائمة المنسدلة." sqref="O4:O403">
      <formula1>YesNo</formula1>
    </dataValidation>
  </dataValidations>
  <pageMargins left="0.4" right="0.4" top="0.5" bottom="0.5"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R153"/>
  <sheetViews>
    <sheetView rightToLeft="1" workbookViewId="0">
      <pane ySplit="3" topLeftCell="A4" activePane="bottomLeft" state="frozen"/>
      <selection pane="bottomLeft"/>
    </sheetView>
  </sheetViews>
  <sheetFormatPr defaultRowHeight="15" x14ac:dyDescent="0.25"/>
  <cols>
    <col min="1" max="1" width="5" style="34" customWidth="1"/>
    <col min="2" max="2" width="12" style="34" customWidth="1"/>
    <col min="3" max="3" width="22" style="34" customWidth="1"/>
    <col min="4" max="5" width="12" style="34" customWidth="1"/>
    <col min="6" max="8" width="13" style="34" customWidth="1"/>
    <col min="9" max="9" width="12" style="34" customWidth="1"/>
    <col min="10" max="15" width="13" style="34" customWidth="1"/>
    <col min="16" max="16" width="11" style="34" customWidth="1"/>
    <col min="17" max="17" width="10" style="34" customWidth="1"/>
    <col min="18" max="18" width="13" style="34" customWidth="1"/>
  </cols>
  <sheetData>
    <row r="1" spans="1:18" ht="30" customHeight="1" x14ac:dyDescent="0.25">
      <c r="A1" s="52" t="s">
        <v>130</v>
      </c>
      <c r="B1" s="51"/>
      <c r="C1" s="51"/>
      <c r="D1" s="51"/>
      <c r="E1" s="51"/>
      <c r="F1" s="51"/>
      <c r="G1" s="51"/>
      <c r="H1" s="51"/>
      <c r="I1" s="51"/>
      <c r="J1" s="51"/>
      <c r="K1" s="51"/>
      <c r="L1" s="51"/>
      <c r="M1" s="51"/>
      <c r="N1" s="51"/>
      <c r="O1" s="51"/>
      <c r="P1" s="51"/>
      <c r="Q1" s="51"/>
      <c r="R1" s="51"/>
    </row>
    <row r="2" spans="1:18" ht="24" customHeight="1" x14ac:dyDescent="0.25">
      <c r="A2" s="53" t="s">
        <v>131</v>
      </c>
      <c r="B2" s="54"/>
      <c r="C2" s="54"/>
      <c r="D2" s="55"/>
      <c r="E2" s="10">
        <f t="shared" ref="E2:R2" si="0">SUBTOTAL(109,E$4:E$153)</f>
        <v>0</v>
      </c>
      <c r="F2" s="10">
        <f t="shared" si="0"/>
        <v>0</v>
      </c>
      <c r="G2" s="10">
        <f t="shared" si="0"/>
        <v>0</v>
      </c>
      <c r="H2" s="10">
        <f t="shared" si="0"/>
        <v>0</v>
      </c>
      <c r="I2" s="10">
        <f t="shared" si="0"/>
        <v>0</v>
      </c>
      <c r="J2" s="10">
        <f t="shared" si="0"/>
        <v>0</v>
      </c>
      <c r="K2" s="10">
        <f t="shared" si="0"/>
        <v>0</v>
      </c>
      <c r="L2" s="10">
        <f t="shared" si="0"/>
        <v>0</v>
      </c>
      <c r="M2" s="10">
        <f t="shared" si="0"/>
        <v>0</v>
      </c>
      <c r="N2" s="10">
        <f t="shared" si="0"/>
        <v>0</v>
      </c>
      <c r="O2" s="10">
        <f t="shared" si="0"/>
        <v>0</v>
      </c>
      <c r="P2" s="10">
        <f t="shared" si="0"/>
        <v>0</v>
      </c>
      <c r="Q2" s="13">
        <f t="shared" si="0"/>
        <v>0</v>
      </c>
      <c r="R2" s="13">
        <f t="shared" si="0"/>
        <v>0</v>
      </c>
    </row>
    <row r="3" spans="1:18" ht="48" customHeight="1" x14ac:dyDescent="0.25">
      <c r="A3" s="32" t="s">
        <v>52</v>
      </c>
      <c r="B3" s="32" t="s">
        <v>60</v>
      </c>
      <c r="C3" s="32" t="s">
        <v>54</v>
      </c>
      <c r="D3" s="32" t="s">
        <v>55</v>
      </c>
      <c r="E3" s="32" t="s">
        <v>132</v>
      </c>
      <c r="F3" s="32" t="s">
        <v>133</v>
      </c>
      <c r="G3" s="32" t="s">
        <v>134</v>
      </c>
      <c r="H3" s="32" t="s">
        <v>135</v>
      </c>
      <c r="I3" s="32" t="s">
        <v>136</v>
      </c>
      <c r="J3" s="32" t="s">
        <v>137</v>
      </c>
      <c r="K3" s="32" t="s">
        <v>138</v>
      </c>
      <c r="L3" s="32" t="s">
        <v>139</v>
      </c>
      <c r="M3" s="32" t="s">
        <v>140</v>
      </c>
      <c r="N3" s="32" t="s">
        <v>141</v>
      </c>
      <c r="O3" s="32" t="s">
        <v>142</v>
      </c>
      <c r="P3" s="32" t="s">
        <v>143</v>
      </c>
      <c r="Q3" s="32" t="s">
        <v>144</v>
      </c>
      <c r="R3" s="32" t="s">
        <v>145</v>
      </c>
    </row>
    <row r="4" spans="1:18" x14ac:dyDescent="0.25">
      <c r="A4" s="8">
        <v>1</v>
      </c>
      <c r="B4" s="8" t="str">
        <f>IF('سجل الفراغات'!B4="","",'سجل الفراغات'!B4)</f>
        <v/>
      </c>
      <c r="C4" s="33" t="str">
        <f>IF($B4="","",'سجل الفراغات'!C4&amp;"")</f>
        <v/>
      </c>
      <c r="D4" s="8" t="str">
        <f>IF($B4="","",'سجل الفراغات'!D4&amp;"")</f>
        <v/>
      </c>
      <c r="E4" s="14" t="str">
        <f t="shared" ref="E4:E35" si="1">IF($B4="","",SUMIFS(FL_Net,FL_Space,$B4,FL_Unit,"م²"))</f>
        <v/>
      </c>
      <c r="F4" s="14" t="str">
        <f t="shared" ref="F4:F35" si="2">IF($B4="","",SUMIFS(WL_Gross,WL_Space,$B4,WL_Unit,"م²"))</f>
        <v/>
      </c>
      <c r="G4" s="14" t="str">
        <f t="shared" ref="G4:G35" si="3">IF($B4="","",SUMIFS(WL_Ded,WL_Space,$B4,WL_Unit,"م²"))</f>
        <v/>
      </c>
      <c r="H4" s="14" t="str">
        <f t="shared" ref="H4:H35" si="4">IF($B4="","",SUMIFS(WL_Net,WL_Space,$B4,WL_Unit,"م²"))</f>
        <v/>
      </c>
      <c r="I4" s="14" t="str">
        <f t="shared" ref="I4:I35" si="5">IF($B4="","",SUMIFS(CL_Net,CL_Space,$B4,CL_Unit,"م²"))</f>
        <v/>
      </c>
      <c r="J4" s="14" t="str">
        <f t="shared" ref="J4:J35" si="6">IF($B4="","",SUMIFS(PL_Gross,PL_Space,$B4,PL_Unit,"م²"))</f>
        <v/>
      </c>
      <c r="K4" s="14" t="str">
        <f t="shared" ref="K4:K35" si="7">IF($B4="","",SUMIFS(PL_Ded,PL_Space,$B4,PL_Unit,"م²"))</f>
        <v/>
      </c>
      <c r="L4" s="14" t="str">
        <f t="shared" ref="L4:L35" si="8">IF($B4="","",SUMIFS(PL_Net,PL_Space,$B4,PL_Unit,"م²"))</f>
        <v/>
      </c>
      <c r="M4" s="14" t="str">
        <f t="shared" ref="M4:M35" si="9">IF($B4="","",SUMIFS(LN_Gross,LN_Space,$B4,LN_Unit,"م.ط"))</f>
        <v/>
      </c>
      <c r="N4" s="14" t="str">
        <f t="shared" ref="N4:N35" si="10">IF($B4="","",SUMIFS(LN_Ded,LN_Space,$B4,LN_Unit,"م.ط"))</f>
        <v/>
      </c>
      <c r="O4" s="14" t="str">
        <f t="shared" ref="O4:O35" si="11">IF($B4="","",SUMIFS(LN_Net,LN_Space,$B4,LN_Unit,"م.ط"))</f>
        <v/>
      </c>
      <c r="P4" s="14" t="str">
        <f t="shared" ref="P4:P35" si="12">IF($B4="","",SUMIFS(FL_Net,FL_Space,$B4,FL_Unit,"عدد")+SUMIFS(WL_Net,WL_Space,$B4,WL_Unit,"عدد")+SUMIFS(CL_Net,CL_Space,$B4,CL_Unit,"عدد")+SUMIFS(PL_Net,PL_Space,$B4,PL_Unit,"عدد")+SUMIFS(LN_Net,LN_Space,$B4,LN_Unit,"عدد"))</f>
        <v/>
      </c>
      <c r="Q4" s="15" t="str">
        <f t="shared" ref="Q4:Q35" si="13">IF($B4="","",COUNTIFS(OP_Space,$B4))</f>
        <v/>
      </c>
      <c r="R4" s="15" t="str">
        <f t="shared" ref="R4:R35" si="14">IF($B4="","",COUNTIFS(FL_Space,$B4)-COUNTIFS(FL_Space,$B4,FL_Status,"مكتمل")-COUNTIFS(FL_Space,$B4,FL_Status,"مستبعد من الحصر")+COUNTIFS(CL_Space,$B4)-COUNTIFS(CL_Space,$B4,CL_Status,"مكتمل")-COUNTIFS(CL_Space,$B4,CL_Status,"مستبعد من الحصر")+COUNTIFS(WL_Space,$B4)-COUNTIFS(WL_Space,$B4,WL_Status,"مكتمل")+COUNTIFS(PL_Space,$B4)-COUNTIFS(PL_Space,$B4,PL_Status,"مكتمل")+COUNTIFS(LN_Space,$B4)-COUNTIFS(LN_Space,$B4,LN_Status,"مكتمل")+COUNTIFS(OP_Space,$B4)-COUNTIFS(OP_Space,$B4,OP_Status,"مكتمل"))</f>
        <v/>
      </c>
    </row>
    <row r="5" spans="1:18" x14ac:dyDescent="0.25">
      <c r="A5" s="8">
        <v>2</v>
      </c>
      <c r="B5" s="8" t="str">
        <f>IF('سجل الفراغات'!B5="","",'سجل الفراغات'!B5)</f>
        <v/>
      </c>
      <c r="C5" s="33" t="str">
        <f>IF($B5="","",'سجل الفراغات'!C5&amp;"")</f>
        <v/>
      </c>
      <c r="D5" s="8" t="str">
        <f>IF($B5="","",'سجل الفراغات'!D5&amp;"")</f>
        <v/>
      </c>
      <c r="E5" s="14" t="str">
        <f t="shared" si="1"/>
        <v/>
      </c>
      <c r="F5" s="14" t="str">
        <f t="shared" si="2"/>
        <v/>
      </c>
      <c r="G5" s="14" t="str">
        <f t="shared" si="3"/>
        <v/>
      </c>
      <c r="H5" s="14" t="str">
        <f t="shared" si="4"/>
        <v/>
      </c>
      <c r="I5" s="14" t="str">
        <f t="shared" si="5"/>
        <v/>
      </c>
      <c r="J5" s="14" t="str">
        <f t="shared" si="6"/>
        <v/>
      </c>
      <c r="K5" s="14" t="str">
        <f t="shared" si="7"/>
        <v/>
      </c>
      <c r="L5" s="14" t="str">
        <f t="shared" si="8"/>
        <v/>
      </c>
      <c r="M5" s="14" t="str">
        <f t="shared" si="9"/>
        <v/>
      </c>
      <c r="N5" s="14" t="str">
        <f t="shared" si="10"/>
        <v/>
      </c>
      <c r="O5" s="14" t="str">
        <f t="shared" si="11"/>
        <v/>
      </c>
      <c r="P5" s="14" t="str">
        <f t="shared" si="12"/>
        <v/>
      </c>
      <c r="Q5" s="15" t="str">
        <f t="shared" si="13"/>
        <v/>
      </c>
      <c r="R5" s="15" t="str">
        <f t="shared" si="14"/>
        <v/>
      </c>
    </row>
    <row r="6" spans="1:18" x14ac:dyDescent="0.25">
      <c r="A6" s="8">
        <v>3</v>
      </c>
      <c r="B6" s="8" t="str">
        <f>IF('سجل الفراغات'!B6="","",'سجل الفراغات'!B6)</f>
        <v/>
      </c>
      <c r="C6" s="33" t="str">
        <f>IF($B6="","",'سجل الفراغات'!C6&amp;"")</f>
        <v/>
      </c>
      <c r="D6" s="8" t="str">
        <f>IF($B6="","",'سجل الفراغات'!D6&amp;"")</f>
        <v/>
      </c>
      <c r="E6" s="14" t="str">
        <f t="shared" si="1"/>
        <v/>
      </c>
      <c r="F6" s="14" t="str">
        <f t="shared" si="2"/>
        <v/>
      </c>
      <c r="G6" s="14" t="str">
        <f t="shared" si="3"/>
        <v/>
      </c>
      <c r="H6" s="14" t="str">
        <f t="shared" si="4"/>
        <v/>
      </c>
      <c r="I6" s="14" t="str">
        <f t="shared" si="5"/>
        <v/>
      </c>
      <c r="J6" s="14" t="str">
        <f t="shared" si="6"/>
        <v/>
      </c>
      <c r="K6" s="14" t="str">
        <f t="shared" si="7"/>
        <v/>
      </c>
      <c r="L6" s="14" t="str">
        <f t="shared" si="8"/>
        <v/>
      </c>
      <c r="M6" s="14" t="str">
        <f t="shared" si="9"/>
        <v/>
      </c>
      <c r="N6" s="14" t="str">
        <f t="shared" si="10"/>
        <v/>
      </c>
      <c r="O6" s="14" t="str">
        <f t="shared" si="11"/>
        <v/>
      </c>
      <c r="P6" s="14" t="str">
        <f t="shared" si="12"/>
        <v/>
      </c>
      <c r="Q6" s="15" t="str">
        <f t="shared" si="13"/>
        <v/>
      </c>
      <c r="R6" s="15" t="str">
        <f t="shared" si="14"/>
        <v/>
      </c>
    </row>
    <row r="7" spans="1:18" x14ac:dyDescent="0.25">
      <c r="A7" s="8">
        <v>4</v>
      </c>
      <c r="B7" s="8" t="str">
        <f>IF('سجل الفراغات'!B7="","",'سجل الفراغات'!B7)</f>
        <v/>
      </c>
      <c r="C7" s="33" t="str">
        <f>IF($B7="","",'سجل الفراغات'!C7&amp;"")</f>
        <v/>
      </c>
      <c r="D7" s="8" t="str">
        <f>IF($B7="","",'سجل الفراغات'!D7&amp;"")</f>
        <v/>
      </c>
      <c r="E7" s="14" t="str">
        <f t="shared" si="1"/>
        <v/>
      </c>
      <c r="F7" s="14" t="str">
        <f t="shared" si="2"/>
        <v/>
      </c>
      <c r="G7" s="14" t="str">
        <f t="shared" si="3"/>
        <v/>
      </c>
      <c r="H7" s="14" t="str">
        <f t="shared" si="4"/>
        <v/>
      </c>
      <c r="I7" s="14" t="str">
        <f t="shared" si="5"/>
        <v/>
      </c>
      <c r="J7" s="14" t="str">
        <f t="shared" si="6"/>
        <v/>
      </c>
      <c r="K7" s="14" t="str">
        <f t="shared" si="7"/>
        <v/>
      </c>
      <c r="L7" s="14" t="str">
        <f t="shared" si="8"/>
        <v/>
      </c>
      <c r="M7" s="14" t="str">
        <f t="shared" si="9"/>
        <v/>
      </c>
      <c r="N7" s="14" t="str">
        <f t="shared" si="10"/>
        <v/>
      </c>
      <c r="O7" s="14" t="str">
        <f t="shared" si="11"/>
        <v/>
      </c>
      <c r="P7" s="14" t="str">
        <f t="shared" si="12"/>
        <v/>
      </c>
      <c r="Q7" s="15" t="str">
        <f t="shared" si="13"/>
        <v/>
      </c>
      <c r="R7" s="15" t="str">
        <f t="shared" si="14"/>
        <v/>
      </c>
    </row>
    <row r="8" spans="1:18" x14ac:dyDescent="0.25">
      <c r="A8" s="8">
        <v>5</v>
      </c>
      <c r="B8" s="8" t="str">
        <f>IF('سجل الفراغات'!B8="","",'سجل الفراغات'!B8)</f>
        <v/>
      </c>
      <c r="C8" s="33" t="str">
        <f>IF($B8="","",'سجل الفراغات'!C8&amp;"")</f>
        <v/>
      </c>
      <c r="D8" s="8" t="str">
        <f>IF($B8="","",'سجل الفراغات'!D8&amp;"")</f>
        <v/>
      </c>
      <c r="E8" s="14" t="str">
        <f t="shared" si="1"/>
        <v/>
      </c>
      <c r="F8" s="14" t="str">
        <f t="shared" si="2"/>
        <v/>
      </c>
      <c r="G8" s="14" t="str">
        <f t="shared" si="3"/>
        <v/>
      </c>
      <c r="H8" s="14" t="str">
        <f t="shared" si="4"/>
        <v/>
      </c>
      <c r="I8" s="14" t="str">
        <f t="shared" si="5"/>
        <v/>
      </c>
      <c r="J8" s="14" t="str">
        <f t="shared" si="6"/>
        <v/>
      </c>
      <c r="K8" s="14" t="str">
        <f t="shared" si="7"/>
        <v/>
      </c>
      <c r="L8" s="14" t="str">
        <f t="shared" si="8"/>
        <v/>
      </c>
      <c r="M8" s="14" t="str">
        <f t="shared" si="9"/>
        <v/>
      </c>
      <c r="N8" s="14" t="str">
        <f t="shared" si="10"/>
        <v/>
      </c>
      <c r="O8" s="14" t="str">
        <f t="shared" si="11"/>
        <v/>
      </c>
      <c r="P8" s="14" t="str">
        <f t="shared" si="12"/>
        <v/>
      </c>
      <c r="Q8" s="15" t="str">
        <f t="shared" si="13"/>
        <v/>
      </c>
      <c r="R8" s="15" t="str">
        <f t="shared" si="14"/>
        <v/>
      </c>
    </row>
    <row r="9" spans="1:18" x14ac:dyDescent="0.25">
      <c r="A9" s="8">
        <v>6</v>
      </c>
      <c r="B9" s="8" t="str">
        <f>IF('سجل الفراغات'!B9="","",'سجل الفراغات'!B9)</f>
        <v/>
      </c>
      <c r="C9" s="33" t="str">
        <f>IF($B9="","",'سجل الفراغات'!C9&amp;"")</f>
        <v/>
      </c>
      <c r="D9" s="8" t="str">
        <f>IF($B9="","",'سجل الفراغات'!D9&amp;"")</f>
        <v/>
      </c>
      <c r="E9" s="14" t="str">
        <f t="shared" si="1"/>
        <v/>
      </c>
      <c r="F9" s="14" t="str">
        <f t="shared" si="2"/>
        <v/>
      </c>
      <c r="G9" s="14" t="str">
        <f t="shared" si="3"/>
        <v/>
      </c>
      <c r="H9" s="14" t="str">
        <f t="shared" si="4"/>
        <v/>
      </c>
      <c r="I9" s="14" t="str">
        <f t="shared" si="5"/>
        <v/>
      </c>
      <c r="J9" s="14" t="str">
        <f t="shared" si="6"/>
        <v/>
      </c>
      <c r="K9" s="14" t="str">
        <f t="shared" si="7"/>
        <v/>
      </c>
      <c r="L9" s="14" t="str">
        <f t="shared" si="8"/>
        <v/>
      </c>
      <c r="M9" s="14" t="str">
        <f t="shared" si="9"/>
        <v/>
      </c>
      <c r="N9" s="14" t="str">
        <f t="shared" si="10"/>
        <v/>
      </c>
      <c r="O9" s="14" t="str">
        <f t="shared" si="11"/>
        <v/>
      </c>
      <c r="P9" s="14" t="str">
        <f t="shared" si="12"/>
        <v/>
      </c>
      <c r="Q9" s="15" t="str">
        <f t="shared" si="13"/>
        <v/>
      </c>
      <c r="R9" s="15" t="str">
        <f t="shared" si="14"/>
        <v/>
      </c>
    </row>
    <row r="10" spans="1:18" x14ac:dyDescent="0.25">
      <c r="A10" s="8">
        <v>7</v>
      </c>
      <c r="B10" s="8" t="str">
        <f>IF('سجل الفراغات'!B10="","",'سجل الفراغات'!B10)</f>
        <v/>
      </c>
      <c r="C10" s="33" t="str">
        <f>IF($B10="","",'سجل الفراغات'!C10&amp;"")</f>
        <v/>
      </c>
      <c r="D10" s="8" t="str">
        <f>IF($B10="","",'سجل الفراغات'!D10&amp;"")</f>
        <v/>
      </c>
      <c r="E10" s="14" t="str">
        <f t="shared" si="1"/>
        <v/>
      </c>
      <c r="F10" s="14" t="str">
        <f t="shared" si="2"/>
        <v/>
      </c>
      <c r="G10" s="14" t="str">
        <f t="shared" si="3"/>
        <v/>
      </c>
      <c r="H10" s="14" t="str">
        <f t="shared" si="4"/>
        <v/>
      </c>
      <c r="I10" s="14" t="str">
        <f t="shared" si="5"/>
        <v/>
      </c>
      <c r="J10" s="14" t="str">
        <f t="shared" si="6"/>
        <v/>
      </c>
      <c r="K10" s="14" t="str">
        <f t="shared" si="7"/>
        <v/>
      </c>
      <c r="L10" s="14" t="str">
        <f t="shared" si="8"/>
        <v/>
      </c>
      <c r="M10" s="14" t="str">
        <f t="shared" si="9"/>
        <v/>
      </c>
      <c r="N10" s="14" t="str">
        <f t="shared" si="10"/>
        <v/>
      </c>
      <c r="O10" s="14" t="str">
        <f t="shared" si="11"/>
        <v/>
      </c>
      <c r="P10" s="14" t="str">
        <f t="shared" si="12"/>
        <v/>
      </c>
      <c r="Q10" s="15" t="str">
        <f t="shared" si="13"/>
        <v/>
      </c>
      <c r="R10" s="15" t="str">
        <f t="shared" si="14"/>
        <v/>
      </c>
    </row>
    <row r="11" spans="1:18" x14ac:dyDescent="0.25">
      <c r="A11" s="8">
        <v>8</v>
      </c>
      <c r="B11" s="8" t="str">
        <f>IF('سجل الفراغات'!B11="","",'سجل الفراغات'!B11)</f>
        <v/>
      </c>
      <c r="C11" s="33" t="str">
        <f>IF($B11="","",'سجل الفراغات'!C11&amp;"")</f>
        <v/>
      </c>
      <c r="D11" s="8" t="str">
        <f>IF($B11="","",'سجل الفراغات'!D11&amp;"")</f>
        <v/>
      </c>
      <c r="E11" s="14" t="str">
        <f t="shared" si="1"/>
        <v/>
      </c>
      <c r="F11" s="14" t="str">
        <f t="shared" si="2"/>
        <v/>
      </c>
      <c r="G11" s="14" t="str">
        <f t="shared" si="3"/>
        <v/>
      </c>
      <c r="H11" s="14" t="str">
        <f t="shared" si="4"/>
        <v/>
      </c>
      <c r="I11" s="14" t="str">
        <f t="shared" si="5"/>
        <v/>
      </c>
      <c r="J11" s="14" t="str">
        <f t="shared" si="6"/>
        <v/>
      </c>
      <c r="K11" s="14" t="str">
        <f t="shared" si="7"/>
        <v/>
      </c>
      <c r="L11" s="14" t="str">
        <f t="shared" si="8"/>
        <v/>
      </c>
      <c r="M11" s="14" t="str">
        <f t="shared" si="9"/>
        <v/>
      </c>
      <c r="N11" s="14" t="str">
        <f t="shared" si="10"/>
        <v/>
      </c>
      <c r="O11" s="14" t="str">
        <f t="shared" si="11"/>
        <v/>
      </c>
      <c r="P11" s="14" t="str">
        <f t="shared" si="12"/>
        <v/>
      </c>
      <c r="Q11" s="15" t="str">
        <f t="shared" si="13"/>
        <v/>
      </c>
      <c r="R11" s="15" t="str">
        <f t="shared" si="14"/>
        <v/>
      </c>
    </row>
    <row r="12" spans="1:18" x14ac:dyDescent="0.25">
      <c r="A12" s="8">
        <v>9</v>
      </c>
      <c r="B12" s="8" t="str">
        <f>IF('سجل الفراغات'!B12="","",'سجل الفراغات'!B12)</f>
        <v/>
      </c>
      <c r="C12" s="33" t="str">
        <f>IF($B12="","",'سجل الفراغات'!C12&amp;"")</f>
        <v/>
      </c>
      <c r="D12" s="8" t="str">
        <f>IF($B12="","",'سجل الفراغات'!D12&amp;"")</f>
        <v/>
      </c>
      <c r="E12" s="14" t="str">
        <f t="shared" si="1"/>
        <v/>
      </c>
      <c r="F12" s="14" t="str">
        <f t="shared" si="2"/>
        <v/>
      </c>
      <c r="G12" s="14" t="str">
        <f t="shared" si="3"/>
        <v/>
      </c>
      <c r="H12" s="14" t="str">
        <f t="shared" si="4"/>
        <v/>
      </c>
      <c r="I12" s="14" t="str">
        <f t="shared" si="5"/>
        <v/>
      </c>
      <c r="J12" s="14" t="str">
        <f t="shared" si="6"/>
        <v/>
      </c>
      <c r="K12" s="14" t="str">
        <f t="shared" si="7"/>
        <v/>
      </c>
      <c r="L12" s="14" t="str">
        <f t="shared" si="8"/>
        <v/>
      </c>
      <c r="M12" s="14" t="str">
        <f t="shared" si="9"/>
        <v/>
      </c>
      <c r="N12" s="14" t="str">
        <f t="shared" si="10"/>
        <v/>
      </c>
      <c r="O12" s="14" t="str">
        <f t="shared" si="11"/>
        <v/>
      </c>
      <c r="P12" s="14" t="str">
        <f t="shared" si="12"/>
        <v/>
      </c>
      <c r="Q12" s="15" t="str">
        <f t="shared" si="13"/>
        <v/>
      </c>
      <c r="R12" s="15" t="str">
        <f t="shared" si="14"/>
        <v/>
      </c>
    </row>
    <row r="13" spans="1:18" x14ac:dyDescent="0.25">
      <c r="A13" s="8">
        <v>10</v>
      </c>
      <c r="B13" s="8" t="str">
        <f>IF('سجل الفراغات'!B13="","",'سجل الفراغات'!B13)</f>
        <v/>
      </c>
      <c r="C13" s="33" t="str">
        <f>IF($B13="","",'سجل الفراغات'!C13&amp;"")</f>
        <v/>
      </c>
      <c r="D13" s="8" t="str">
        <f>IF($B13="","",'سجل الفراغات'!D13&amp;"")</f>
        <v/>
      </c>
      <c r="E13" s="14" t="str">
        <f t="shared" si="1"/>
        <v/>
      </c>
      <c r="F13" s="14" t="str">
        <f t="shared" si="2"/>
        <v/>
      </c>
      <c r="G13" s="14" t="str">
        <f t="shared" si="3"/>
        <v/>
      </c>
      <c r="H13" s="14" t="str">
        <f t="shared" si="4"/>
        <v/>
      </c>
      <c r="I13" s="14" t="str">
        <f t="shared" si="5"/>
        <v/>
      </c>
      <c r="J13" s="14" t="str">
        <f t="shared" si="6"/>
        <v/>
      </c>
      <c r="K13" s="14" t="str">
        <f t="shared" si="7"/>
        <v/>
      </c>
      <c r="L13" s="14" t="str">
        <f t="shared" si="8"/>
        <v/>
      </c>
      <c r="M13" s="14" t="str">
        <f t="shared" si="9"/>
        <v/>
      </c>
      <c r="N13" s="14" t="str">
        <f t="shared" si="10"/>
        <v/>
      </c>
      <c r="O13" s="14" t="str">
        <f t="shared" si="11"/>
        <v/>
      </c>
      <c r="P13" s="14" t="str">
        <f t="shared" si="12"/>
        <v/>
      </c>
      <c r="Q13" s="15" t="str">
        <f t="shared" si="13"/>
        <v/>
      </c>
      <c r="R13" s="15" t="str">
        <f t="shared" si="14"/>
        <v/>
      </c>
    </row>
    <row r="14" spans="1:18" x14ac:dyDescent="0.25">
      <c r="A14" s="8">
        <v>11</v>
      </c>
      <c r="B14" s="8" t="str">
        <f>IF('سجل الفراغات'!B14="","",'سجل الفراغات'!B14)</f>
        <v/>
      </c>
      <c r="C14" s="33" t="str">
        <f>IF($B14="","",'سجل الفراغات'!C14&amp;"")</f>
        <v/>
      </c>
      <c r="D14" s="8" t="str">
        <f>IF($B14="","",'سجل الفراغات'!D14&amp;"")</f>
        <v/>
      </c>
      <c r="E14" s="14" t="str">
        <f t="shared" si="1"/>
        <v/>
      </c>
      <c r="F14" s="14" t="str">
        <f t="shared" si="2"/>
        <v/>
      </c>
      <c r="G14" s="14" t="str">
        <f t="shared" si="3"/>
        <v/>
      </c>
      <c r="H14" s="14" t="str">
        <f t="shared" si="4"/>
        <v/>
      </c>
      <c r="I14" s="14" t="str">
        <f t="shared" si="5"/>
        <v/>
      </c>
      <c r="J14" s="14" t="str">
        <f t="shared" si="6"/>
        <v/>
      </c>
      <c r="K14" s="14" t="str">
        <f t="shared" si="7"/>
        <v/>
      </c>
      <c r="L14" s="14" t="str">
        <f t="shared" si="8"/>
        <v/>
      </c>
      <c r="M14" s="14" t="str">
        <f t="shared" si="9"/>
        <v/>
      </c>
      <c r="N14" s="14" t="str">
        <f t="shared" si="10"/>
        <v/>
      </c>
      <c r="O14" s="14" t="str">
        <f t="shared" si="11"/>
        <v/>
      </c>
      <c r="P14" s="14" t="str">
        <f t="shared" si="12"/>
        <v/>
      </c>
      <c r="Q14" s="15" t="str">
        <f t="shared" si="13"/>
        <v/>
      </c>
      <c r="R14" s="15" t="str">
        <f t="shared" si="14"/>
        <v/>
      </c>
    </row>
    <row r="15" spans="1:18" x14ac:dyDescent="0.25">
      <c r="A15" s="8">
        <v>12</v>
      </c>
      <c r="B15" s="8" t="str">
        <f>IF('سجل الفراغات'!B15="","",'سجل الفراغات'!B15)</f>
        <v/>
      </c>
      <c r="C15" s="33" t="str">
        <f>IF($B15="","",'سجل الفراغات'!C15&amp;"")</f>
        <v/>
      </c>
      <c r="D15" s="8" t="str">
        <f>IF($B15="","",'سجل الفراغات'!D15&amp;"")</f>
        <v/>
      </c>
      <c r="E15" s="14" t="str">
        <f t="shared" si="1"/>
        <v/>
      </c>
      <c r="F15" s="14" t="str">
        <f t="shared" si="2"/>
        <v/>
      </c>
      <c r="G15" s="14" t="str">
        <f t="shared" si="3"/>
        <v/>
      </c>
      <c r="H15" s="14" t="str">
        <f t="shared" si="4"/>
        <v/>
      </c>
      <c r="I15" s="14" t="str">
        <f t="shared" si="5"/>
        <v/>
      </c>
      <c r="J15" s="14" t="str">
        <f t="shared" si="6"/>
        <v/>
      </c>
      <c r="K15" s="14" t="str">
        <f t="shared" si="7"/>
        <v/>
      </c>
      <c r="L15" s="14" t="str">
        <f t="shared" si="8"/>
        <v/>
      </c>
      <c r="M15" s="14" t="str">
        <f t="shared" si="9"/>
        <v/>
      </c>
      <c r="N15" s="14" t="str">
        <f t="shared" si="10"/>
        <v/>
      </c>
      <c r="O15" s="14" t="str">
        <f t="shared" si="11"/>
        <v/>
      </c>
      <c r="P15" s="14" t="str">
        <f t="shared" si="12"/>
        <v/>
      </c>
      <c r="Q15" s="15" t="str">
        <f t="shared" si="13"/>
        <v/>
      </c>
      <c r="R15" s="15" t="str">
        <f t="shared" si="14"/>
        <v/>
      </c>
    </row>
    <row r="16" spans="1:18" x14ac:dyDescent="0.25">
      <c r="A16" s="8">
        <v>13</v>
      </c>
      <c r="B16" s="8" t="str">
        <f>IF('سجل الفراغات'!B16="","",'سجل الفراغات'!B16)</f>
        <v/>
      </c>
      <c r="C16" s="33" t="str">
        <f>IF($B16="","",'سجل الفراغات'!C16&amp;"")</f>
        <v/>
      </c>
      <c r="D16" s="8" t="str">
        <f>IF($B16="","",'سجل الفراغات'!D16&amp;"")</f>
        <v/>
      </c>
      <c r="E16" s="14" t="str">
        <f t="shared" si="1"/>
        <v/>
      </c>
      <c r="F16" s="14" t="str">
        <f t="shared" si="2"/>
        <v/>
      </c>
      <c r="G16" s="14" t="str">
        <f t="shared" si="3"/>
        <v/>
      </c>
      <c r="H16" s="14" t="str">
        <f t="shared" si="4"/>
        <v/>
      </c>
      <c r="I16" s="14" t="str">
        <f t="shared" si="5"/>
        <v/>
      </c>
      <c r="J16" s="14" t="str">
        <f t="shared" si="6"/>
        <v/>
      </c>
      <c r="K16" s="14" t="str">
        <f t="shared" si="7"/>
        <v/>
      </c>
      <c r="L16" s="14" t="str">
        <f t="shared" si="8"/>
        <v/>
      </c>
      <c r="M16" s="14" t="str">
        <f t="shared" si="9"/>
        <v/>
      </c>
      <c r="N16" s="14" t="str">
        <f t="shared" si="10"/>
        <v/>
      </c>
      <c r="O16" s="14" t="str">
        <f t="shared" si="11"/>
        <v/>
      </c>
      <c r="P16" s="14" t="str">
        <f t="shared" si="12"/>
        <v/>
      </c>
      <c r="Q16" s="15" t="str">
        <f t="shared" si="13"/>
        <v/>
      </c>
      <c r="R16" s="15" t="str">
        <f t="shared" si="14"/>
        <v/>
      </c>
    </row>
    <row r="17" spans="1:18" x14ac:dyDescent="0.25">
      <c r="A17" s="8">
        <v>14</v>
      </c>
      <c r="B17" s="8" t="str">
        <f>IF('سجل الفراغات'!B17="","",'سجل الفراغات'!B17)</f>
        <v/>
      </c>
      <c r="C17" s="33" t="str">
        <f>IF($B17="","",'سجل الفراغات'!C17&amp;"")</f>
        <v/>
      </c>
      <c r="D17" s="8" t="str">
        <f>IF($B17="","",'سجل الفراغات'!D17&amp;"")</f>
        <v/>
      </c>
      <c r="E17" s="14" t="str">
        <f t="shared" si="1"/>
        <v/>
      </c>
      <c r="F17" s="14" t="str">
        <f t="shared" si="2"/>
        <v/>
      </c>
      <c r="G17" s="14" t="str">
        <f t="shared" si="3"/>
        <v/>
      </c>
      <c r="H17" s="14" t="str">
        <f t="shared" si="4"/>
        <v/>
      </c>
      <c r="I17" s="14" t="str">
        <f t="shared" si="5"/>
        <v/>
      </c>
      <c r="J17" s="14" t="str">
        <f t="shared" si="6"/>
        <v/>
      </c>
      <c r="K17" s="14" t="str">
        <f t="shared" si="7"/>
        <v/>
      </c>
      <c r="L17" s="14" t="str">
        <f t="shared" si="8"/>
        <v/>
      </c>
      <c r="M17" s="14" t="str">
        <f t="shared" si="9"/>
        <v/>
      </c>
      <c r="N17" s="14" t="str">
        <f t="shared" si="10"/>
        <v/>
      </c>
      <c r="O17" s="14" t="str">
        <f t="shared" si="11"/>
        <v/>
      </c>
      <c r="P17" s="14" t="str">
        <f t="shared" si="12"/>
        <v/>
      </c>
      <c r="Q17" s="15" t="str">
        <f t="shared" si="13"/>
        <v/>
      </c>
      <c r="R17" s="15" t="str">
        <f t="shared" si="14"/>
        <v/>
      </c>
    </row>
    <row r="18" spans="1:18" x14ac:dyDescent="0.25">
      <c r="A18" s="8">
        <v>15</v>
      </c>
      <c r="B18" s="8" t="str">
        <f>IF('سجل الفراغات'!B18="","",'سجل الفراغات'!B18)</f>
        <v/>
      </c>
      <c r="C18" s="33" t="str">
        <f>IF($B18="","",'سجل الفراغات'!C18&amp;"")</f>
        <v/>
      </c>
      <c r="D18" s="8" t="str">
        <f>IF($B18="","",'سجل الفراغات'!D18&amp;"")</f>
        <v/>
      </c>
      <c r="E18" s="14" t="str">
        <f t="shared" si="1"/>
        <v/>
      </c>
      <c r="F18" s="14" t="str">
        <f t="shared" si="2"/>
        <v/>
      </c>
      <c r="G18" s="14" t="str">
        <f t="shared" si="3"/>
        <v/>
      </c>
      <c r="H18" s="14" t="str">
        <f t="shared" si="4"/>
        <v/>
      </c>
      <c r="I18" s="14" t="str">
        <f t="shared" si="5"/>
        <v/>
      </c>
      <c r="J18" s="14" t="str">
        <f t="shared" si="6"/>
        <v/>
      </c>
      <c r="K18" s="14" t="str">
        <f t="shared" si="7"/>
        <v/>
      </c>
      <c r="L18" s="14" t="str">
        <f t="shared" si="8"/>
        <v/>
      </c>
      <c r="M18" s="14" t="str">
        <f t="shared" si="9"/>
        <v/>
      </c>
      <c r="N18" s="14" t="str">
        <f t="shared" si="10"/>
        <v/>
      </c>
      <c r="O18" s="14" t="str">
        <f t="shared" si="11"/>
        <v/>
      </c>
      <c r="P18" s="14" t="str">
        <f t="shared" si="12"/>
        <v/>
      </c>
      <c r="Q18" s="15" t="str">
        <f t="shared" si="13"/>
        <v/>
      </c>
      <c r="R18" s="15" t="str">
        <f t="shared" si="14"/>
        <v/>
      </c>
    </row>
    <row r="19" spans="1:18" x14ac:dyDescent="0.25">
      <c r="A19" s="8">
        <v>16</v>
      </c>
      <c r="B19" s="8" t="str">
        <f>IF('سجل الفراغات'!B19="","",'سجل الفراغات'!B19)</f>
        <v/>
      </c>
      <c r="C19" s="33" t="str">
        <f>IF($B19="","",'سجل الفراغات'!C19&amp;"")</f>
        <v/>
      </c>
      <c r="D19" s="8" t="str">
        <f>IF($B19="","",'سجل الفراغات'!D19&amp;"")</f>
        <v/>
      </c>
      <c r="E19" s="14" t="str">
        <f t="shared" si="1"/>
        <v/>
      </c>
      <c r="F19" s="14" t="str">
        <f t="shared" si="2"/>
        <v/>
      </c>
      <c r="G19" s="14" t="str">
        <f t="shared" si="3"/>
        <v/>
      </c>
      <c r="H19" s="14" t="str">
        <f t="shared" si="4"/>
        <v/>
      </c>
      <c r="I19" s="14" t="str">
        <f t="shared" si="5"/>
        <v/>
      </c>
      <c r="J19" s="14" t="str">
        <f t="shared" si="6"/>
        <v/>
      </c>
      <c r="K19" s="14" t="str">
        <f t="shared" si="7"/>
        <v/>
      </c>
      <c r="L19" s="14" t="str">
        <f t="shared" si="8"/>
        <v/>
      </c>
      <c r="M19" s="14" t="str">
        <f t="shared" si="9"/>
        <v/>
      </c>
      <c r="N19" s="14" t="str">
        <f t="shared" si="10"/>
        <v/>
      </c>
      <c r="O19" s="14" t="str">
        <f t="shared" si="11"/>
        <v/>
      </c>
      <c r="P19" s="14" t="str">
        <f t="shared" si="12"/>
        <v/>
      </c>
      <c r="Q19" s="15" t="str">
        <f t="shared" si="13"/>
        <v/>
      </c>
      <c r="R19" s="15" t="str">
        <f t="shared" si="14"/>
        <v/>
      </c>
    </row>
    <row r="20" spans="1:18" x14ac:dyDescent="0.25">
      <c r="A20" s="8">
        <v>17</v>
      </c>
      <c r="B20" s="8" t="str">
        <f>IF('سجل الفراغات'!B20="","",'سجل الفراغات'!B20)</f>
        <v/>
      </c>
      <c r="C20" s="33" t="str">
        <f>IF($B20="","",'سجل الفراغات'!C20&amp;"")</f>
        <v/>
      </c>
      <c r="D20" s="8" t="str">
        <f>IF($B20="","",'سجل الفراغات'!D20&amp;"")</f>
        <v/>
      </c>
      <c r="E20" s="14" t="str">
        <f t="shared" si="1"/>
        <v/>
      </c>
      <c r="F20" s="14" t="str">
        <f t="shared" si="2"/>
        <v/>
      </c>
      <c r="G20" s="14" t="str">
        <f t="shared" si="3"/>
        <v/>
      </c>
      <c r="H20" s="14" t="str">
        <f t="shared" si="4"/>
        <v/>
      </c>
      <c r="I20" s="14" t="str">
        <f t="shared" si="5"/>
        <v/>
      </c>
      <c r="J20" s="14" t="str">
        <f t="shared" si="6"/>
        <v/>
      </c>
      <c r="K20" s="14" t="str">
        <f t="shared" si="7"/>
        <v/>
      </c>
      <c r="L20" s="14" t="str">
        <f t="shared" si="8"/>
        <v/>
      </c>
      <c r="M20" s="14" t="str">
        <f t="shared" si="9"/>
        <v/>
      </c>
      <c r="N20" s="14" t="str">
        <f t="shared" si="10"/>
        <v/>
      </c>
      <c r="O20" s="14" t="str">
        <f t="shared" si="11"/>
        <v/>
      </c>
      <c r="P20" s="14" t="str">
        <f t="shared" si="12"/>
        <v/>
      </c>
      <c r="Q20" s="15" t="str">
        <f t="shared" si="13"/>
        <v/>
      </c>
      <c r="R20" s="15" t="str">
        <f t="shared" si="14"/>
        <v/>
      </c>
    </row>
    <row r="21" spans="1:18" x14ac:dyDescent="0.25">
      <c r="A21" s="8">
        <v>18</v>
      </c>
      <c r="B21" s="8" t="str">
        <f>IF('سجل الفراغات'!B21="","",'سجل الفراغات'!B21)</f>
        <v/>
      </c>
      <c r="C21" s="33" t="str">
        <f>IF($B21="","",'سجل الفراغات'!C21&amp;"")</f>
        <v/>
      </c>
      <c r="D21" s="8" t="str">
        <f>IF($B21="","",'سجل الفراغات'!D21&amp;"")</f>
        <v/>
      </c>
      <c r="E21" s="14" t="str">
        <f t="shared" si="1"/>
        <v/>
      </c>
      <c r="F21" s="14" t="str">
        <f t="shared" si="2"/>
        <v/>
      </c>
      <c r="G21" s="14" t="str">
        <f t="shared" si="3"/>
        <v/>
      </c>
      <c r="H21" s="14" t="str">
        <f t="shared" si="4"/>
        <v/>
      </c>
      <c r="I21" s="14" t="str">
        <f t="shared" si="5"/>
        <v/>
      </c>
      <c r="J21" s="14" t="str">
        <f t="shared" si="6"/>
        <v/>
      </c>
      <c r="K21" s="14" t="str">
        <f t="shared" si="7"/>
        <v/>
      </c>
      <c r="L21" s="14" t="str">
        <f t="shared" si="8"/>
        <v/>
      </c>
      <c r="M21" s="14" t="str">
        <f t="shared" si="9"/>
        <v/>
      </c>
      <c r="N21" s="14" t="str">
        <f t="shared" si="10"/>
        <v/>
      </c>
      <c r="O21" s="14" t="str">
        <f t="shared" si="11"/>
        <v/>
      </c>
      <c r="P21" s="14" t="str">
        <f t="shared" si="12"/>
        <v/>
      </c>
      <c r="Q21" s="15" t="str">
        <f t="shared" si="13"/>
        <v/>
      </c>
      <c r="R21" s="15" t="str">
        <f t="shared" si="14"/>
        <v/>
      </c>
    </row>
    <row r="22" spans="1:18" x14ac:dyDescent="0.25">
      <c r="A22" s="8">
        <v>19</v>
      </c>
      <c r="B22" s="8" t="str">
        <f>IF('سجل الفراغات'!B22="","",'سجل الفراغات'!B22)</f>
        <v/>
      </c>
      <c r="C22" s="33" t="str">
        <f>IF($B22="","",'سجل الفراغات'!C22&amp;"")</f>
        <v/>
      </c>
      <c r="D22" s="8" t="str">
        <f>IF($B22="","",'سجل الفراغات'!D22&amp;"")</f>
        <v/>
      </c>
      <c r="E22" s="14" t="str">
        <f t="shared" si="1"/>
        <v/>
      </c>
      <c r="F22" s="14" t="str">
        <f t="shared" si="2"/>
        <v/>
      </c>
      <c r="G22" s="14" t="str">
        <f t="shared" si="3"/>
        <v/>
      </c>
      <c r="H22" s="14" t="str">
        <f t="shared" si="4"/>
        <v/>
      </c>
      <c r="I22" s="14" t="str">
        <f t="shared" si="5"/>
        <v/>
      </c>
      <c r="J22" s="14" t="str">
        <f t="shared" si="6"/>
        <v/>
      </c>
      <c r="K22" s="14" t="str">
        <f t="shared" si="7"/>
        <v/>
      </c>
      <c r="L22" s="14" t="str">
        <f t="shared" si="8"/>
        <v/>
      </c>
      <c r="M22" s="14" t="str">
        <f t="shared" si="9"/>
        <v/>
      </c>
      <c r="N22" s="14" t="str">
        <f t="shared" si="10"/>
        <v/>
      </c>
      <c r="O22" s="14" t="str">
        <f t="shared" si="11"/>
        <v/>
      </c>
      <c r="P22" s="14" t="str">
        <f t="shared" si="12"/>
        <v/>
      </c>
      <c r="Q22" s="15" t="str">
        <f t="shared" si="13"/>
        <v/>
      </c>
      <c r="R22" s="15" t="str">
        <f t="shared" si="14"/>
        <v/>
      </c>
    </row>
    <row r="23" spans="1:18" x14ac:dyDescent="0.25">
      <c r="A23" s="8">
        <v>20</v>
      </c>
      <c r="B23" s="8" t="str">
        <f>IF('سجل الفراغات'!B23="","",'سجل الفراغات'!B23)</f>
        <v/>
      </c>
      <c r="C23" s="33" t="str">
        <f>IF($B23="","",'سجل الفراغات'!C23&amp;"")</f>
        <v/>
      </c>
      <c r="D23" s="8" t="str">
        <f>IF($B23="","",'سجل الفراغات'!D23&amp;"")</f>
        <v/>
      </c>
      <c r="E23" s="14" t="str">
        <f t="shared" si="1"/>
        <v/>
      </c>
      <c r="F23" s="14" t="str">
        <f t="shared" si="2"/>
        <v/>
      </c>
      <c r="G23" s="14" t="str">
        <f t="shared" si="3"/>
        <v/>
      </c>
      <c r="H23" s="14" t="str">
        <f t="shared" si="4"/>
        <v/>
      </c>
      <c r="I23" s="14" t="str">
        <f t="shared" si="5"/>
        <v/>
      </c>
      <c r="J23" s="14" t="str">
        <f t="shared" si="6"/>
        <v/>
      </c>
      <c r="K23" s="14" t="str">
        <f t="shared" si="7"/>
        <v/>
      </c>
      <c r="L23" s="14" t="str">
        <f t="shared" si="8"/>
        <v/>
      </c>
      <c r="M23" s="14" t="str">
        <f t="shared" si="9"/>
        <v/>
      </c>
      <c r="N23" s="14" t="str">
        <f t="shared" si="10"/>
        <v/>
      </c>
      <c r="O23" s="14" t="str">
        <f t="shared" si="11"/>
        <v/>
      </c>
      <c r="P23" s="14" t="str">
        <f t="shared" si="12"/>
        <v/>
      </c>
      <c r="Q23" s="15" t="str">
        <f t="shared" si="13"/>
        <v/>
      </c>
      <c r="R23" s="15" t="str">
        <f t="shared" si="14"/>
        <v/>
      </c>
    </row>
    <row r="24" spans="1:18" x14ac:dyDescent="0.25">
      <c r="A24" s="8">
        <v>21</v>
      </c>
      <c r="B24" s="8" t="str">
        <f>IF('سجل الفراغات'!B24="","",'سجل الفراغات'!B24)</f>
        <v/>
      </c>
      <c r="C24" s="33" t="str">
        <f>IF($B24="","",'سجل الفراغات'!C24&amp;"")</f>
        <v/>
      </c>
      <c r="D24" s="8" t="str">
        <f>IF($B24="","",'سجل الفراغات'!D24&amp;"")</f>
        <v/>
      </c>
      <c r="E24" s="14" t="str">
        <f t="shared" si="1"/>
        <v/>
      </c>
      <c r="F24" s="14" t="str">
        <f t="shared" si="2"/>
        <v/>
      </c>
      <c r="G24" s="14" t="str">
        <f t="shared" si="3"/>
        <v/>
      </c>
      <c r="H24" s="14" t="str">
        <f t="shared" si="4"/>
        <v/>
      </c>
      <c r="I24" s="14" t="str">
        <f t="shared" si="5"/>
        <v/>
      </c>
      <c r="J24" s="14" t="str">
        <f t="shared" si="6"/>
        <v/>
      </c>
      <c r="K24" s="14" t="str">
        <f t="shared" si="7"/>
        <v/>
      </c>
      <c r="L24" s="14" t="str">
        <f t="shared" si="8"/>
        <v/>
      </c>
      <c r="M24" s="14" t="str">
        <f t="shared" si="9"/>
        <v/>
      </c>
      <c r="N24" s="14" t="str">
        <f t="shared" si="10"/>
        <v/>
      </c>
      <c r="O24" s="14" t="str">
        <f t="shared" si="11"/>
        <v/>
      </c>
      <c r="P24" s="14" t="str">
        <f t="shared" si="12"/>
        <v/>
      </c>
      <c r="Q24" s="15" t="str">
        <f t="shared" si="13"/>
        <v/>
      </c>
      <c r="R24" s="15" t="str">
        <f t="shared" si="14"/>
        <v/>
      </c>
    </row>
    <row r="25" spans="1:18" x14ac:dyDescent="0.25">
      <c r="A25" s="8">
        <v>22</v>
      </c>
      <c r="B25" s="8" t="str">
        <f>IF('سجل الفراغات'!B25="","",'سجل الفراغات'!B25)</f>
        <v/>
      </c>
      <c r="C25" s="33" t="str">
        <f>IF($B25="","",'سجل الفراغات'!C25&amp;"")</f>
        <v/>
      </c>
      <c r="D25" s="8" t="str">
        <f>IF($B25="","",'سجل الفراغات'!D25&amp;"")</f>
        <v/>
      </c>
      <c r="E25" s="14" t="str">
        <f t="shared" si="1"/>
        <v/>
      </c>
      <c r="F25" s="14" t="str">
        <f t="shared" si="2"/>
        <v/>
      </c>
      <c r="G25" s="14" t="str">
        <f t="shared" si="3"/>
        <v/>
      </c>
      <c r="H25" s="14" t="str">
        <f t="shared" si="4"/>
        <v/>
      </c>
      <c r="I25" s="14" t="str">
        <f t="shared" si="5"/>
        <v/>
      </c>
      <c r="J25" s="14" t="str">
        <f t="shared" si="6"/>
        <v/>
      </c>
      <c r="K25" s="14" t="str">
        <f t="shared" si="7"/>
        <v/>
      </c>
      <c r="L25" s="14" t="str">
        <f t="shared" si="8"/>
        <v/>
      </c>
      <c r="M25" s="14" t="str">
        <f t="shared" si="9"/>
        <v/>
      </c>
      <c r="N25" s="14" t="str">
        <f t="shared" si="10"/>
        <v/>
      </c>
      <c r="O25" s="14" t="str">
        <f t="shared" si="11"/>
        <v/>
      </c>
      <c r="P25" s="14" t="str">
        <f t="shared" si="12"/>
        <v/>
      </c>
      <c r="Q25" s="15" t="str">
        <f t="shared" si="13"/>
        <v/>
      </c>
      <c r="R25" s="15" t="str">
        <f t="shared" si="14"/>
        <v/>
      </c>
    </row>
    <row r="26" spans="1:18" x14ac:dyDescent="0.25">
      <c r="A26" s="8">
        <v>23</v>
      </c>
      <c r="B26" s="8" t="str">
        <f>IF('سجل الفراغات'!B26="","",'سجل الفراغات'!B26)</f>
        <v/>
      </c>
      <c r="C26" s="33" t="str">
        <f>IF($B26="","",'سجل الفراغات'!C26&amp;"")</f>
        <v/>
      </c>
      <c r="D26" s="8" t="str">
        <f>IF($B26="","",'سجل الفراغات'!D26&amp;"")</f>
        <v/>
      </c>
      <c r="E26" s="14" t="str">
        <f t="shared" si="1"/>
        <v/>
      </c>
      <c r="F26" s="14" t="str">
        <f t="shared" si="2"/>
        <v/>
      </c>
      <c r="G26" s="14" t="str">
        <f t="shared" si="3"/>
        <v/>
      </c>
      <c r="H26" s="14" t="str">
        <f t="shared" si="4"/>
        <v/>
      </c>
      <c r="I26" s="14" t="str">
        <f t="shared" si="5"/>
        <v/>
      </c>
      <c r="J26" s="14" t="str">
        <f t="shared" si="6"/>
        <v/>
      </c>
      <c r="K26" s="14" t="str">
        <f t="shared" si="7"/>
        <v/>
      </c>
      <c r="L26" s="14" t="str">
        <f t="shared" si="8"/>
        <v/>
      </c>
      <c r="M26" s="14" t="str">
        <f t="shared" si="9"/>
        <v/>
      </c>
      <c r="N26" s="14" t="str">
        <f t="shared" si="10"/>
        <v/>
      </c>
      <c r="O26" s="14" t="str">
        <f t="shared" si="11"/>
        <v/>
      </c>
      <c r="P26" s="14" t="str">
        <f t="shared" si="12"/>
        <v/>
      </c>
      <c r="Q26" s="15" t="str">
        <f t="shared" si="13"/>
        <v/>
      </c>
      <c r="R26" s="15" t="str">
        <f t="shared" si="14"/>
        <v/>
      </c>
    </row>
    <row r="27" spans="1:18" x14ac:dyDescent="0.25">
      <c r="A27" s="8">
        <v>24</v>
      </c>
      <c r="B27" s="8" t="str">
        <f>IF('سجل الفراغات'!B27="","",'سجل الفراغات'!B27)</f>
        <v/>
      </c>
      <c r="C27" s="33" t="str">
        <f>IF($B27="","",'سجل الفراغات'!C27&amp;"")</f>
        <v/>
      </c>
      <c r="D27" s="8" t="str">
        <f>IF($B27="","",'سجل الفراغات'!D27&amp;"")</f>
        <v/>
      </c>
      <c r="E27" s="14" t="str">
        <f t="shared" si="1"/>
        <v/>
      </c>
      <c r="F27" s="14" t="str">
        <f t="shared" si="2"/>
        <v/>
      </c>
      <c r="G27" s="14" t="str">
        <f t="shared" si="3"/>
        <v/>
      </c>
      <c r="H27" s="14" t="str">
        <f t="shared" si="4"/>
        <v/>
      </c>
      <c r="I27" s="14" t="str">
        <f t="shared" si="5"/>
        <v/>
      </c>
      <c r="J27" s="14" t="str">
        <f t="shared" si="6"/>
        <v/>
      </c>
      <c r="K27" s="14" t="str">
        <f t="shared" si="7"/>
        <v/>
      </c>
      <c r="L27" s="14" t="str">
        <f t="shared" si="8"/>
        <v/>
      </c>
      <c r="M27" s="14" t="str">
        <f t="shared" si="9"/>
        <v/>
      </c>
      <c r="N27" s="14" t="str">
        <f t="shared" si="10"/>
        <v/>
      </c>
      <c r="O27" s="14" t="str">
        <f t="shared" si="11"/>
        <v/>
      </c>
      <c r="P27" s="14" t="str">
        <f t="shared" si="12"/>
        <v/>
      </c>
      <c r="Q27" s="15" t="str">
        <f t="shared" si="13"/>
        <v/>
      </c>
      <c r="R27" s="15" t="str">
        <f t="shared" si="14"/>
        <v/>
      </c>
    </row>
    <row r="28" spans="1:18" x14ac:dyDescent="0.25">
      <c r="A28" s="8">
        <v>25</v>
      </c>
      <c r="B28" s="8" t="str">
        <f>IF('سجل الفراغات'!B28="","",'سجل الفراغات'!B28)</f>
        <v/>
      </c>
      <c r="C28" s="33" t="str">
        <f>IF($B28="","",'سجل الفراغات'!C28&amp;"")</f>
        <v/>
      </c>
      <c r="D28" s="8" t="str">
        <f>IF($B28="","",'سجل الفراغات'!D28&amp;"")</f>
        <v/>
      </c>
      <c r="E28" s="14" t="str">
        <f t="shared" si="1"/>
        <v/>
      </c>
      <c r="F28" s="14" t="str">
        <f t="shared" si="2"/>
        <v/>
      </c>
      <c r="G28" s="14" t="str">
        <f t="shared" si="3"/>
        <v/>
      </c>
      <c r="H28" s="14" t="str">
        <f t="shared" si="4"/>
        <v/>
      </c>
      <c r="I28" s="14" t="str">
        <f t="shared" si="5"/>
        <v/>
      </c>
      <c r="J28" s="14" t="str">
        <f t="shared" si="6"/>
        <v/>
      </c>
      <c r="K28" s="14" t="str">
        <f t="shared" si="7"/>
        <v/>
      </c>
      <c r="L28" s="14" t="str">
        <f t="shared" si="8"/>
        <v/>
      </c>
      <c r="M28" s="14" t="str">
        <f t="shared" si="9"/>
        <v/>
      </c>
      <c r="N28" s="14" t="str">
        <f t="shared" si="10"/>
        <v/>
      </c>
      <c r="O28" s="14" t="str">
        <f t="shared" si="11"/>
        <v/>
      </c>
      <c r="P28" s="14" t="str">
        <f t="shared" si="12"/>
        <v/>
      </c>
      <c r="Q28" s="15" t="str">
        <f t="shared" si="13"/>
        <v/>
      </c>
      <c r="R28" s="15" t="str">
        <f t="shared" si="14"/>
        <v/>
      </c>
    </row>
    <row r="29" spans="1:18" x14ac:dyDescent="0.25">
      <c r="A29" s="8">
        <v>26</v>
      </c>
      <c r="B29" s="8" t="str">
        <f>IF('سجل الفراغات'!B29="","",'سجل الفراغات'!B29)</f>
        <v/>
      </c>
      <c r="C29" s="33" t="str">
        <f>IF($B29="","",'سجل الفراغات'!C29&amp;"")</f>
        <v/>
      </c>
      <c r="D29" s="8" t="str">
        <f>IF($B29="","",'سجل الفراغات'!D29&amp;"")</f>
        <v/>
      </c>
      <c r="E29" s="14" t="str">
        <f t="shared" si="1"/>
        <v/>
      </c>
      <c r="F29" s="14" t="str">
        <f t="shared" si="2"/>
        <v/>
      </c>
      <c r="G29" s="14" t="str">
        <f t="shared" si="3"/>
        <v/>
      </c>
      <c r="H29" s="14" t="str">
        <f t="shared" si="4"/>
        <v/>
      </c>
      <c r="I29" s="14" t="str">
        <f t="shared" si="5"/>
        <v/>
      </c>
      <c r="J29" s="14" t="str">
        <f t="shared" si="6"/>
        <v/>
      </c>
      <c r="K29" s="14" t="str">
        <f t="shared" si="7"/>
        <v/>
      </c>
      <c r="L29" s="14" t="str">
        <f t="shared" si="8"/>
        <v/>
      </c>
      <c r="M29" s="14" t="str">
        <f t="shared" si="9"/>
        <v/>
      </c>
      <c r="N29" s="14" t="str">
        <f t="shared" si="10"/>
        <v/>
      </c>
      <c r="O29" s="14" t="str">
        <f t="shared" si="11"/>
        <v/>
      </c>
      <c r="P29" s="14" t="str">
        <f t="shared" si="12"/>
        <v/>
      </c>
      <c r="Q29" s="15" t="str">
        <f t="shared" si="13"/>
        <v/>
      </c>
      <c r="R29" s="15" t="str">
        <f t="shared" si="14"/>
        <v/>
      </c>
    </row>
    <row r="30" spans="1:18" x14ac:dyDescent="0.25">
      <c r="A30" s="8">
        <v>27</v>
      </c>
      <c r="B30" s="8" t="str">
        <f>IF('سجل الفراغات'!B30="","",'سجل الفراغات'!B30)</f>
        <v/>
      </c>
      <c r="C30" s="33" t="str">
        <f>IF($B30="","",'سجل الفراغات'!C30&amp;"")</f>
        <v/>
      </c>
      <c r="D30" s="8" t="str">
        <f>IF($B30="","",'سجل الفراغات'!D30&amp;"")</f>
        <v/>
      </c>
      <c r="E30" s="14" t="str">
        <f t="shared" si="1"/>
        <v/>
      </c>
      <c r="F30" s="14" t="str">
        <f t="shared" si="2"/>
        <v/>
      </c>
      <c r="G30" s="14" t="str">
        <f t="shared" si="3"/>
        <v/>
      </c>
      <c r="H30" s="14" t="str">
        <f t="shared" si="4"/>
        <v/>
      </c>
      <c r="I30" s="14" t="str">
        <f t="shared" si="5"/>
        <v/>
      </c>
      <c r="J30" s="14" t="str">
        <f t="shared" si="6"/>
        <v/>
      </c>
      <c r="K30" s="14" t="str">
        <f t="shared" si="7"/>
        <v/>
      </c>
      <c r="L30" s="14" t="str">
        <f t="shared" si="8"/>
        <v/>
      </c>
      <c r="M30" s="14" t="str">
        <f t="shared" si="9"/>
        <v/>
      </c>
      <c r="N30" s="14" t="str">
        <f t="shared" si="10"/>
        <v/>
      </c>
      <c r="O30" s="14" t="str">
        <f t="shared" si="11"/>
        <v/>
      </c>
      <c r="P30" s="14" t="str">
        <f t="shared" si="12"/>
        <v/>
      </c>
      <c r="Q30" s="15" t="str">
        <f t="shared" si="13"/>
        <v/>
      </c>
      <c r="R30" s="15" t="str">
        <f t="shared" si="14"/>
        <v/>
      </c>
    </row>
    <row r="31" spans="1:18" x14ac:dyDescent="0.25">
      <c r="A31" s="8">
        <v>28</v>
      </c>
      <c r="B31" s="8" t="str">
        <f>IF('سجل الفراغات'!B31="","",'سجل الفراغات'!B31)</f>
        <v/>
      </c>
      <c r="C31" s="33" t="str">
        <f>IF($B31="","",'سجل الفراغات'!C31&amp;"")</f>
        <v/>
      </c>
      <c r="D31" s="8" t="str">
        <f>IF($B31="","",'سجل الفراغات'!D31&amp;"")</f>
        <v/>
      </c>
      <c r="E31" s="14" t="str">
        <f t="shared" si="1"/>
        <v/>
      </c>
      <c r="F31" s="14" t="str">
        <f t="shared" si="2"/>
        <v/>
      </c>
      <c r="G31" s="14" t="str">
        <f t="shared" si="3"/>
        <v/>
      </c>
      <c r="H31" s="14" t="str">
        <f t="shared" si="4"/>
        <v/>
      </c>
      <c r="I31" s="14" t="str">
        <f t="shared" si="5"/>
        <v/>
      </c>
      <c r="J31" s="14" t="str">
        <f t="shared" si="6"/>
        <v/>
      </c>
      <c r="K31" s="14" t="str">
        <f t="shared" si="7"/>
        <v/>
      </c>
      <c r="L31" s="14" t="str">
        <f t="shared" si="8"/>
        <v/>
      </c>
      <c r="M31" s="14" t="str">
        <f t="shared" si="9"/>
        <v/>
      </c>
      <c r="N31" s="14" t="str">
        <f t="shared" si="10"/>
        <v/>
      </c>
      <c r="O31" s="14" t="str">
        <f t="shared" si="11"/>
        <v/>
      </c>
      <c r="P31" s="14" t="str">
        <f t="shared" si="12"/>
        <v/>
      </c>
      <c r="Q31" s="15" t="str">
        <f t="shared" si="13"/>
        <v/>
      </c>
      <c r="R31" s="15" t="str">
        <f t="shared" si="14"/>
        <v/>
      </c>
    </row>
    <row r="32" spans="1:18" x14ac:dyDescent="0.25">
      <c r="A32" s="8">
        <v>29</v>
      </c>
      <c r="B32" s="8" t="str">
        <f>IF('سجل الفراغات'!B32="","",'سجل الفراغات'!B32)</f>
        <v/>
      </c>
      <c r="C32" s="33" t="str">
        <f>IF($B32="","",'سجل الفراغات'!C32&amp;"")</f>
        <v/>
      </c>
      <c r="D32" s="8" t="str">
        <f>IF($B32="","",'سجل الفراغات'!D32&amp;"")</f>
        <v/>
      </c>
      <c r="E32" s="14" t="str">
        <f t="shared" si="1"/>
        <v/>
      </c>
      <c r="F32" s="14" t="str">
        <f t="shared" si="2"/>
        <v/>
      </c>
      <c r="G32" s="14" t="str">
        <f t="shared" si="3"/>
        <v/>
      </c>
      <c r="H32" s="14" t="str">
        <f t="shared" si="4"/>
        <v/>
      </c>
      <c r="I32" s="14" t="str">
        <f t="shared" si="5"/>
        <v/>
      </c>
      <c r="J32" s="14" t="str">
        <f t="shared" si="6"/>
        <v/>
      </c>
      <c r="K32" s="14" t="str">
        <f t="shared" si="7"/>
        <v/>
      </c>
      <c r="L32" s="14" t="str">
        <f t="shared" si="8"/>
        <v/>
      </c>
      <c r="M32" s="14" t="str">
        <f t="shared" si="9"/>
        <v/>
      </c>
      <c r="N32" s="14" t="str">
        <f t="shared" si="10"/>
        <v/>
      </c>
      <c r="O32" s="14" t="str">
        <f t="shared" si="11"/>
        <v/>
      </c>
      <c r="P32" s="14" t="str">
        <f t="shared" si="12"/>
        <v/>
      </c>
      <c r="Q32" s="15" t="str">
        <f t="shared" si="13"/>
        <v/>
      </c>
      <c r="R32" s="15" t="str">
        <f t="shared" si="14"/>
        <v/>
      </c>
    </row>
    <row r="33" spans="1:18" x14ac:dyDescent="0.25">
      <c r="A33" s="8">
        <v>30</v>
      </c>
      <c r="B33" s="8" t="str">
        <f>IF('سجل الفراغات'!B33="","",'سجل الفراغات'!B33)</f>
        <v/>
      </c>
      <c r="C33" s="33" t="str">
        <f>IF($B33="","",'سجل الفراغات'!C33&amp;"")</f>
        <v/>
      </c>
      <c r="D33" s="8" t="str">
        <f>IF($B33="","",'سجل الفراغات'!D33&amp;"")</f>
        <v/>
      </c>
      <c r="E33" s="14" t="str">
        <f t="shared" si="1"/>
        <v/>
      </c>
      <c r="F33" s="14" t="str">
        <f t="shared" si="2"/>
        <v/>
      </c>
      <c r="G33" s="14" t="str">
        <f t="shared" si="3"/>
        <v/>
      </c>
      <c r="H33" s="14" t="str">
        <f t="shared" si="4"/>
        <v/>
      </c>
      <c r="I33" s="14" t="str">
        <f t="shared" si="5"/>
        <v/>
      </c>
      <c r="J33" s="14" t="str">
        <f t="shared" si="6"/>
        <v/>
      </c>
      <c r="K33" s="14" t="str">
        <f t="shared" si="7"/>
        <v/>
      </c>
      <c r="L33" s="14" t="str">
        <f t="shared" si="8"/>
        <v/>
      </c>
      <c r="M33" s="14" t="str">
        <f t="shared" si="9"/>
        <v/>
      </c>
      <c r="N33" s="14" t="str">
        <f t="shared" si="10"/>
        <v/>
      </c>
      <c r="O33" s="14" t="str">
        <f t="shared" si="11"/>
        <v/>
      </c>
      <c r="P33" s="14" t="str">
        <f t="shared" si="12"/>
        <v/>
      </c>
      <c r="Q33" s="15" t="str">
        <f t="shared" si="13"/>
        <v/>
      </c>
      <c r="R33" s="15" t="str">
        <f t="shared" si="14"/>
        <v/>
      </c>
    </row>
    <row r="34" spans="1:18" x14ac:dyDescent="0.25">
      <c r="A34" s="8">
        <v>31</v>
      </c>
      <c r="B34" s="8" t="str">
        <f>IF('سجل الفراغات'!B34="","",'سجل الفراغات'!B34)</f>
        <v/>
      </c>
      <c r="C34" s="33" t="str">
        <f>IF($B34="","",'سجل الفراغات'!C34&amp;"")</f>
        <v/>
      </c>
      <c r="D34" s="8" t="str">
        <f>IF($B34="","",'سجل الفراغات'!D34&amp;"")</f>
        <v/>
      </c>
      <c r="E34" s="14" t="str">
        <f t="shared" si="1"/>
        <v/>
      </c>
      <c r="F34" s="14" t="str">
        <f t="shared" si="2"/>
        <v/>
      </c>
      <c r="G34" s="14" t="str">
        <f t="shared" si="3"/>
        <v/>
      </c>
      <c r="H34" s="14" t="str">
        <f t="shared" si="4"/>
        <v/>
      </c>
      <c r="I34" s="14" t="str">
        <f t="shared" si="5"/>
        <v/>
      </c>
      <c r="J34" s="14" t="str">
        <f t="shared" si="6"/>
        <v/>
      </c>
      <c r="K34" s="14" t="str">
        <f t="shared" si="7"/>
        <v/>
      </c>
      <c r="L34" s="14" t="str">
        <f t="shared" si="8"/>
        <v/>
      </c>
      <c r="M34" s="14" t="str">
        <f t="shared" si="9"/>
        <v/>
      </c>
      <c r="N34" s="14" t="str">
        <f t="shared" si="10"/>
        <v/>
      </c>
      <c r="O34" s="14" t="str">
        <f t="shared" si="11"/>
        <v/>
      </c>
      <c r="P34" s="14" t="str">
        <f t="shared" si="12"/>
        <v/>
      </c>
      <c r="Q34" s="15" t="str">
        <f t="shared" si="13"/>
        <v/>
      </c>
      <c r="R34" s="15" t="str">
        <f t="shared" si="14"/>
        <v/>
      </c>
    </row>
    <row r="35" spans="1:18" x14ac:dyDescent="0.25">
      <c r="A35" s="8">
        <v>32</v>
      </c>
      <c r="B35" s="8" t="str">
        <f>IF('سجل الفراغات'!B35="","",'سجل الفراغات'!B35)</f>
        <v/>
      </c>
      <c r="C35" s="33" t="str">
        <f>IF($B35="","",'سجل الفراغات'!C35&amp;"")</f>
        <v/>
      </c>
      <c r="D35" s="8" t="str">
        <f>IF($B35="","",'سجل الفراغات'!D35&amp;"")</f>
        <v/>
      </c>
      <c r="E35" s="14" t="str">
        <f t="shared" si="1"/>
        <v/>
      </c>
      <c r="F35" s="14" t="str">
        <f t="shared" si="2"/>
        <v/>
      </c>
      <c r="G35" s="14" t="str">
        <f t="shared" si="3"/>
        <v/>
      </c>
      <c r="H35" s="14" t="str">
        <f t="shared" si="4"/>
        <v/>
      </c>
      <c r="I35" s="14" t="str">
        <f t="shared" si="5"/>
        <v/>
      </c>
      <c r="J35" s="14" t="str">
        <f t="shared" si="6"/>
        <v/>
      </c>
      <c r="K35" s="14" t="str">
        <f t="shared" si="7"/>
        <v/>
      </c>
      <c r="L35" s="14" t="str">
        <f t="shared" si="8"/>
        <v/>
      </c>
      <c r="M35" s="14" t="str">
        <f t="shared" si="9"/>
        <v/>
      </c>
      <c r="N35" s="14" t="str">
        <f t="shared" si="10"/>
        <v/>
      </c>
      <c r="O35" s="14" t="str">
        <f t="shared" si="11"/>
        <v/>
      </c>
      <c r="P35" s="14" t="str">
        <f t="shared" si="12"/>
        <v/>
      </c>
      <c r="Q35" s="15" t="str">
        <f t="shared" si="13"/>
        <v/>
      </c>
      <c r="R35" s="15" t="str">
        <f t="shared" si="14"/>
        <v/>
      </c>
    </row>
    <row r="36" spans="1:18" x14ac:dyDescent="0.25">
      <c r="A36" s="8">
        <v>33</v>
      </c>
      <c r="B36" s="8" t="str">
        <f>IF('سجل الفراغات'!B36="","",'سجل الفراغات'!B36)</f>
        <v/>
      </c>
      <c r="C36" s="33" t="str">
        <f>IF($B36="","",'سجل الفراغات'!C36&amp;"")</f>
        <v/>
      </c>
      <c r="D36" s="8" t="str">
        <f>IF($B36="","",'سجل الفراغات'!D36&amp;"")</f>
        <v/>
      </c>
      <c r="E36" s="14" t="str">
        <f t="shared" ref="E36:E67" si="15">IF($B36="","",SUMIFS(FL_Net,FL_Space,$B36,FL_Unit,"م²"))</f>
        <v/>
      </c>
      <c r="F36" s="14" t="str">
        <f t="shared" ref="F36:F67" si="16">IF($B36="","",SUMIFS(WL_Gross,WL_Space,$B36,WL_Unit,"م²"))</f>
        <v/>
      </c>
      <c r="G36" s="14" t="str">
        <f t="shared" ref="G36:G67" si="17">IF($B36="","",SUMIFS(WL_Ded,WL_Space,$B36,WL_Unit,"م²"))</f>
        <v/>
      </c>
      <c r="H36" s="14" t="str">
        <f t="shared" ref="H36:H67" si="18">IF($B36="","",SUMIFS(WL_Net,WL_Space,$B36,WL_Unit,"م²"))</f>
        <v/>
      </c>
      <c r="I36" s="14" t="str">
        <f t="shared" ref="I36:I67" si="19">IF($B36="","",SUMIFS(CL_Net,CL_Space,$B36,CL_Unit,"م²"))</f>
        <v/>
      </c>
      <c r="J36" s="14" t="str">
        <f t="shared" ref="J36:J67" si="20">IF($B36="","",SUMIFS(PL_Gross,PL_Space,$B36,PL_Unit,"م²"))</f>
        <v/>
      </c>
      <c r="K36" s="14" t="str">
        <f t="shared" ref="K36:K67" si="21">IF($B36="","",SUMIFS(PL_Ded,PL_Space,$B36,PL_Unit,"م²"))</f>
        <v/>
      </c>
      <c r="L36" s="14" t="str">
        <f t="shared" ref="L36:L67" si="22">IF($B36="","",SUMIFS(PL_Net,PL_Space,$B36,PL_Unit,"م²"))</f>
        <v/>
      </c>
      <c r="M36" s="14" t="str">
        <f t="shared" ref="M36:M67" si="23">IF($B36="","",SUMIFS(LN_Gross,LN_Space,$B36,LN_Unit,"م.ط"))</f>
        <v/>
      </c>
      <c r="N36" s="14" t="str">
        <f t="shared" ref="N36:N67" si="24">IF($B36="","",SUMIFS(LN_Ded,LN_Space,$B36,LN_Unit,"م.ط"))</f>
        <v/>
      </c>
      <c r="O36" s="14" t="str">
        <f t="shared" ref="O36:O67" si="25">IF($B36="","",SUMIFS(LN_Net,LN_Space,$B36,LN_Unit,"م.ط"))</f>
        <v/>
      </c>
      <c r="P36" s="14" t="str">
        <f t="shared" ref="P36:P67" si="26">IF($B36="","",SUMIFS(FL_Net,FL_Space,$B36,FL_Unit,"عدد")+SUMIFS(WL_Net,WL_Space,$B36,WL_Unit,"عدد")+SUMIFS(CL_Net,CL_Space,$B36,CL_Unit,"عدد")+SUMIFS(PL_Net,PL_Space,$B36,PL_Unit,"عدد")+SUMIFS(LN_Net,LN_Space,$B36,LN_Unit,"عدد"))</f>
        <v/>
      </c>
      <c r="Q36" s="15" t="str">
        <f t="shared" ref="Q36:Q67" si="27">IF($B36="","",COUNTIFS(OP_Space,$B36))</f>
        <v/>
      </c>
      <c r="R36" s="15" t="str">
        <f t="shared" ref="R36:R67" si="28">IF($B36="","",COUNTIFS(FL_Space,$B36)-COUNTIFS(FL_Space,$B36,FL_Status,"مكتمل")-COUNTIFS(FL_Space,$B36,FL_Status,"مستبعد من الحصر")+COUNTIFS(CL_Space,$B36)-COUNTIFS(CL_Space,$B36,CL_Status,"مكتمل")-COUNTIFS(CL_Space,$B36,CL_Status,"مستبعد من الحصر")+COUNTIFS(WL_Space,$B36)-COUNTIFS(WL_Space,$B36,WL_Status,"مكتمل")+COUNTIFS(PL_Space,$B36)-COUNTIFS(PL_Space,$B36,PL_Status,"مكتمل")+COUNTIFS(LN_Space,$B36)-COUNTIFS(LN_Space,$B36,LN_Status,"مكتمل")+COUNTIFS(OP_Space,$B36)-COUNTIFS(OP_Space,$B36,OP_Status,"مكتمل"))</f>
        <v/>
      </c>
    </row>
    <row r="37" spans="1:18" x14ac:dyDescent="0.25">
      <c r="A37" s="8">
        <v>34</v>
      </c>
      <c r="B37" s="8" t="str">
        <f>IF('سجل الفراغات'!B37="","",'سجل الفراغات'!B37)</f>
        <v/>
      </c>
      <c r="C37" s="33" t="str">
        <f>IF($B37="","",'سجل الفراغات'!C37&amp;"")</f>
        <v/>
      </c>
      <c r="D37" s="8" t="str">
        <f>IF($B37="","",'سجل الفراغات'!D37&amp;"")</f>
        <v/>
      </c>
      <c r="E37" s="14" t="str">
        <f t="shared" si="15"/>
        <v/>
      </c>
      <c r="F37" s="14" t="str">
        <f t="shared" si="16"/>
        <v/>
      </c>
      <c r="G37" s="14" t="str">
        <f t="shared" si="17"/>
        <v/>
      </c>
      <c r="H37" s="14" t="str">
        <f t="shared" si="18"/>
        <v/>
      </c>
      <c r="I37" s="14" t="str">
        <f t="shared" si="19"/>
        <v/>
      </c>
      <c r="J37" s="14" t="str">
        <f t="shared" si="20"/>
        <v/>
      </c>
      <c r="K37" s="14" t="str">
        <f t="shared" si="21"/>
        <v/>
      </c>
      <c r="L37" s="14" t="str">
        <f t="shared" si="22"/>
        <v/>
      </c>
      <c r="M37" s="14" t="str">
        <f t="shared" si="23"/>
        <v/>
      </c>
      <c r="N37" s="14" t="str">
        <f t="shared" si="24"/>
        <v/>
      </c>
      <c r="O37" s="14" t="str">
        <f t="shared" si="25"/>
        <v/>
      </c>
      <c r="P37" s="14" t="str">
        <f t="shared" si="26"/>
        <v/>
      </c>
      <c r="Q37" s="15" t="str">
        <f t="shared" si="27"/>
        <v/>
      </c>
      <c r="R37" s="15" t="str">
        <f t="shared" si="28"/>
        <v/>
      </c>
    </row>
    <row r="38" spans="1:18" x14ac:dyDescent="0.25">
      <c r="A38" s="8">
        <v>35</v>
      </c>
      <c r="B38" s="8" t="str">
        <f>IF('سجل الفراغات'!B38="","",'سجل الفراغات'!B38)</f>
        <v/>
      </c>
      <c r="C38" s="33" t="str">
        <f>IF($B38="","",'سجل الفراغات'!C38&amp;"")</f>
        <v/>
      </c>
      <c r="D38" s="8" t="str">
        <f>IF($B38="","",'سجل الفراغات'!D38&amp;"")</f>
        <v/>
      </c>
      <c r="E38" s="14" t="str">
        <f t="shared" si="15"/>
        <v/>
      </c>
      <c r="F38" s="14" t="str">
        <f t="shared" si="16"/>
        <v/>
      </c>
      <c r="G38" s="14" t="str">
        <f t="shared" si="17"/>
        <v/>
      </c>
      <c r="H38" s="14" t="str">
        <f t="shared" si="18"/>
        <v/>
      </c>
      <c r="I38" s="14" t="str">
        <f t="shared" si="19"/>
        <v/>
      </c>
      <c r="J38" s="14" t="str">
        <f t="shared" si="20"/>
        <v/>
      </c>
      <c r="K38" s="14" t="str">
        <f t="shared" si="21"/>
        <v/>
      </c>
      <c r="L38" s="14" t="str">
        <f t="shared" si="22"/>
        <v/>
      </c>
      <c r="M38" s="14" t="str">
        <f t="shared" si="23"/>
        <v/>
      </c>
      <c r="N38" s="14" t="str">
        <f t="shared" si="24"/>
        <v/>
      </c>
      <c r="O38" s="14" t="str">
        <f t="shared" si="25"/>
        <v/>
      </c>
      <c r="P38" s="14" t="str">
        <f t="shared" si="26"/>
        <v/>
      </c>
      <c r="Q38" s="15" t="str">
        <f t="shared" si="27"/>
        <v/>
      </c>
      <c r="R38" s="15" t="str">
        <f t="shared" si="28"/>
        <v/>
      </c>
    </row>
    <row r="39" spans="1:18" x14ac:dyDescent="0.25">
      <c r="A39" s="8">
        <v>36</v>
      </c>
      <c r="B39" s="8" t="str">
        <f>IF('سجل الفراغات'!B39="","",'سجل الفراغات'!B39)</f>
        <v/>
      </c>
      <c r="C39" s="33" t="str">
        <f>IF($B39="","",'سجل الفراغات'!C39&amp;"")</f>
        <v/>
      </c>
      <c r="D39" s="8" t="str">
        <f>IF($B39="","",'سجل الفراغات'!D39&amp;"")</f>
        <v/>
      </c>
      <c r="E39" s="14" t="str">
        <f t="shared" si="15"/>
        <v/>
      </c>
      <c r="F39" s="14" t="str">
        <f t="shared" si="16"/>
        <v/>
      </c>
      <c r="G39" s="14" t="str">
        <f t="shared" si="17"/>
        <v/>
      </c>
      <c r="H39" s="14" t="str">
        <f t="shared" si="18"/>
        <v/>
      </c>
      <c r="I39" s="14" t="str">
        <f t="shared" si="19"/>
        <v/>
      </c>
      <c r="J39" s="14" t="str">
        <f t="shared" si="20"/>
        <v/>
      </c>
      <c r="K39" s="14" t="str">
        <f t="shared" si="21"/>
        <v/>
      </c>
      <c r="L39" s="14" t="str">
        <f t="shared" si="22"/>
        <v/>
      </c>
      <c r="M39" s="14" t="str">
        <f t="shared" si="23"/>
        <v/>
      </c>
      <c r="N39" s="14" t="str">
        <f t="shared" si="24"/>
        <v/>
      </c>
      <c r="O39" s="14" t="str">
        <f t="shared" si="25"/>
        <v/>
      </c>
      <c r="P39" s="14" t="str">
        <f t="shared" si="26"/>
        <v/>
      </c>
      <c r="Q39" s="15" t="str">
        <f t="shared" si="27"/>
        <v/>
      </c>
      <c r="R39" s="15" t="str">
        <f t="shared" si="28"/>
        <v/>
      </c>
    </row>
    <row r="40" spans="1:18" x14ac:dyDescent="0.25">
      <c r="A40" s="8">
        <v>37</v>
      </c>
      <c r="B40" s="8" t="str">
        <f>IF('سجل الفراغات'!B40="","",'سجل الفراغات'!B40)</f>
        <v/>
      </c>
      <c r="C40" s="33" t="str">
        <f>IF($B40="","",'سجل الفراغات'!C40&amp;"")</f>
        <v/>
      </c>
      <c r="D40" s="8" t="str">
        <f>IF($B40="","",'سجل الفراغات'!D40&amp;"")</f>
        <v/>
      </c>
      <c r="E40" s="14" t="str">
        <f t="shared" si="15"/>
        <v/>
      </c>
      <c r="F40" s="14" t="str">
        <f t="shared" si="16"/>
        <v/>
      </c>
      <c r="G40" s="14" t="str">
        <f t="shared" si="17"/>
        <v/>
      </c>
      <c r="H40" s="14" t="str">
        <f t="shared" si="18"/>
        <v/>
      </c>
      <c r="I40" s="14" t="str">
        <f t="shared" si="19"/>
        <v/>
      </c>
      <c r="J40" s="14" t="str">
        <f t="shared" si="20"/>
        <v/>
      </c>
      <c r="K40" s="14" t="str">
        <f t="shared" si="21"/>
        <v/>
      </c>
      <c r="L40" s="14" t="str">
        <f t="shared" si="22"/>
        <v/>
      </c>
      <c r="M40" s="14" t="str">
        <f t="shared" si="23"/>
        <v/>
      </c>
      <c r="N40" s="14" t="str">
        <f t="shared" si="24"/>
        <v/>
      </c>
      <c r="O40" s="14" t="str">
        <f t="shared" si="25"/>
        <v/>
      </c>
      <c r="P40" s="14" t="str">
        <f t="shared" si="26"/>
        <v/>
      </c>
      <c r="Q40" s="15" t="str">
        <f t="shared" si="27"/>
        <v/>
      </c>
      <c r="R40" s="15" t="str">
        <f t="shared" si="28"/>
        <v/>
      </c>
    </row>
    <row r="41" spans="1:18" x14ac:dyDescent="0.25">
      <c r="A41" s="8">
        <v>38</v>
      </c>
      <c r="B41" s="8" t="str">
        <f>IF('سجل الفراغات'!B41="","",'سجل الفراغات'!B41)</f>
        <v/>
      </c>
      <c r="C41" s="33" t="str">
        <f>IF($B41="","",'سجل الفراغات'!C41&amp;"")</f>
        <v/>
      </c>
      <c r="D41" s="8" t="str">
        <f>IF($B41="","",'سجل الفراغات'!D41&amp;"")</f>
        <v/>
      </c>
      <c r="E41" s="14" t="str">
        <f t="shared" si="15"/>
        <v/>
      </c>
      <c r="F41" s="14" t="str">
        <f t="shared" si="16"/>
        <v/>
      </c>
      <c r="G41" s="14" t="str">
        <f t="shared" si="17"/>
        <v/>
      </c>
      <c r="H41" s="14" t="str">
        <f t="shared" si="18"/>
        <v/>
      </c>
      <c r="I41" s="14" t="str">
        <f t="shared" si="19"/>
        <v/>
      </c>
      <c r="J41" s="14" t="str">
        <f t="shared" si="20"/>
        <v/>
      </c>
      <c r="K41" s="14" t="str">
        <f t="shared" si="21"/>
        <v/>
      </c>
      <c r="L41" s="14" t="str">
        <f t="shared" si="22"/>
        <v/>
      </c>
      <c r="M41" s="14" t="str">
        <f t="shared" si="23"/>
        <v/>
      </c>
      <c r="N41" s="14" t="str">
        <f t="shared" si="24"/>
        <v/>
      </c>
      <c r="O41" s="14" t="str">
        <f t="shared" si="25"/>
        <v/>
      </c>
      <c r="P41" s="14" t="str">
        <f t="shared" si="26"/>
        <v/>
      </c>
      <c r="Q41" s="15" t="str">
        <f t="shared" si="27"/>
        <v/>
      </c>
      <c r="R41" s="15" t="str">
        <f t="shared" si="28"/>
        <v/>
      </c>
    </row>
    <row r="42" spans="1:18" x14ac:dyDescent="0.25">
      <c r="A42" s="8">
        <v>39</v>
      </c>
      <c r="B42" s="8" t="str">
        <f>IF('سجل الفراغات'!B42="","",'سجل الفراغات'!B42)</f>
        <v/>
      </c>
      <c r="C42" s="33" t="str">
        <f>IF($B42="","",'سجل الفراغات'!C42&amp;"")</f>
        <v/>
      </c>
      <c r="D42" s="8" t="str">
        <f>IF($B42="","",'سجل الفراغات'!D42&amp;"")</f>
        <v/>
      </c>
      <c r="E42" s="14" t="str">
        <f t="shared" si="15"/>
        <v/>
      </c>
      <c r="F42" s="14" t="str">
        <f t="shared" si="16"/>
        <v/>
      </c>
      <c r="G42" s="14" t="str">
        <f t="shared" si="17"/>
        <v/>
      </c>
      <c r="H42" s="14" t="str">
        <f t="shared" si="18"/>
        <v/>
      </c>
      <c r="I42" s="14" t="str">
        <f t="shared" si="19"/>
        <v/>
      </c>
      <c r="J42" s="14" t="str">
        <f t="shared" si="20"/>
        <v/>
      </c>
      <c r="K42" s="14" t="str">
        <f t="shared" si="21"/>
        <v/>
      </c>
      <c r="L42" s="14" t="str">
        <f t="shared" si="22"/>
        <v/>
      </c>
      <c r="M42" s="14" t="str">
        <f t="shared" si="23"/>
        <v/>
      </c>
      <c r="N42" s="14" t="str">
        <f t="shared" si="24"/>
        <v/>
      </c>
      <c r="O42" s="14" t="str">
        <f t="shared" si="25"/>
        <v/>
      </c>
      <c r="P42" s="14" t="str">
        <f t="shared" si="26"/>
        <v/>
      </c>
      <c r="Q42" s="15" t="str">
        <f t="shared" si="27"/>
        <v/>
      </c>
      <c r="R42" s="15" t="str">
        <f t="shared" si="28"/>
        <v/>
      </c>
    </row>
    <row r="43" spans="1:18" x14ac:dyDescent="0.25">
      <c r="A43" s="8">
        <v>40</v>
      </c>
      <c r="B43" s="8" t="str">
        <f>IF('سجل الفراغات'!B43="","",'سجل الفراغات'!B43)</f>
        <v/>
      </c>
      <c r="C43" s="33" t="str">
        <f>IF($B43="","",'سجل الفراغات'!C43&amp;"")</f>
        <v/>
      </c>
      <c r="D43" s="8" t="str">
        <f>IF($B43="","",'سجل الفراغات'!D43&amp;"")</f>
        <v/>
      </c>
      <c r="E43" s="14" t="str">
        <f t="shared" si="15"/>
        <v/>
      </c>
      <c r="F43" s="14" t="str">
        <f t="shared" si="16"/>
        <v/>
      </c>
      <c r="G43" s="14" t="str">
        <f t="shared" si="17"/>
        <v/>
      </c>
      <c r="H43" s="14" t="str">
        <f t="shared" si="18"/>
        <v/>
      </c>
      <c r="I43" s="14" t="str">
        <f t="shared" si="19"/>
        <v/>
      </c>
      <c r="J43" s="14" t="str">
        <f t="shared" si="20"/>
        <v/>
      </c>
      <c r="K43" s="14" t="str">
        <f t="shared" si="21"/>
        <v/>
      </c>
      <c r="L43" s="14" t="str">
        <f t="shared" si="22"/>
        <v/>
      </c>
      <c r="M43" s="14" t="str">
        <f t="shared" si="23"/>
        <v/>
      </c>
      <c r="N43" s="14" t="str">
        <f t="shared" si="24"/>
        <v/>
      </c>
      <c r="O43" s="14" t="str">
        <f t="shared" si="25"/>
        <v/>
      </c>
      <c r="P43" s="14" t="str">
        <f t="shared" si="26"/>
        <v/>
      </c>
      <c r="Q43" s="15" t="str">
        <f t="shared" si="27"/>
        <v/>
      </c>
      <c r="R43" s="15" t="str">
        <f t="shared" si="28"/>
        <v/>
      </c>
    </row>
    <row r="44" spans="1:18" x14ac:dyDescent="0.25">
      <c r="A44" s="8">
        <v>41</v>
      </c>
      <c r="B44" s="8" t="str">
        <f>IF('سجل الفراغات'!B44="","",'سجل الفراغات'!B44)</f>
        <v/>
      </c>
      <c r="C44" s="33" t="str">
        <f>IF($B44="","",'سجل الفراغات'!C44&amp;"")</f>
        <v/>
      </c>
      <c r="D44" s="8" t="str">
        <f>IF($B44="","",'سجل الفراغات'!D44&amp;"")</f>
        <v/>
      </c>
      <c r="E44" s="14" t="str">
        <f t="shared" si="15"/>
        <v/>
      </c>
      <c r="F44" s="14" t="str">
        <f t="shared" si="16"/>
        <v/>
      </c>
      <c r="G44" s="14" t="str">
        <f t="shared" si="17"/>
        <v/>
      </c>
      <c r="H44" s="14" t="str">
        <f t="shared" si="18"/>
        <v/>
      </c>
      <c r="I44" s="14" t="str">
        <f t="shared" si="19"/>
        <v/>
      </c>
      <c r="J44" s="14" t="str">
        <f t="shared" si="20"/>
        <v/>
      </c>
      <c r="K44" s="14" t="str">
        <f t="shared" si="21"/>
        <v/>
      </c>
      <c r="L44" s="14" t="str">
        <f t="shared" si="22"/>
        <v/>
      </c>
      <c r="M44" s="14" t="str">
        <f t="shared" si="23"/>
        <v/>
      </c>
      <c r="N44" s="14" t="str">
        <f t="shared" si="24"/>
        <v/>
      </c>
      <c r="O44" s="14" t="str">
        <f t="shared" si="25"/>
        <v/>
      </c>
      <c r="P44" s="14" t="str">
        <f t="shared" si="26"/>
        <v/>
      </c>
      <c r="Q44" s="15" t="str">
        <f t="shared" si="27"/>
        <v/>
      </c>
      <c r="R44" s="15" t="str">
        <f t="shared" si="28"/>
        <v/>
      </c>
    </row>
    <row r="45" spans="1:18" x14ac:dyDescent="0.25">
      <c r="A45" s="8">
        <v>42</v>
      </c>
      <c r="B45" s="8" t="str">
        <f>IF('سجل الفراغات'!B45="","",'سجل الفراغات'!B45)</f>
        <v/>
      </c>
      <c r="C45" s="33" t="str">
        <f>IF($B45="","",'سجل الفراغات'!C45&amp;"")</f>
        <v/>
      </c>
      <c r="D45" s="8" t="str">
        <f>IF($B45="","",'سجل الفراغات'!D45&amp;"")</f>
        <v/>
      </c>
      <c r="E45" s="14" t="str">
        <f t="shared" si="15"/>
        <v/>
      </c>
      <c r="F45" s="14" t="str">
        <f t="shared" si="16"/>
        <v/>
      </c>
      <c r="G45" s="14" t="str">
        <f t="shared" si="17"/>
        <v/>
      </c>
      <c r="H45" s="14" t="str">
        <f t="shared" si="18"/>
        <v/>
      </c>
      <c r="I45" s="14" t="str">
        <f t="shared" si="19"/>
        <v/>
      </c>
      <c r="J45" s="14" t="str">
        <f t="shared" si="20"/>
        <v/>
      </c>
      <c r="K45" s="14" t="str">
        <f t="shared" si="21"/>
        <v/>
      </c>
      <c r="L45" s="14" t="str">
        <f t="shared" si="22"/>
        <v/>
      </c>
      <c r="M45" s="14" t="str">
        <f t="shared" si="23"/>
        <v/>
      </c>
      <c r="N45" s="14" t="str">
        <f t="shared" si="24"/>
        <v/>
      </c>
      <c r="O45" s="14" t="str">
        <f t="shared" si="25"/>
        <v/>
      </c>
      <c r="P45" s="14" t="str">
        <f t="shared" si="26"/>
        <v/>
      </c>
      <c r="Q45" s="15" t="str">
        <f t="shared" si="27"/>
        <v/>
      </c>
      <c r="R45" s="15" t="str">
        <f t="shared" si="28"/>
        <v/>
      </c>
    </row>
    <row r="46" spans="1:18" x14ac:dyDescent="0.25">
      <c r="A46" s="8">
        <v>43</v>
      </c>
      <c r="B46" s="8" t="str">
        <f>IF('سجل الفراغات'!B46="","",'سجل الفراغات'!B46)</f>
        <v/>
      </c>
      <c r="C46" s="33" t="str">
        <f>IF($B46="","",'سجل الفراغات'!C46&amp;"")</f>
        <v/>
      </c>
      <c r="D46" s="8" t="str">
        <f>IF($B46="","",'سجل الفراغات'!D46&amp;"")</f>
        <v/>
      </c>
      <c r="E46" s="14" t="str">
        <f t="shared" si="15"/>
        <v/>
      </c>
      <c r="F46" s="14" t="str">
        <f t="shared" si="16"/>
        <v/>
      </c>
      <c r="G46" s="14" t="str">
        <f t="shared" si="17"/>
        <v/>
      </c>
      <c r="H46" s="14" t="str">
        <f t="shared" si="18"/>
        <v/>
      </c>
      <c r="I46" s="14" t="str">
        <f t="shared" si="19"/>
        <v/>
      </c>
      <c r="J46" s="14" t="str">
        <f t="shared" si="20"/>
        <v/>
      </c>
      <c r="K46" s="14" t="str">
        <f t="shared" si="21"/>
        <v/>
      </c>
      <c r="L46" s="14" t="str">
        <f t="shared" si="22"/>
        <v/>
      </c>
      <c r="M46" s="14" t="str">
        <f t="shared" si="23"/>
        <v/>
      </c>
      <c r="N46" s="14" t="str">
        <f t="shared" si="24"/>
        <v/>
      </c>
      <c r="O46" s="14" t="str">
        <f t="shared" si="25"/>
        <v/>
      </c>
      <c r="P46" s="14" t="str">
        <f t="shared" si="26"/>
        <v/>
      </c>
      <c r="Q46" s="15" t="str">
        <f t="shared" si="27"/>
        <v/>
      </c>
      <c r="R46" s="15" t="str">
        <f t="shared" si="28"/>
        <v/>
      </c>
    </row>
    <row r="47" spans="1:18" x14ac:dyDescent="0.25">
      <c r="A47" s="8">
        <v>44</v>
      </c>
      <c r="B47" s="8" t="str">
        <f>IF('سجل الفراغات'!B47="","",'سجل الفراغات'!B47)</f>
        <v/>
      </c>
      <c r="C47" s="33" t="str">
        <f>IF($B47="","",'سجل الفراغات'!C47&amp;"")</f>
        <v/>
      </c>
      <c r="D47" s="8" t="str">
        <f>IF($B47="","",'سجل الفراغات'!D47&amp;"")</f>
        <v/>
      </c>
      <c r="E47" s="14" t="str">
        <f t="shared" si="15"/>
        <v/>
      </c>
      <c r="F47" s="14" t="str">
        <f t="shared" si="16"/>
        <v/>
      </c>
      <c r="G47" s="14" t="str">
        <f t="shared" si="17"/>
        <v/>
      </c>
      <c r="H47" s="14" t="str">
        <f t="shared" si="18"/>
        <v/>
      </c>
      <c r="I47" s="14" t="str">
        <f t="shared" si="19"/>
        <v/>
      </c>
      <c r="J47" s="14" t="str">
        <f t="shared" si="20"/>
        <v/>
      </c>
      <c r="K47" s="14" t="str">
        <f t="shared" si="21"/>
        <v/>
      </c>
      <c r="L47" s="14" t="str">
        <f t="shared" si="22"/>
        <v/>
      </c>
      <c r="M47" s="14" t="str">
        <f t="shared" si="23"/>
        <v/>
      </c>
      <c r="N47" s="14" t="str">
        <f t="shared" si="24"/>
        <v/>
      </c>
      <c r="O47" s="14" t="str">
        <f t="shared" si="25"/>
        <v/>
      </c>
      <c r="P47" s="14" t="str">
        <f t="shared" si="26"/>
        <v/>
      </c>
      <c r="Q47" s="15" t="str">
        <f t="shared" si="27"/>
        <v/>
      </c>
      <c r="R47" s="15" t="str">
        <f t="shared" si="28"/>
        <v/>
      </c>
    </row>
    <row r="48" spans="1:18" x14ac:dyDescent="0.25">
      <c r="A48" s="8">
        <v>45</v>
      </c>
      <c r="B48" s="8" t="str">
        <f>IF('سجل الفراغات'!B48="","",'سجل الفراغات'!B48)</f>
        <v/>
      </c>
      <c r="C48" s="33" t="str">
        <f>IF($B48="","",'سجل الفراغات'!C48&amp;"")</f>
        <v/>
      </c>
      <c r="D48" s="8" t="str">
        <f>IF($B48="","",'سجل الفراغات'!D48&amp;"")</f>
        <v/>
      </c>
      <c r="E48" s="14" t="str">
        <f t="shared" si="15"/>
        <v/>
      </c>
      <c r="F48" s="14" t="str">
        <f t="shared" si="16"/>
        <v/>
      </c>
      <c r="G48" s="14" t="str">
        <f t="shared" si="17"/>
        <v/>
      </c>
      <c r="H48" s="14" t="str">
        <f t="shared" si="18"/>
        <v/>
      </c>
      <c r="I48" s="14" t="str">
        <f t="shared" si="19"/>
        <v/>
      </c>
      <c r="J48" s="14" t="str">
        <f t="shared" si="20"/>
        <v/>
      </c>
      <c r="K48" s="14" t="str">
        <f t="shared" si="21"/>
        <v/>
      </c>
      <c r="L48" s="14" t="str">
        <f t="shared" si="22"/>
        <v/>
      </c>
      <c r="M48" s="14" t="str">
        <f t="shared" si="23"/>
        <v/>
      </c>
      <c r="N48" s="14" t="str">
        <f t="shared" si="24"/>
        <v/>
      </c>
      <c r="O48" s="14" t="str">
        <f t="shared" si="25"/>
        <v/>
      </c>
      <c r="P48" s="14" t="str">
        <f t="shared" si="26"/>
        <v/>
      </c>
      <c r="Q48" s="15" t="str">
        <f t="shared" si="27"/>
        <v/>
      </c>
      <c r="R48" s="15" t="str">
        <f t="shared" si="28"/>
        <v/>
      </c>
    </row>
    <row r="49" spans="1:18" x14ac:dyDescent="0.25">
      <c r="A49" s="8">
        <v>46</v>
      </c>
      <c r="B49" s="8" t="str">
        <f>IF('سجل الفراغات'!B49="","",'سجل الفراغات'!B49)</f>
        <v/>
      </c>
      <c r="C49" s="33" t="str">
        <f>IF($B49="","",'سجل الفراغات'!C49&amp;"")</f>
        <v/>
      </c>
      <c r="D49" s="8" t="str">
        <f>IF($B49="","",'سجل الفراغات'!D49&amp;"")</f>
        <v/>
      </c>
      <c r="E49" s="14" t="str">
        <f t="shared" si="15"/>
        <v/>
      </c>
      <c r="F49" s="14" t="str">
        <f t="shared" si="16"/>
        <v/>
      </c>
      <c r="G49" s="14" t="str">
        <f t="shared" si="17"/>
        <v/>
      </c>
      <c r="H49" s="14" t="str">
        <f t="shared" si="18"/>
        <v/>
      </c>
      <c r="I49" s="14" t="str">
        <f t="shared" si="19"/>
        <v/>
      </c>
      <c r="J49" s="14" t="str">
        <f t="shared" si="20"/>
        <v/>
      </c>
      <c r="K49" s="14" t="str">
        <f t="shared" si="21"/>
        <v/>
      </c>
      <c r="L49" s="14" t="str">
        <f t="shared" si="22"/>
        <v/>
      </c>
      <c r="M49" s="14" t="str">
        <f t="shared" si="23"/>
        <v/>
      </c>
      <c r="N49" s="14" t="str">
        <f t="shared" si="24"/>
        <v/>
      </c>
      <c r="O49" s="14" t="str">
        <f t="shared" si="25"/>
        <v/>
      </c>
      <c r="P49" s="14" t="str">
        <f t="shared" si="26"/>
        <v/>
      </c>
      <c r="Q49" s="15" t="str">
        <f t="shared" si="27"/>
        <v/>
      </c>
      <c r="R49" s="15" t="str">
        <f t="shared" si="28"/>
        <v/>
      </c>
    </row>
    <row r="50" spans="1:18" x14ac:dyDescent="0.25">
      <c r="A50" s="8">
        <v>47</v>
      </c>
      <c r="B50" s="8" t="str">
        <f>IF('سجل الفراغات'!B50="","",'سجل الفراغات'!B50)</f>
        <v/>
      </c>
      <c r="C50" s="33" t="str">
        <f>IF($B50="","",'سجل الفراغات'!C50&amp;"")</f>
        <v/>
      </c>
      <c r="D50" s="8" t="str">
        <f>IF($B50="","",'سجل الفراغات'!D50&amp;"")</f>
        <v/>
      </c>
      <c r="E50" s="14" t="str">
        <f t="shared" si="15"/>
        <v/>
      </c>
      <c r="F50" s="14" t="str">
        <f t="shared" si="16"/>
        <v/>
      </c>
      <c r="G50" s="14" t="str">
        <f t="shared" si="17"/>
        <v/>
      </c>
      <c r="H50" s="14" t="str">
        <f t="shared" si="18"/>
        <v/>
      </c>
      <c r="I50" s="14" t="str">
        <f t="shared" si="19"/>
        <v/>
      </c>
      <c r="J50" s="14" t="str">
        <f t="shared" si="20"/>
        <v/>
      </c>
      <c r="K50" s="14" t="str">
        <f t="shared" si="21"/>
        <v/>
      </c>
      <c r="L50" s="14" t="str">
        <f t="shared" si="22"/>
        <v/>
      </c>
      <c r="M50" s="14" t="str">
        <f t="shared" si="23"/>
        <v/>
      </c>
      <c r="N50" s="14" t="str">
        <f t="shared" si="24"/>
        <v/>
      </c>
      <c r="O50" s="14" t="str">
        <f t="shared" si="25"/>
        <v/>
      </c>
      <c r="P50" s="14" t="str">
        <f t="shared" si="26"/>
        <v/>
      </c>
      <c r="Q50" s="15" t="str">
        <f t="shared" si="27"/>
        <v/>
      </c>
      <c r="R50" s="15" t="str">
        <f t="shared" si="28"/>
        <v/>
      </c>
    </row>
    <row r="51" spans="1:18" x14ac:dyDescent="0.25">
      <c r="A51" s="8">
        <v>48</v>
      </c>
      <c r="B51" s="8" t="str">
        <f>IF('سجل الفراغات'!B51="","",'سجل الفراغات'!B51)</f>
        <v/>
      </c>
      <c r="C51" s="33" t="str">
        <f>IF($B51="","",'سجل الفراغات'!C51&amp;"")</f>
        <v/>
      </c>
      <c r="D51" s="8" t="str">
        <f>IF($B51="","",'سجل الفراغات'!D51&amp;"")</f>
        <v/>
      </c>
      <c r="E51" s="14" t="str">
        <f t="shared" si="15"/>
        <v/>
      </c>
      <c r="F51" s="14" t="str">
        <f t="shared" si="16"/>
        <v/>
      </c>
      <c r="G51" s="14" t="str">
        <f t="shared" si="17"/>
        <v/>
      </c>
      <c r="H51" s="14" t="str">
        <f t="shared" si="18"/>
        <v/>
      </c>
      <c r="I51" s="14" t="str">
        <f t="shared" si="19"/>
        <v/>
      </c>
      <c r="J51" s="14" t="str">
        <f t="shared" si="20"/>
        <v/>
      </c>
      <c r="K51" s="14" t="str">
        <f t="shared" si="21"/>
        <v/>
      </c>
      <c r="L51" s="14" t="str">
        <f t="shared" si="22"/>
        <v/>
      </c>
      <c r="M51" s="14" t="str">
        <f t="shared" si="23"/>
        <v/>
      </c>
      <c r="N51" s="14" t="str">
        <f t="shared" si="24"/>
        <v/>
      </c>
      <c r="O51" s="14" t="str">
        <f t="shared" si="25"/>
        <v/>
      </c>
      <c r="P51" s="14" t="str">
        <f t="shared" si="26"/>
        <v/>
      </c>
      <c r="Q51" s="15" t="str">
        <f t="shared" si="27"/>
        <v/>
      </c>
      <c r="R51" s="15" t="str">
        <f t="shared" si="28"/>
        <v/>
      </c>
    </row>
    <row r="52" spans="1:18" x14ac:dyDescent="0.25">
      <c r="A52" s="8">
        <v>49</v>
      </c>
      <c r="B52" s="8" t="str">
        <f>IF('سجل الفراغات'!B52="","",'سجل الفراغات'!B52)</f>
        <v/>
      </c>
      <c r="C52" s="33" t="str">
        <f>IF($B52="","",'سجل الفراغات'!C52&amp;"")</f>
        <v/>
      </c>
      <c r="D52" s="8" t="str">
        <f>IF($B52="","",'سجل الفراغات'!D52&amp;"")</f>
        <v/>
      </c>
      <c r="E52" s="14" t="str">
        <f t="shared" si="15"/>
        <v/>
      </c>
      <c r="F52" s="14" t="str">
        <f t="shared" si="16"/>
        <v/>
      </c>
      <c r="G52" s="14" t="str">
        <f t="shared" si="17"/>
        <v/>
      </c>
      <c r="H52" s="14" t="str">
        <f t="shared" si="18"/>
        <v/>
      </c>
      <c r="I52" s="14" t="str">
        <f t="shared" si="19"/>
        <v/>
      </c>
      <c r="J52" s="14" t="str">
        <f t="shared" si="20"/>
        <v/>
      </c>
      <c r="K52" s="14" t="str">
        <f t="shared" si="21"/>
        <v/>
      </c>
      <c r="L52" s="14" t="str">
        <f t="shared" si="22"/>
        <v/>
      </c>
      <c r="M52" s="14" t="str">
        <f t="shared" si="23"/>
        <v/>
      </c>
      <c r="N52" s="14" t="str">
        <f t="shared" si="24"/>
        <v/>
      </c>
      <c r="O52" s="14" t="str">
        <f t="shared" si="25"/>
        <v/>
      </c>
      <c r="P52" s="14" t="str">
        <f t="shared" si="26"/>
        <v/>
      </c>
      <c r="Q52" s="15" t="str">
        <f t="shared" si="27"/>
        <v/>
      </c>
      <c r="R52" s="15" t="str">
        <f t="shared" si="28"/>
        <v/>
      </c>
    </row>
    <row r="53" spans="1:18" x14ac:dyDescent="0.25">
      <c r="A53" s="8">
        <v>50</v>
      </c>
      <c r="B53" s="8" t="str">
        <f>IF('سجل الفراغات'!B53="","",'سجل الفراغات'!B53)</f>
        <v/>
      </c>
      <c r="C53" s="33" t="str">
        <f>IF($B53="","",'سجل الفراغات'!C53&amp;"")</f>
        <v/>
      </c>
      <c r="D53" s="8" t="str">
        <f>IF($B53="","",'سجل الفراغات'!D53&amp;"")</f>
        <v/>
      </c>
      <c r="E53" s="14" t="str">
        <f t="shared" si="15"/>
        <v/>
      </c>
      <c r="F53" s="14" t="str">
        <f t="shared" si="16"/>
        <v/>
      </c>
      <c r="G53" s="14" t="str">
        <f t="shared" si="17"/>
        <v/>
      </c>
      <c r="H53" s="14" t="str">
        <f t="shared" si="18"/>
        <v/>
      </c>
      <c r="I53" s="14" t="str">
        <f t="shared" si="19"/>
        <v/>
      </c>
      <c r="J53" s="14" t="str">
        <f t="shared" si="20"/>
        <v/>
      </c>
      <c r="K53" s="14" t="str">
        <f t="shared" si="21"/>
        <v/>
      </c>
      <c r="L53" s="14" t="str">
        <f t="shared" si="22"/>
        <v/>
      </c>
      <c r="M53" s="14" t="str">
        <f t="shared" si="23"/>
        <v/>
      </c>
      <c r="N53" s="14" t="str">
        <f t="shared" si="24"/>
        <v/>
      </c>
      <c r="O53" s="14" t="str">
        <f t="shared" si="25"/>
        <v/>
      </c>
      <c r="P53" s="14" t="str">
        <f t="shared" si="26"/>
        <v/>
      </c>
      <c r="Q53" s="15" t="str">
        <f t="shared" si="27"/>
        <v/>
      </c>
      <c r="R53" s="15" t="str">
        <f t="shared" si="28"/>
        <v/>
      </c>
    </row>
    <row r="54" spans="1:18" x14ac:dyDescent="0.25">
      <c r="A54" s="8">
        <v>51</v>
      </c>
      <c r="B54" s="8" t="str">
        <f>IF('سجل الفراغات'!B54="","",'سجل الفراغات'!B54)</f>
        <v/>
      </c>
      <c r="C54" s="33" t="str">
        <f>IF($B54="","",'سجل الفراغات'!C54&amp;"")</f>
        <v/>
      </c>
      <c r="D54" s="8" t="str">
        <f>IF($B54="","",'سجل الفراغات'!D54&amp;"")</f>
        <v/>
      </c>
      <c r="E54" s="14" t="str">
        <f t="shared" si="15"/>
        <v/>
      </c>
      <c r="F54" s="14" t="str">
        <f t="shared" si="16"/>
        <v/>
      </c>
      <c r="G54" s="14" t="str">
        <f t="shared" si="17"/>
        <v/>
      </c>
      <c r="H54" s="14" t="str">
        <f t="shared" si="18"/>
        <v/>
      </c>
      <c r="I54" s="14" t="str">
        <f t="shared" si="19"/>
        <v/>
      </c>
      <c r="J54" s="14" t="str">
        <f t="shared" si="20"/>
        <v/>
      </c>
      <c r="K54" s="14" t="str">
        <f t="shared" si="21"/>
        <v/>
      </c>
      <c r="L54" s="14" t="str">
        <f t="shared" si="22"/>
        <v/>
      </c>
      <c r="M54" s="14" t="str">
        <f t="shared" si="23"/>
        <v/>
      </c>
      <c r="N54" s="14" t="str">
        <f t="shared" si="24"/>
        <v/>
      </c>
      <c r="O54" s="14" t="str">
        <f t="shared" si="25"/>
        <v/>
      </c>
      <c r="P54" s="14" t="str">
        <f t="shared" si="26"/>
        <v/>
      </c>
      <c r="Q54" s="15" t="str">
        <f t="shared" si="27"/>
        <v/>
      </c>
      <c r="R54" s="15" t="str">
        <f t="shared" si="28"/>
        <v/>
      </c>
    </row>
    <row r="55" spans="1:18" x14ac:dyDescent="0.25">
      <c r="A55" s="8">
        <v>52</v>
      </c>
      <c r="B55" s="8" t="str">
        <f>IF('سجل الفراغات'!B55="","",'سجل الفراغات'!B55)</f>
        <v/>
      </c>
      <c r="C55" s="33" t="str">
        <f>IF($B55="","",'سجل الفراغات'!C55&amp;"")</f>
        <v/>
      </c>
      <c r="D55" s="8" t="str">
        <f>IF($B55="","",'سجل الفراغات'!D55&amp;"")</f>
        <v/>
      </c>
      <c r="E55" s="14" t="str">
        <f t="shared" si="15"/>
        <v/>
      </c>
      <c r="F55" s="14" t="str">
        <f t="shared" si="16"/>
        <v/>
      </c>
      <c r="G55" s="14" t="str">
        <f t="shared" si="17"/>
        <v/>
      </c>
      <c r="H55" s="14" t="str">
        <f t="shared" si="18"/>
        <v/>
      </c>
      <c r="I55" s="14" t="str">
        <f t="shared" si="19"/>
        <v/>
      </c>
      <c r="J55" s="14" t="str">
        <f t="shared" si="20"/>
        <v/>
      </c>
      <c r="K55" s="14" t="str">
        <f t="shared" si="21"/>
        <v/>
      </c>
      <c r="L55" s="14" t="str">
        <f t="shared" si="22"/>
        <v/>
      </c>
      <c r="M55" s="14" t="str">
        <f t="shared" si="23"/>
        <v/>
      </c>
      <c r="N55" s="14" t="str">
        <f t="shared" si="24"/>
        <v/>
      </c>
      <c r="O55" s="14" t="str">
        <f t="shared" si="25"/>
        <v/>
      </c>
      <c r="P55" s="14" t="str">
        <f t="shared" si="26"/>
        <v/>
      </c>
      <c r="Q55" s="15" t="str">
        <f t="shared" si="27"/>
        <v/>
      </c>
      <c r="R55" s="15" t="str">
        <f t="shared" si="28"/>
        <v/>
      </c>
    </row>
    <row r="56" spans="1:18" x14ac:dyDescent="0.25">
      <c r="A56" s="8">
        <v>53</v>
      </c>
      <c r="B56" s="8" t="str">
        <f>IF('سجل الفراغات'!B56="","",'سجل الفراغات'!B56)</f>
        <v/>
      </c>
      <c r="C56" s="33" t="str">
        <f>IF($B56="","",'سجل الفراغات'!C56&amp;"")</f>
        <v/>
      </c>
      <c r="D56" s="8" t="str">
        <f>IF($B56="","",'سجل الفراغات'!D56&amp;"")</f>
        <v/>
      </c>
      <c r="E56" s="14" t="str">
        <f t="shared" si="15"/>
        <v/>
      </c>
      <c r="F56" s="14" t="str">
        <f t="shared" si="16"/>
        <v/>
      </c>
      <c r="G56" s="14" t="str">
        <f t="shared" si="17"/>
        <v/>
      </c>
      <c r="H56" s="14" t="str">
        <f t="shared" si="18"/>
        <v/>
      </c>
      <c r="I56" s="14" t="str">
        <f t="shared" si="19"/>
        <v/>
      </c>
      <c r="J56" s="14" t="str">
        <f t="shared" si="20"/>
        <v/>
      </c>
      <c r="K56" s="14" t="str">
        <f t="shared" si="21"/>
        <v/>
      </c>
      <c r="L56" s="14" t="str">
        <f t="shared" si="22"/>
        <v/>
      </c>
      <c r="M56" s="14" t="str">
        <f t="shared" si="23"/>
        <v/>
      </c>
      <c r="N56" s="14" t="str">
        <f t="shared" si="24"/>
        <v/>
      </c>
      <c r="O56" s="14" t="str">
        <f t="shared" si="25"/>
        <v/>
      </c>
      <c r="P56" s="14" t="str">
        <f t="shared" si="26"/>
        <v/>
      </c>
      <c r="Q56" s="15" t="str">
        <f t="shared" si="27"/>
        <v/>
      </c>
      <c r="R56" s="15" t="str">
        <f t="shared" si="28"/>
        <v/>
      </c>
    </row>
    <row r="57" spans="1:18" x14ac:dyDescent="0.25">
      <c r="A57" s="8">
        <v>54</v>
      </c>
      <c r="B57" s="8" t="str">
        <f>IF('سجل الفراغات'!B57="","",'سجل الفراغات'!B57)</f>
        <v/>
      </c>
      <c r="C57" s="33" t="str">
        <f>IF($B57="","",'سجل الفراغات'!C57&amp;"")</f>
        <v/>
      </c>
      <c r="D57" s="8" t="str">
        <f>IF($B57="","",'سجل الفراغات'!D57&amp;"")</f>
        <v/>
      </c>
      <c r="E57" s="14" t="str">
        <f t="shared" si="15"/>
        <v/>
      </c>
      <c r="F57" s="14" t="str">
        <f t="shared" si="16"/>
        <v/>
      </c>
      <c r="G57" s="14" t="str">
        <f t="shared" si="17"/>
        <v/>
      </c>
      <c r="H57" s="14" t="str">
        <f t="shared" si="18"/>
        <v/>
      </c>
      <c r="I57" s="14" t="str">
        <f t="shared" si="19"/>
        <v/>
      </c>
      <c r="J57" s="14" t="str">
        <f t="shared" si="20"/>
        <v/>
      </c>
      <c r="K57" s="14" t="str">
        <f t="shared" si="21"/>
        <v/>
      </c>
      <c r="L57" s="14" t="str">
        <f t="shared" si="22"/>
        <v/>
      </c>
      <c r="M57" s="14" t="str">
        <f t="shared" si="23"/>
        <v/>
      </c>
      <c r="N57" s="14" t="str">
        <f t="shared" si="24"/>
        <v/>
      </c>
      <c r="O57" s="14" t="str">
        <f t="shared" si="25"/>
        <v/>
      </c>
      <c r="P57" s="14" t="str">
        <f t="shared" si="26"/>
        <v/>
      </c>
      <c r="Q57" s="15" t="str">
        <f t="shared" si="27"/>
        <v/>
      </c>
      <c r="R57" s="15" t="str">
        <f t="shared" si="28"/>
        <v/>
      </c>
    </row>
    <row r="58" spans="1:18" x14ac:dyDescent="0.25">
      <c r="A58" s="8">
        <v>55</v>
      </c>
      <c r="B58" s="8" t="str">
        <f>IF('سجل الفراغات'!B58="","",'سجل الفراغات'!B58)</f>
        <v/>
      </c>
      <c r="C58" s="33" t="str">
        <f>IF($B58="","",'سجل الفراغات'!C58&amp;"")</f>
        <v/>
      </c>
      <c r="D58" s="8" t="str">
        <f>IF($B58="","",'سجل الفراغات'!D58&amp;"")</f>
        <v/>
      </c>
      <c r="E58" s="14" t="str">
        <f t="shared" si="15"/>
        <v/>
      </c>
      <c r="F58" s="14" t="str">
        <f t="shared" si="16"/>
        <v/>
      </c>
      <c r="G58" s="14" t="str">
        <f t="shared" si="17"/>
        <v/>
      </c>
      <c r="H58" s="14" t="str">
        <f t="shared" si="18"/>
        <v/>
      </c>
      <c r="I58" s="14" t="str">
        <f t="shared" si="19"/>
        <v/>
      </c>
      <c r="J58" s="14" t="str">
        <f t="shared" si="20"/>
        <v/>
      </c>
      <c r="K58" s="14" t="str">
        <f t="shared" si="21"/>
        <v/>
      </c>
      <c r="L58" s="14" t="str">
        <f t="shared" si="22"/>
        <v/>
      </c>
      <c r="M58" s="14" t="str">
        <f t="shared" si="23"/>
        <v/>
      </c>
      <c r="N58" s="14" t="str">
        <f t="shared" si="24"/>
        <v/>
      </c>
      <c r="O58" s="14" t="str">
        <f t="shared" si="25"/>
        <v/>
      </c>
      <c r="P58" s="14" t="str">
        <f t="shared" si="26"/>
        <v/>
      </c>
      <c r="Q58" s="15" t="str">
        <f t="shared" si="27"/>
        <v/>
      </c>
      <c r="R58" s="15" t="str">
        <f t="shared" si="28"/>
        <v/>
      </c>
    </row>
    <row r="59" spans="1:18" x14ac:dyDescent="0.25">
      <c r="A59" s="8">
        <v>56</v>
      </c>
      <c r="B59" s="8" t="str">
        <f>IF('سجل الفراغات'!B59="","",'سجل الفراغات'!B59)</f>
        <v/>
      </c>
      <c r="C59" s="33" t="str">
        <f>IF($B59="","",'سجل الفراغات'!C59&amp;"")</f>
        <v/>
      </c>
      <c r="D59" s="8" t="str">
        <f>IF($B59="","",'سجل الفراغات'!D59&amp;"")</f>
        <v/>
      </c>
      <c r="E59" s="14" t="str">
        <f t="shared" si="15"/>
        <v/>
      </c>
      <c r="F59" s="14" t="str">
        <f t="shared" si="16"/>
        <v/>
      </c>
      <c r="G59" s="14" t="str">
        <f t="shared" si="17"/>
        <v/>
      </c>
      <c r="H59" s="14" t="str">
        <f t="shared" si="18"/>
        <v/>
      </c>
      <c r="I59" s="14" t="str">
        <f t="shared" si="19"/>
        <v/>
      </c>
      <c r="J59" s="14" t="str">
        <f t="shared" si="20"/>
        <v/>
      </c>
      <c r="K59" s="14" t="str">
        <f t="shared" si="21"/>
        <v/>
      </c>
      <c r="L59" s="14" t="str">
        <f t="shared" si="22"/>
        <v/>
      </c>
      <c r="M59" s="14" t="str">
        <f t="shared" si="23"/>
        <v/>
      </c>
      <c r="N59" s="14" t="str">
        <f t="shared" si="24"/>
        <v/>
      </c>
      <c r="O59" s="14" t="str">
        <f t="shared" si="25"/>
        <v/>
      </c>
      <c r="P59" s="14" t="str">
        <f t="shared" si="26"/>
        <v/>
      </c>
      <c r="Q59" s="15" t="str">
        <f t="shared" si="27"/>
        <v/>
      </c>
      <c r="R59" s="15" t="str">
        <f t="shared" si="28"/>
        <v/>
      </c>
    </row>
    <row r="60" spans="1:18" x14ac:dyDescent="0.25">
      <c r="A60" s="8">
        <v>57</v>
      </c>
      <c r="B60" s="8" t="str">
        <f>IF('سجل الفراغات'!B60="","",'سجل الفراغات'!B60)</f>
        <v/>
      </c>
      <c r="C60" s="33" t="str">
        <f>IF($B60="","",'سجل الفراغات'!C60&amp;"")</f>
        <v/>
      </c>
      <c r="D60" s="8" t="str">
        <f>IF($B60="","",'سجل الفراغات'!D60&amp;"")</f>
        <v/>
      </c>
      <c r="E60" s="14" t="str">
        <f t="shared" si="15"/>
        <v/>
      </c>
      <c r="F60" s="14" t="str">
        <f t="shared" si="16"/>
        <v/>
      </c>
      <c r="G60" s="14" t="str">
        <f t="shared" si="17"/>
        <v/>
      </c>
      <c r="H60" s="14" t="str">
        <f t="shared" si="18"/>
        <v/>
      </c>
      <c r="I60" s="14" t="str">
        <f t="shared" si="19"/>
        <v/>
      </c>
      <c r="J60" s="14" t="str">
        <f t="shared" si="20"/>
        <v/>
      </c>
      <c r="K60" s="14" t="str">
        <f t="shared" si="21"/>
        <v/>
      </c>
      <c r="L60" s="14" t="str">
        <f t="shared" si="22"/>
        <v/>
      </c>
      <c r="M60" s="14" t="str">
        <f t="shared" si="23"/>
        <v/>
      </c>
      <c r="N60" s="14" t="str">
        <f t="shared" si="24"/>
        <v/>
      </c>
      <c r="O60" s="14" t="str">
        <f t="shared" si="25"/>
        <v/>
      </c>
      <c r="P60" s="14" t="str">
        <f t="shared" si="26"/>
        <v/>
      </c>
      <c r="Q60" s="15" t="str">
        <f t="shared" si="27"/>
        <v/>
      </c>
      <c r="R60" s="15" t="str">
        <f t="shared" si="28"/>
        <v/>
      </c>
    </row>
    <row r="61" spans="1:18" x14ac:dyDescent="0.25">
      <c r="A61" s="8">
        <v>58</v>
      </c>
      <c r="B61" s="8" t="str">
        <f>IF('سجل الفراغات'!B61="","",'سجل الفراغات'!B61)</f>
        <v/>
      </c>
      <c r="C61" s="33" t="str">
        <f>IF($B61="","",'سجل الفراغات'!C61&amp;"")</f>
        <v/>
      </c>
      <c r="D61" s="8" t="str">
        <f>IF($B61="","",'سجل الفراغات'!D61&amp;"")</f>
        <v/>
      </c>
      <c r="E61" s="14" t="str">
        <f t="shared" si="15"/>
        <v/>
      </c>
      <c r="F61" s="14" t="str">
        <f t="shared" si="16"/>
        <v/>
      </c>
      <c r="G61" s="14" t="str">
        <f t="shared" si="17"/>
        <v/>
      </c>
      <c r="H61" s="14" t="str">
        <f t="shared" si="18"/>
        <v/>
      </c>
      <c r="I61" s="14" t="str">
        <f t="shared" si="19"/>
        <v/>
      </c>
      <c r="J61" s="14" t="str">
        <f t="shared" si="20"/>
        <v/>
      </c>
      <c r="K61" s="14" t="str">
        <f t="shared" si="21"/>
        <v/>
      </c>
      <c r="L61" s="14" t="str">
        <f t="shared" si="22"/>
        <v/>
      </c>
      <c r="M61" s="14" t="str">
        <f t="shared" si="23"/>
        <v/>
      </c>
      <c r="N61" s="14" t="str">
        <f t="shared" si="24"/>
        <v/>
      </c>
      <c r="O61" s="14" t="str">
        <f t="shared" si="25"/>
        <v/>
      </c>
      <c r="P61" s="14" t="str">
        <f t="shared" si="26"/>
        <v/>
      </c>
      <c r="Q61" s="15" t="str">
        <f t="shared" si="27"/>
        <v/>
      </c>
      <c r="R61" s="15" t="str">
        <f t="shared" si="28"/>
        <v/>
      </c>
    </row>
    <row r="62" spans="1:18" x14ac:dyDescent="0.25">
      <c r="A62" s="8">
        <v>59</v>
      </c>
      <c r="B62" s="8" t="str">
        <f>IF('سجل الفراغات'!B62="","",'سجل الفراغات'!B62)</f>
        <v/>
      </c>
      <c r="C62" s="33" t="str">
        <f>IF($B62="","",'سجل الفراغات'!C62&amp;"")</f>
        <v/>
      </c>
      <c r="D62" s="8" t="str">
        <f>IF($B62="","",'سجل الفراغات'!D62&amp;"")</f>
        <v/>
      </c>
      <c r="E62" s="14" t="str">
        <f t="shared" si="15"/>
        <v/>
      </c>
      <c r="F62" s="14" t="str">
        <f t="shared" si="16"/>
        <v/>
      </c>
      <c r="G62" s="14" t="str">
        <f t="shared" si="17"/>
        <v/>
      </c>
      <c r="H62" s="14" t="str">
        <f t="shared" si="18"/>
        <v/>
      </c>
      <c r="I62" s="14" t="str">
        <f t="shared" si="19"/>
        <v/>
      </c>
      <c r="J62" s="14" t="str">
        <f t="shared" si="20"/>
        <v/>
      </c>
      <c r="K62" s="14" t="str">
        <f t="shared" si="21"/>
        <v/>
      </c>
      <c r="L62" s="14" t="str">
        <f t="shared" si="22"/>
        <v/>
      </c>
      <c r="M62" s="14" t="str">
        <f t="shared" si="23"/>
        <v/>
      </c>
      <c r="N62" s="14" t="str">
        <f t="shared" si="24"/>
        <v/>
      </c>
      <c r="O62" s="14" t="str">
        <f t="shared" si="25"/>
        <v/>
      </c>
      <c r="P62" s="14" t="str">
        <f t="shared" si="26"/>
        <v/>
      </c>
      <c r="Q62" s="15" t="str">
        <f t="shared" si="27"/>
        <v/>
      </c>
      <c r="R62" s="15" t="str">
        <f t="shared" si="28"/>
        <v/>
      </c>
    </row>
    <row r="63" spans="1:18" x14ac:dyDescent="0.25">
      <c r="A63" s="8">
        <v>60</v>
      </c>
      <c r="B63" s="8" t="str">
        <f>IF('سجل الفراغات'!B63="","",'سجل الفراغات'!B63)</f>
        <v/>
      </c>
      <c r="C63" s="33" t="str">
        <f>IF($B63="","",'سجل الفراغات'!C63&amp;"")</f>
        <v/>
      </c>
      <c r="D63" s="8" t="str">
        <f>IF($B63="","",'سجل الفراغات'!D63&amp;"")</f>
        <v/>
      </c>
      <c r="E63" s="14" t="str">
        <f t="shared" si="15"/>
        <v/>
      </c>
      <c r="F63" s="14" t="str">
        <f t="shared" si="16"/>
        <v/>
      </c>
      <c r="G63" s="14" t="str">
        <f t="shared" si="17"/>
        <v/>
      </c>
      <c r="H63" s="14" t="str">
        <f t="shared" si="18"/>
        <v/>
      </c>
      <c r="I63" s="14" t="str">
        <f t="shared" si="19"/>
        <v/>
      </c>
      <c r="J63" s="14" t="str">
        <f t="shared" si="20"/>
        <v/>
      </c>
      <c r="K63" s="14" t="str">
        <f t="shared" si="21"/>
        <v/>
      </c>
      <c r="L63" s="14" t="str">
        <f t="shared" si="22"/>
        <v/>
      </c>
      <c r="M63" s="14" t="str">
        <f t="shared" si="23"/>
        <v/>
      </c>
      <c r="N63" s="14" t="str">
        <f t="shared" si="24"/>
        <v/>
      </c>
      <c r="O63" s="14" t="str">
        <f t="shared" si="25"/>
        <v/>
      </c>
      <c r="P63" s="14" t="str">
        <f t="shared" si="26"/>
        <v/>
      </c>
      <c r="Q63" s="15" t="str">
        <f t="shared" si="27"/>
        <v/>
      </c>
      <c r="R63" s="15" t="str">
        <f t="shared" si="28"/>
        <v/>
      </c>
    </row>
    <row r="64" spans="1:18" x14ac:dyDescent="0.25">
      <c r="A64" s="8">
        <v>61</v>
      </c>
      <c r="B64" s="8" t="str">
        <f>IF('سجل الفراغات'!B64="","",'سجل الفراغات'!B64)</f>
        <v/>
      </c>
      <c r="C64" s="33" t="str">
        <f>IF($B64="","",'سجل الفراغات'!C64&amp;"")</f>
        <v/>
      </c>
      <c r="D64" s="8" t="str">
        <f>IF($B64="","",'سجل الفراغات'!D64&amp;"")</f>
        <v/>
      </c>
      <c r="E64" s="14" t="str">
        <f t="shared" si="15"/>
        <v/>
      </c>
      <c r="F64" s="14" t="str">
        <f t="shared" si="16"/>
        <v/>
      </c>
      <c r="G64" s="14" t="str">
        <f t="shared" si="17"/>
        <v/>
      </c>
      <c r="H64" s="14" t="str">
        <f t="shared" si="18"/>
        <v/>
      </c>
      <c r="I64" s="14" t="str">
        <f t="shared" si="19"/>
        <v/>
      </c>
      <c r="J64" s="14" t="str">
        <f t="shared" si="20"/>
        <v/>
      </c>
      <c r="K64" s="14" t="str">
        <f t="shared" si="21"/>
        <v/>
      </c>
      <c r="L64" s="14" t="str">
        <f t="shared" si="22"/>
        <v/>
      </c>
      <c r="M64" s="14" t="str">
        <f t="shared" si="23"/>
        <v/>
      </c>
      <c r="N64" s="14" t="str">
        <f t="shared" si="24"/>
        <v/>
      </c>
      <c r="O64" s="14" t="str">
        <f t="shared" si="25"/>
        <v/>
      </c>
      <c r="P64" s="14" t="str">
        <f t="shared" si="26"/>
        <v/>
      </c>
      <c r="Q64" s="15" t="str">
        <f t="shared" si="27"/>
        <v/>
      </c>
      <c r="R64" s="15" t="str">
        <f t="shared" si="28"/>
        <v/>
      </c>
    </row>
    <row r="65" spans="1:18" x14ac:dyDescent="0.25">
      <c r="A65" s="8">
        <v>62</v>
      </c>
      <c r="B65" s="8" t="str">
        <f>IF('سجل الفراغات'!B65="","",'سجل الفراغات'!B65)</f>
        <v/>
      </c>
      <c r="C65" s="33" t="str">
        <f>IF($B65="","",'سجل الفراغات'!C65&amp;"")</f>
        <v/>
      </c>
      <c r="D65" s="8" t="str">
        <f>IF($B65="","",'سجل الفراغات'!D65&amp;"")</f>
        <v/>
      </c>
      <c r="E65" s="14" t="str">
        <f t="shared" si="15"/>
        <v/>
      </c>
      <c r="F65" s="14" t="str">
        <f t="shared" si="16"/>
        <v/>
      </c>
      <c r="G65" s="14" t="str">
        <f t="shared" si="17"/>
        <v/>
      </c>
      <c r="H65" s="14" t="str">
        <f t="shared" si="18"/>
        <v/>
      </c>
      <c r="I65" s="14" t="str">
        <f t="shared" si="19"/>
        <v/>
      </c>
      <c r="J65" s="14" t="str">
        <f t="shared" si="20"/>
        <v/>
      </c>
      <c r="K65" s="14" t="str">
        <f t="shared" si="21"/>
        <v/>
      </c>
      <c r="L65" s="14" t="str">
        <f t="shared" si="22"/>
        <v/>
      </c>
      <c r="M65" s="14" t="str">
        <f t="shared" si="23"/>
        <v/>
      </c>
      <c r="N65" s="14" t="str">
        <f t="shared" si="24"/>
        <v/>
      </c>
      <c r="O65" s="14" t="str">
        <f t="shared" si="25"/>
        <v/>
      </c>
      <c r="P65" s="14" t="str">
        <f t="shared" si="26"/>
        <v/>
      </c>
      <c r="Q65" s="15" t="str">
        <f t="shared" si="27"/>
        <v/>
      </c>
      <c r="R65" s="15" t="str">
        <f t="shared" si="28"/>
        <v/>
      </c>
    </row>
    <row r="66" spans="1:18" x14ac:dyDescent="0.25">
      <c r="A66" s="8">
        <v>63</v>
      </c>
      <c r="B66" s="8" t="str">
        <f>IF('سجل الفراغات'!B66="","",'سجل الفراغات'!B66)</f>
        <v/>
      </c>
      <c r="C66" s="33" t="str">
        <f>IF($B66="","",'سجل الفراغات'!C66&amp;"")</f>
        <v/>
      </c>
      <c r="D66" s="8" t="str">
        <f>IF($B66="","",'سجل الفراغات'!D66&amp;"")</f>
        <v/>
      </c>
      <c r="E66" s="14" t="str">
        <f t="shared" si="15"/>
        <v/>
      </c>
      <c r="F66" s="14" t="str">
        <f t="shared" si="16"/>
        <v/>
      </c>
      <c r="G66" s="14" t="str">
        <f t="shared" si="17"/>
        <v/>
      </c>
      <c r="H66" s="14" t="str">
        <f t="shared" si="18"/>
        <v/>
      </c>
      <c r="I66" s="14" t="str">
        <f t="shared" si="19"/>
        <v/>
      </c>
      <c r="J66" s="14" t="str">
        <f t="shared" si="20"/>
        <v/>
      </c>
      <c r="K66" s="14" t="str">
        <f t="shared" si="21"/>
        <v/>
      </c>
      <c r="L66" s="14" t="str">
        <f t="shared" si="22"/>
        <v/>
      </c>
      <c r="M66" s="14" t="str">
        <f t="shared" si="23"/>
        <v/>
      </c>
      <c r="N66" s="14" t="str">
        <f t="shared" si="24"/>
        <v/>
      </c>
      <c r="O66" s="14" t="str">
        <f t="shared" si="25"/>
        <v/>
      </c>
      <c r="P66" s="14" t="str">
        <f t="shared" si="26"/>
        <v/>
      </c>
      <c r="Q66" s="15" t="str">
        <f t="shared" si="27"/>
        <v/>
      </c>
      <c r="R66" s="15" t="str">
        <f t="shared" si="28"/>
        <v/>
      </c>
    </row>
    <row r="67" spans="1:18" x14ac:dyDescent="0.25">
      <c r="A67" s="8">
        <v>64</v>
      </c>
      <c r="B67" s="8" t="str">
        <f>IF('سجل الفراغات'!B67="","",'سجل الفراغات'!B67)</f>
        <v/>
      </c>
      <c r="C67" s="33" t="str">
        <f>IF($B67="","",'سجل الفراغات'!C67&amp;"")</f>
        <v/>
      </c>
      <c r="D67" s="8" t="str">
        <f>IF($B67="","",'سجل الفراغات'!D67&amp;"")</f>
        <v/>
      </c>
      <c r="E67" s="14" t="str">
        <f t="shared" si="15"/>
        <v/>
      </c>
      <c r="F67" s="14" t="str">
        <f t="shared" si="16"/>
        <v/>
      </c>
      <c r="G67" s="14" t="str">
        <f t="shared" si="17"/>
        <v/>
      </c>
      <c r="H67" s="14" t="str">
        <f t="shared" si="18"/>
        <v/>
      </c>
      <c r="I67" s="14" t="str">
        <f t="shared" si="19"/>
        <v/>
      </c>
      <c r="J67" s="14" t="str">
        <f t="shared" si="20"/>
        <v/>
      </c>
      <c r="K67" s="14" t="str">
        <f t="shared" si="21"/>
        <v/>
      </c>
      <c r="L67" s="14" t="str">
        <f t="shared" si="22"/>
        <v/>
      </c>
      <c r="M67" s="14" t="str">
        <f t="shared" si="23"/>
        <v/>
      </c>
      <c r="N67" s="14" t="str">
        <f t="shared" si="24"/>
        <v/>
      </c>
      <c r="O67" s="14" t="str">
        <f t="shared" si="25"/>
        <v/>
      </c>
      <c r="P67" s="14" t="str">
        <f t="shared" si="26"/>
        <v/>
      </c>
      <c r="Q67" s="15" t="str">
        <f t="shared" si="27"/>
        <v/>
      </c>
      <c r="R67" s="15" t="str">
        <f t="shared" si="28"/>
        <v/>
      </c>
    </row>
    <row r="68" spans="1:18" x14ac:dyDescent="0.25">
      <c r="A68" s="8">
        <v>65</v>
      </c>
      <c r="B68" s="8" t="str">
        <f>IF('سجل الفراغات'!B68="","",'سجل الفراغات'!B68)</f>
        <v/>
      </c>
      <c r="C68" s="33" t="str">
        <f>IF($B68="","",'سجل الفراغات'!C68&amp;"")</f>
        <v/>
      </c>
      <c r="D68" s="8" t="str">
        <f>IF($B68="","",'سجل الفراغات'!D68&amp;"")</f>
        <v/>
      </c>
      <c r="E68" s="14" t="str">
        <f t="shared" ref="E68:E99" si="29">IF($B68="","",SUMIFS(FL_Net,FL_Space,$B68,FL_Unit,"م²"))</f>
        <v/>
      </c>
      <c r="F68" s="14" t="str">
        <f t="shared" ref="F68:F99" si="30">IF($B68="","",SUMIFS(WL_Gross,WL_Space,$B68,WL_Unit,"م²"))</f>
        <v/>
      </c>
      <c r="G68" s="14" t="str">
        <f t="shared" ref="G68:G99" si="31">IF($B68="","",SUMIFS(WL_Ded,WL_Space,$B68,WL_Unit,"م²"))</f>
        <v/>
      </c>
      <c r="H68" s="14" t="str">
        <f t="shared" ref="H68:H99" si="32">IF($B68="","",SUMIFS(WL_Net,WL_Space,$B68,WL_Unit,"م²"))</f>
        <v/>
      </c>
      <c r="I68" s="14" t="str">
        <f t="shared" ref="I68:I99" si="33">IF($B68="","",SUMIFS(CL_Net,CL_Space,$B68,CL_Unit,"م²"))</f>
        <v/>
      </c>
      <c r="J68" s="14" t="str">
        <f t="shared" ref="J68:J99" si="34">IF($B68="","",SUMIFS(PL_Gross,PL_Space,$B68,PL_Unit,"م²"))</f>
        <v/>
      </c>
      <c r="K68" s="14" t="str">
        <f t="shared" ref="K68:K99" si="35">IF($B68="","",SUMIFS(PL_Ded,PL_Space,$B68,PL_Unit,"م²"))</f>
        <v/>
      </c>
      <c r="L68" s="14" t="str">
        <f t="shared" ref="L68:L99" si="36">IF($B68="","",SUMIFS(PL_Net,PL_Space,$B68,PL_Unit,"م²"))</f>
        <v/>
      </c>
      <c r="M68" s="14" t="str">
        <f t="shared" ref="M68:M99" si="37">IF($B68="","",SUMIFS(LN_Gross,LN_Space,$B68,LN_Unit,"م.ط"))</f>
        <v/>
      </c>
      <c r="N68" s="14" t="str">
        <f t="shared" ref="N68:N99" si="38">IF($B68="","",SUMIFS(LN_Ded,LN_Space,$B68,LN_Unit,"م.ط"))</f>
        <v/>
      </c>
      <c r="O68" s="14" t="str">
        <f t="shared" ref="O68:O99" si="39">IF($B68="","",SUMIFS(LN_Net,LN_Space,$B68,LN_Unit,"م.ط"))</f>
        <v/>
      </c>
      <c r="P68" s="14" t="str">
        <f t="shared" ref="P68:P99" si="40">IF($B68="","",SUMIFS(FL_Net,FL_Space,$B68,FL_Unit,"عدد")+SUMIFS(WL_Net,WL_Space,$B68,WL_Unit,"عدد")+SUMIFS(CL_Net,CL_Space,$B68,CL_Unit,"عدد")+SUMIFS(PL_Net,PL_Space,$B68,PL_Unit,"عدد")+SUMIFS(LN_Net,LN_Space,$B68,LN_Unit,"عدد"))</f>
        <v/>
      </c>
      <c r="Q68" s="15" t="str">
        <f t="shared" ref="Q68:Q99" si="41">IF($B68="","",COUNTIFS(OP_Space,$B68))</f>
        <v/>
      </c>
      <c r="R68" s="15" t="str">
        <f t="shared" ref="R68:R99" si="42">IF($B68="","",COUNTIFS(FL_Space,$B68)-COUNTIFS(FL_Space,$B68,FL_Status,"مكتمل")-COUNTIFS(FL_Space,$B68,FL_Status,"مستبعد من الحصر")+COUNTIFS(CL_Space,$B68)-COUNTIFS(CL_Space,$B68,CL_Status,"مكتمل")-COUNTIFS(CL_Space,$B68,CL_Status,"مستبعد من الحصر")+COUNTIFS(WL_Space,$B68)-COUNTIFS(WL_Space,$B68,WL_Status,"مكتمل")+COUNTIFS(PL_Space,$B68)-COUNTIFS(PL_Space,$B68,PL_Status,"مكتمل")+COUNTIFS(LN_Space,$B68)-COUNTIFS(LN_Space,$B68,LN_Status,"مكتمل")+COUNTIFS(OP_Space,$B68)-COUNTIFS(OP_Space,$B68,OP_Status,"مكتمل"))</f>
        <v/>
      </c>
    </row>
    <row r="69" spans="1:18" x14ac:dyDescent="0.25">
      <c r="A69" s="8">
        <v>66</v>
      </c>
      <c r="B69" s="8" t="str">
        <f>IF('سجل الفراغات'!B69="","",'سجل الفراغات'!B69)</f>
        <v/>
      </c>
      <c r="C69" s="33" t="str">
        <f>IF($B69="","",'سجل الفراغات'!C69&amp;"")</f>
        <v/>
      </c>
      <c r="D69" s="8" t="str">
        <f>IF($B69="","",'سجل الفراغات'!D69&amp;"")</f>
        <v/>
      </c>
      <c r="E69" s="14" t="str">
        <f t="shared" si="29"/>
        <v/>
      </c>
      <c r="F69" s="14" t="str">
        <f t="shared" si="30"/>
        <v/>
      </c>
      <c r="G69" s="14" t="str">
        <f t="shared" si="31"/>
        <v/>
      </c>
      <c r="H69" s="14" t="str">
        <f t="shared" si="32"/>
        <v/>
      </c>
      <c r="I69" s="14" t="str">
        <f t="shared" si="33"/>
        <v/>
      </c>
      <c r="J69" s="14" t="str">
        <f t="shared" si="34"/>
        <v/>
      </c>
      <c r="K69" s="14" t="str">
        <f t="shared" si="35"/>
        <v/>
      </c>
      <c r="L69" s="14" t="str">
        <f t="shared" si="36"/>
        <v/>
      </c>
      <c r="M69" s="14" t="str">
        <f t="shared" si="37"/>
        <v/>
      </c>
      <c r="N69" s="14" t="str">
        <f t="shared" si="38"/>
        <v/>
      </c>
      <c r="O69" s="14" t="str">
        <f t="shared" si="39"/>
        <v/>
      </c>
      <c r="P69" s="14" t="str">
        <f t="shared" si="40"/>
        <v/>
      </c>
      <c r="Q69" s="15" t="str">
        <f t="shared" si="41"/>
        <v/>
      </c>
      <c r="R69" s="15" t="str">
        <f t="shared" si="42"/>
        <v/>
      </c>
    </row>
    <row r="70" spans="1:18" x14ac:dyDescent="0.25">
      <c r="A70" s="8">
        <v>67</v>
      </c>
      <c r="B70" s="8" t="str">
        <f>IF('سجل الفراغات'!B70="","",'سجل الفراغات'!B70)</f>
        <v/>
      </c>
      <c r="C70" s="33" t="str">
        <f>IF($B70="","",'سجل الفراغات'!C70&amp;"")</f>
        <v/>
      </c>
      <c r="D70" s="8" t="str">
        <f>IF($B70="","",'سجل الفراغات'!D70&amp;"")</f>
        <v/>
      </c>
      <c r="E70" s="14" t="str">
        <f t="shared" si="29"/>
        <v/>
      </c>
      <c r="F70" s="14" t="str">
        <f t="shared" si="30"/>
        <v/>
      </c>
      <c r="G70" s="14" t="str">
        <f t="shared" si="31"/>
        <v/>
      </c>
      <c r="H70" s="14" t="str">
        <f t="shared" si="32"/>
        <v/>
      </c>
      <c r="I70" s="14" t="str">
        <f t="shared" si="33"/>
        <v/>
      </c>
      <c r="J70" s="14" t="str">
        <f t="shared" si="34"/>
        <v/>
      </c>
      <c r="K70" s="14" t="str">
        <f t="shared" si="35"/>
        <v/>
      </c>
      <c r="L70" s="14" t="str">
        <f t="shared" si="36"/>
        <v/>
      </c>
      <c r="M70" s="14" t="str">
        <f t="shared" si="37"/>
        <v/>
      </c>
      <c r="N70" s="14" t="str">
        <f t="shared" si="38"/>
        <v/>
      </c>
      <c r="O70" s="14" t="str">
        <f t="shared" si="39"/>
        <v/>
      </c>
      <c r="P70" s="14" t="str">
        <f t="shared" si="40"/>
        <v/>
      </c>
      <c r="Q70" s="15" t="str">
        <f t="shared" si="41"/>
        <v/>
      </c>
      <c r="R70" s="15" t="str">
        <f t="shared" si="42"/>
        <v/>
      </c>
    </row>
    <row r="71" spans="1:18" x14ac:dyDescent="0.25">
      <c r="A71" s="8">
        <v>68</v>
      </c>
      <c r="B71" s="8" t="str">
        <f>IF('سجل الفراغات'!B71="","",'سجل الفراغات'!B71)</f>
        <v/>
      </c>
      <c r="C71" s="33" t="str">
        <f>IF($B71="","",'سجل الفراغات'!C71&amp;"")</f>
        <v/>
      </c>
      <c r="D71" s="8" t="str">
        <f>IF($B71="","",'سجل الفراغات'!D71&amp;"")</f>
        <v/>
      </c>
      <c r="E71" s="14" t="str">
        <f t="shared" si="29"/>
        <v/>
      </c>
      <c r="F71" s="14" t="str">
        <f t="shared" si="30"/>
        <v/>
      </c>
      <c r="G71" s="14" t="str">
        <f t="shared" si="31"/>
        <v/>
      </c>
      <c r="H71" s="14" t="str">
        <f t="shared" si="32"/>
        <v/>
      </c>
      <c r="I71" s="14" t="str">
        <f t="shared" si="33"/>
        <v/>
      </c>
      <c r="J71" s="14" t="str">
        <f t="shared" si="34"/>
        <v/>
      </c>
      <c r="K71" s="14" t="str">
        <f t="shared" si="35"/>
        <v/>
      </c>
      <c r="L71" s="14" t="str">
        <f t="shared" si="36"/>
        <v/>
      </c>
      <c r="M71" s="14" t="str">
        <f t="shared" si="37"/>
        <v/>
      </c>
      <c r="N71" s="14" t="str">
        <f t="shared" si="38"/>
        <v/>
      </c>
      <c r="O71" s="14" t="str">
        <f t="shared" si="39"/>
        <v/>
      </c>
      <c r="P71" s="14" t="str">
        <f t="shared" si="40"/>
        <v/>
      </c>
      <c r="Q71" s="15" t="str">
        <f t="shared" si="41"/>
        <v/>
      </c>
      <c r="R71" s="15" t="str">
        <f t="shared" si="42"/>
        <v/>
      </c>
    </row>
    <row r="72" spans="1:18" x14ac:dyDescent="0.25">
      <c r="A72" s="8">
        <v>69</v>
      </c>
      <c r="B72" s="8" t="str">
        <f>IF('سجل الفراغات'!B72="","",'سجل الفراغات'!B72)</f>
        <v/>
      </c>
      <c r="C72" s="33" t="str">
        <f>IF($B72="","",'سجل الفراغات'!C72&amp;"")</f>
        <v/>
      </c>
      <c r="D72" s="8" t="str">
        <f>IF($B72="","",'سجل الفراغات'!D72&amp;"")</f>
        <v/>
      </c>
      <c r="E72" s="14" t="str">
        <f t="shared" si="29"/>
        <v/>
      </c>
      <c r="F72" s="14" t="str">
        <f t="shared" si="30"/>
        <v/>
      </c>
      <c r="G72" s="14" t="str">
        <f t="shared" si="31"/>
        <v/>
      </c>
      <c r="H72" s="14" t="str">
        <f t="shared" si="32"/>
        <v/>
      </c>
      <c r="I72" s="14" t="str">
        <f t="shared" si="33"/>
        <v/>
      </c>
      <c r="J72" s="14" t="str">
        <f t="shared" si="34"/>
        <v/>
      </c>
      <c r="K72" s="14" t="str">
        <f t="shared" si="35"/>
        <v/>
      </c>
      <c r="L72" s="14" t="str">
        <f t="shared" si="36"/>
        <v/>
      </c>
      <c r="M72" s="14" t="str">
        <f t="shared" si="37"/>
        <v/>
      </c>
      <c r="N72" s="14" t="str">
        <f t="shared" si="38"/>
        <v/>
      </c>
      <c r="O72" s="14" t="str">
        <f t="shared" si="39"/>
        <v/>
      </c>
      <c r="P72" s="14" t="str">
        <f t="shared" si="40"/>
        <v/>
      </c>
      <c r="Q72" s="15" t="str">
        <f t="shared" si="41"/>
        <v/>
      </c>
      <c r="R72" s="15" t="str">
        <f t="shared" si="42"/>
        <v/>
      </c>
    </row>
    <row r="73" spans="1:18" x14ac:dyDescent="0.25">
      <c r="A73" s="8">
        <v>70</v>
      </c>
      <c r="B73" s="8" t="str">
        <f>IF('سجل الفراغات'!B73="","",'سجل الفراغات'!B73)</f>
        <v/>
      </c>
      <c r="C73" s="33" t="str">
        <f>IF($B73="","",'سجل الفراغات'!C73&amp;"")</f>
        <v/>
      </c>
      <c r="D73" s="8" t="str">
        <f>IF($B73="","",'سجل الفراغات'!D73&amp;"")</f>
        <v/>
      </c>
      <c r="E73" s="14" t="str">
        <f t="shared" si="29"/>
        <v/>
      </c>
      <c r="F73" s="14" t="str">
        <f t="shared" si="30"/>
        <v/>
      </c>
      <c r="G73" s="14" t="str">
        <f t="shared" si="31"/>
        <v/>
      </c>
      <c r="H73" s="14" t="str">
        <f t="shared" si="32"/>
        <v/>
      </c>
      <c r="I73" s="14" t="str">
        <f t="shared" si="33"/>
        <v/>
      </c>
      <c r="J73" s="14" t="str">
        <f t="shared" si="34"/>
        <v/>
      </c>
      <c r="K73" s="14" t="str">
        <f t="shared" si="35"/>
        <v/>
      </c>
      <c r="L73" s="14" t="str">
        <f t="shared" si="36"/>
        <v/>
      </c>
      <c r="M73" s="14" t="str">
        <f t="shared" si="37"/>
        <v/>
      </c>
      <c r="N73" s="14" t="str">
        <f t="shared" si="38"/>
        <v/>
      </c>
      <c r="O73" s="14" t="str">
        <f t="shared" si="39"/>
        <v/>
      </c>
      <c r="P73" s="14" t="str">
        <f t="shared" si="40"/>
        <v/>
      </c>
      <c r="Q73" s="15" t="str">
        <f t="shared" si="41"/>
        <v/>
      </c>
      <c r="R73" s="15" t="str">
        <f t="shared" si="42"/>
        <v/>
      </c>
    </row>
    <row r="74" spans="1:18" x14ac:dyDescent="0.25">
      <c r="A74" s="8">
        <v>71</v>
      </c>
      <c r="B74" s="8" t="str">
        <f>IF('سجل الفراغات'!B74="","",'سجل الفراغات'!B74)</f>
        <v/>
      </c>
      <c r="C74" s="33" t="str">
        <f>IF($B74="","",'سجل الفراغات'!C74&amp;"")</f>
        <v/>
      </c>
      <c r="D74" s="8" t="str">
        <f>IF($B74="","",'سجل الفراغات'!D74&amp;"")</f>
        <v/>
      </c>
      <c r="E74" s="14" t="str">
        <f t="shared" si="29"/>
        <v/>
      </c>
      <c r="F74" s="14" t="str">
        <f t="shared" si="30"/>
        <v/>
      </c>
      <c r="G74" s="14" t="str">
        <f t="shared" si="31"/>
        <v/>
      </c>
      <c r="H74" s="14" t="str">
        <f t="shared" si="32"/>
        <v/>
      </c>
      <c r="I74" s="14" t="str">
        <f t="shared" si="33"/>
        <v/>
      </c>
      <c r="J74" s="14" t="str">
        <f t="shared" si="34"/>
        <v/>
      </c>
      <c r="K74" s="14" t="str">
        <f t="shared" si="35"/>
        <v/>
      </c>
      <c r="L74" s="14" t="str">
        <f t="shared" si="36"/>
        <v/>
      </c>
      <c r="M74" s="14" t="str">
        <f t="shared" si="37"/>
        <v/>
      </c>
      <c r="N74" s="14" t="str">
        <f t="shared" si="38"/>
        <v/>
      </c>
      <c r="O74" s="14" t="str">
        <f t="shared" si="39"/>
        <v/>
      </c>
      <c r="P74" s="14" t="str">
        <f t="shared" si="40"/>
        <v/>
      </c>
      <c r="Q74" s="15" t="str">
        <f t="shared" si="41"/>
        <v/>
      </c>
      <c r="R74" s="15" t="str">
        <f t="shared" si="42"/>
        <v/>
      </c>
    </row>
    <row r="75" spans="1:18" x14ac:dyDescent="0.25">
      <c r="A75" s="8">
        <v>72</v>
      </c>
      <c r="B75" s="8" t="str">
        <f>IF('سجل الفراغات'!B75="","",'سجل الفراغات'!B75)</f>
        <v/>
      </c>
      <c r="C75" s="33" t="str">
        <f>IF($B75="","",'سجل الفراغات'!C75&amp;"")</f>
        <v/>
      </c>
      <c r="D75" s="8" t="str">
        <f>IF($B75="","",'سجل الفراغات'!D75&amp;"")</f>
        <v/>
      </c>
      <c r="E75" s="14" t="str">
        <f t="shared" si="29"/>
        <v/>
      </c>
      <c r="F75" s="14" t="str">
        <f t="shared" si="30"/>
        <v/>
      </c>
      <c r="G75" s="14" t="str">
        <f t="shared" si="31"/>
        <v/>
      </c>
      <c r="H75" s="14" t="str">
        <f t="shared" si="32"/>
        <v/>
      </c>
      <c r="I75" s="14" t="str">
        <f t="shared" si="33"/>
        <v/>
      </c>
      <c r="J75" s="14" t="str">
        <f t="shared" si="34"/>
        <v/>
      </c>
      <c r="K75" s="14" t="str">
        <f t="shared" si="35"/>
        <v/>
      </c>
      <c r="L75" s="14" t="str">
        <f t="shared" si="36"/>
        <v/>
      </c>
      <c r="M75" s="14" t="str">
        <f t="shared" si="37"/>
        <v/>
      </c>
      <c r="N75" s="14" t="str">
        <f t="shared" si="38"/>
        <v/>
      </c>
      <c r="O75" s="14" t="str">
        <f t="shared" si="39"/>
        <v/>
      </c>
      <c r="P75" s="14" t="str">
        <f t="shared" si="40"/>
        <v/>
      </c>
      <c r="Q75" s="15" t="str">
        <f t="shared" si="41"/>
        <v/>
      </c>
      <c r="R75" s="15" t="str">
        <f t="shared" si="42"/>
        <v/>
      </c>
    </row>
    <row r="76" spans="1:18" x14ac:dyDescent="0.25">
      <c r="A76" s="8">
        <v>73</v>
      </c>
      <c r="B76" s="8" t="str">
        <f>IF('سجل الفراغات'!B76="","",'سجل الفراغات'!B76)</f>
        <v/>
      </c>
      <c r="C76" s="33" t="str">
        <f>IF($B76="","",'سجل الفراغات'!C76&amp;"")</f>
        <v/>
      </c>
      <c r="D76" s="8" t="str">
        <f>IF($B76="","",'سجل الفراغات'!D76&amp;"")</f>
        <v/>
      </c>
      <c r="E76" s="14" t="str">
        <f t="shared" si="29"/>
        <v/>
      </c>
      <c r="F76" s="14" t="str">
        <f t="shared" si="30"/>
        <v/>
      </c>
      <c r="G76" s="14" t="str">
        <f t="shared" si="31"/>
        <v/>
      </c>
      <c r="H76" s="14" t="str">
        <f t="shared" si="32"/>
        <v/>
      </c>
      <c r="I76" s="14" t="str">
        <f t="shared" si="33"/>
        <v/>
      </c>
      <c r="J76" s="14" t="str">
        <f t="shared" si="34"/>
        <v/>
      </c>
      <c r="K76" s="14" t="str">
        <f t="shared" si="35"/>
        <v/>
      </c>
      <c r="L76" s="14" t="str">
        <f t="shared" si="36"/>
        <v/>
      </c>
      <c r="M76" s="14" t="str">
        <f t="shared" si="37"/>
        <v/>
      </c>
      <c r="N76" s="14" t="str">
        <f t="shared" si="38"/>
        <v/>
      </c>
      <c r="O76" s="14" t="str">
        <f t="shared" si="39"/>
        <v/>
      </c>
      <c r="P76" s="14" t="str">
        <f t="shared" si="40"/>
        <v/>
      </c>
      <c r="Q76" s="15" t="str">
        <f t="shared" si="41"/>
        <v/>
      </c>
      <c r="R76" s="15" t="str">
        <f t="shared" si="42"/>
        <v/>
      </c>
    </row>
    <row r="77" spans="1:18" x14ac:dyDescent="0.25">
      <c r="A77" s="8">
        <v>74</v>
      </c>
      <c r="B77" s="8" t="str">
        <f>IF('سجل الفراغات'!B77="","",'سجل الفراغات'!B77)</f>
        <v/>
      </c>
      <c r="C77" s="33" t="str">
        <f>IF($B77="","",'سجل الفراغات'!C77&amp;"")</f>
        <v/>
      </c>
      <c r="D77" s="8" t="str">
        <f>IF($B77="","",'سجل الفراغات'!D77&amp;"")</f>
        <v/>
      </c>
      <c r="E77" s="14" t="str">
        <f t="shared" si="29"/>
        <v/>
      </c>
      <c r="F77" s="14" t="str">
        <f t="shared" si="30"/>
        <v/>
      </c>
      <c r="G77" s="14" t="str">
        <f t="shared" si="31"/>
        <v/>
      </c>
      <c r="H77" s="14" t="str">
        <f t="shared" si="32"/>
        <v/>
      </c>
      <c r="I77" s="14" t="str">
        <f t="shared" si="33"/>
        <v/>
      </c>
      <c r="J77" s="14" t="str">
        <f t="shared" si="34"/>
        <v/>
      </c>
      <c r="K77" s="14" t="str">
        <f t="shared" si="35"/>
        <v/>
      </c>
      <c r="L77" s="14" t="str">
        <f t="shared" si="36"/>
        <v/>
      </c>
      <c r="M77" s="14" t="str">
        <f t="shared" si="37"/>
        <v/>
      </c>
      <c r="N77" s="14" t="str">
        <f t="shared" si="38"/>
        <v/>
      </c>
      <c r="O77" s="14" t="str">
        <f t="shared" si="39"/>
        <v/>
      </c>
      <c r="P77" s="14" t="str">
        <f t="shared" si="40"/>
        <v/>
      </c>
      <c r="Q77" s="15" t="str">
        <f t="shared" si="41"/>
        <v/>
      </c>
      <c r="R77" s="15" t="str">
        <f t="shared" si="42"/>
        <v/>
      </c>
    </row>
    <row r="78" spans="1:18" x14ac:dyDescent="0.25">
      <c r="A78" s="8">
        <v>75</v>
      </c>
      <c r="B78" s="8" t="str">
        <f>IF('سجل الفراغات'!B78="","",'سجل الفراغات'!B78)</f>
        <v/>
      </c>
      <c r="C78" s="33" t="str">
        <f>IF($B78="","",'سجل الفراغات'!C78&amp;"")</f>
        <v/>
      </c>
      <c r="D78" s="8" t="str">
        <f>IF($B78="","",'سجل الفراغات'!D78&amp;"")</f>
        <v/>
      </c>
      <c r="E78" s="14" t="str">
        <f t="shared" si="29"/>
        <v/>
      </c>
      <c r="F78" s="14" t="str">
        <f t="shared" si="30"/>
        <v/>
      </c>
      <c r="G78" s="14" t="str">
        <f t="shared" si="31"/>
        <v/>
      </c>
      <c r="H78" s="14" t="str">
        <f t="shared" si="32"/>
        <v/>
      </c>
      <c r="I78" s="14" t="str">
        <f t="shared" si="33"/>
        <v/>
      </c>
      <c r="J78" s="14" t="str">
        <f t="shared" si="34"/>
        <v/>
      </c>
      <c r="K78" s="14" t="str">
        <f t="shared" si="35"/>
        <v/>
      </c>
      <c r="L78" s="14" t="str">
        <f t="shared" si="36"/>
        <v/>
      </c>
      <c r="M78" s="14" t="str">
        <f t="shared" si="37"/>
        <v/>
      </c>
      <c r="N78" s="14" t="str">
        <f t="shared" si="38"/>
        <v/>
      </c>
      <c r="O78" s="14" t="str">
        <f t="shared" si="39"/>
        <v/>
      </c>
      <c r="P78" s="14" t="str">
        <f t="shared" si="40"/>
        <v/>
      </c>
      <c r="Q78" s="15" t="str">
        <f t="shared" si="41"/>
        <v/>
      </c>
      <c r="R78" s="15" t="str">
        <f t="shared" si="42"/>
        <v/>
      </c>
    </row>
    <row r="79" spans="1:18" x14ac:dyDescent="0.25">
      <c r="A79" s="8">
        <v>76</v>
      </c>
      <c r="B79" s="8" t="str">
        <f>IF('سجل الفراغات'!B79="","",'سجل الفراغات'!B79)</f>
        <v/>
      </c>
      <c r="C79" s="33" t="str">
        <f>IF($B79="","",'سجل الفراغات'!C79&amp;"")</f>
        <v/>
      </c>
      <c r="D79" s="8" t="str">
        <f>IF($B79="","",'سجل الفراغات'!D79&amp;"")</f>
        <v/>
      </c>
      <c r="E79" s="14" t="str">
        <f t="shared" si="29"/>
        <v/>
      </c>
      <c r="F79" s="14" t="str">
        <f t="shared" si="30"/>
        <v/>
      </c>
      <c r="G79" s="14" t="str">
        <f t="shared" si="31"/>
        <v/>
      </c>
      <c r="H79" s="14" t="str">
        <f t="shared" si="32"/>
        <v/>
      </c>
      <c r="I79" s="14" t="str">
        <f t="shared" si="33"/>
        <v/>
      </c>
      <c r="J79" s="14" t="str">
        <f t="shared" si="34"/>
        <v/>
      </c>
      <c r="K79" s="14" t="str">
        <f t="shared" si="35"/>
        <v/>
      </c>
      <c r="L79" s="14" t="str">
        <f t="shared" si="36"/>
        <v/>
      </c>
      <c r="M79" s="14" t="str">
        <f t="shared" si="37"/>
        <v/>
      </c>
      <c r="N79" s="14" t="str">
        <f t="shared" si="38"/>
        <v/>
      </c>
      <c r="O79" s="14" t="str">
        <f t="shared" si="39"/>
        <v/>
      </c>
      <c r="P79" s="14" t="str">
        <f t="shared" si="40"/>
        <v/>
      </c>
      <c r="Q79" s="15" t="str">
        <f t="shared" si="41"/>
        <v/>
      </c>
      <c r="R79" s="15" t="str">
        <f t="shared" si="42"/>
        <v/>
      </c>
    </row>
    <row r="80" spans="1:18" x14ac:dyDescent="0.25">
      <c r="A80" s="8">
        <v>77</v>
      </c>
      <c r="B80" s="8" t="str">
        <f>IF('سجل الفراغات'!B80="","",'سجل الفراغات'!B80)</f>
        <v/>
      </c>
      <c r="C80" s="33" t="str">
        <f>IF($B80="","",'سجل الفراغات'!C80&amp;"")</f>
        <v/>
      </c>
      <c r="D80" s="8" t="str">
        <f>IF($B80="","",'سجل الفراغات'!D80&amp;"")</f>
        <v/>
      </c>
      <c r="E80" s="14" t="str">
        <f t="shared" si="29"/>
        <v/>
      </c>
      <c r="F80" s="14" t="str">
        <f t="shared" si="30"/>
        <v/>
      </c>
      <c r="G80" s="14" t="str">
        <f t="shared" si="31"/>
        <v/>
      </c>
      <c r="H80" s="14" t="str">
        <f t="shared" si="32"/>
        <v/>
      </c>
      <c r="I80" s="14" t="str">
        <f t="shared" si="33"/>
        <v/>
      </c>
      <c r="J80" s="14" t="str">
        <f t="shared" si="34"/>
        <v/>
      </c>
      <c r="K80" s="14" t="str">
        <f t="shared" si="35"/>
        <v/>
      </c>
      <c r="L80" s="14" t="str">
        <f t="shared" si="36"/>
        <v/>
      </c>
      <c r="M80" s="14" t="str">
        <f t="shared" si="37"/>
        <v/>
      </c>
      <c r="N80" s="14" t="str">
        <f t="shared" si="38"/>
        <v/>
      </c>
      <c r="O80" s="14" t="str">
        <f t="shared" si="39"/>
        <v/>
      </c>
      <c r="P80" s="14" t="str">
        <f t="shared" si="40"/>
        <v/>
      </c>
      <c r="Q80" s="15" t="str">
        <f t="shared" si="41"/>
        <v/>
      </c>
      <c r="R80" s="15" t="str">
        <f t="shared" si="42"/>
        <v/>
      </c>
    </row>
    <row r="81" spans="1:18" x14ac:dyDescent="0.25">
      <c r="A81" s="8">
        <v>78</v>
      </c>
      <c r="B81" s="8" t="str">
        <f>IF('سجل الفراغات'!B81="","",'سجل الفراغات'!B81)</f>
        <v/>
      </c>
      <c r="C81" s="33" t="str">
        <f>IF($B81="","",'سجل الفراغات'!C81&amp;"")</f>
        <v/>
      </c>
      <c r="D81" s="8" t="str">
        <f>IF($B81="","",'سجل الفراغات'!D81&amp;"")</f>
        <v/>
      </c>
      <c r="E81" s="14" t="str">
        <f t="shared" si="29"/>
        <v/>
      </c>
      <c r="F81" s="14" t="str">
        <f t="shared" si="30"/>
        <v/>
      </c>
      <c r="G81" s="14" t="str">
        <f t="shared" si="31"/>
        <v/>
      </c>
      <c r="H81" s="14" t="str">
        <f t="shared" si="32"/>
        <v/>
      </c>
      <c r="I81" s="14" t="str">
        <f t="shared" si="33"/>
        <v/>
      </c>
      <c r="J81" s="14" t="str">
        <f t="shared" si="34"/>
        <v/>
      </c>
      <c r="K81" s="14" t="str">
        <f t="shared" si="35"/>
        <v/>
      </c>
      <c r="L81" s="14" t="str">
        <f t="shared" si="36"/>
        <v/>
      </c>
      <c r="M81" s="14" t="str">
        <f t="shared" si="37"/>
        <v/>
      </c>
      <c r="N81" s="14" t="str">
        <f t="shared" si="38"/>
        <v/>
      </c>
      <c r="O81" s="14" t="str">
        <f t="shared" si="39"/>
        <v/>
      </c>
      <c r="P81" s="14" t="str">
        <f t="shared" si="40"/>
        <v/>
      </c>
      <c r="Q81" s="15" t="str">
        <f t="shared" si="41"/>
        <v/>
      </c>
      <c r="R81" s="15" t="str">
        <f t="shared" si="42"/>
        <v/>
      </c>
    </row>
    <row r="82" spans="1:18" x14ac:dyDescent="0.25">
      <c r="A82" s="8">
        <v>79</v>
      </c>
      <c r="B82" s="8" t="str">
        <f>IF('سجل الفراغات'!B82="","",'سجل الفراغات'!B82)</f>
        <v/>
      </c>
      <c r="C82" s="33" t="str">
        <f>IF($B82="","",'سجل الفراغات'!C82&amp;"")</f>
        <v/>
      </c>
      <c r="D82" s="8" t="str">
        <f>IF($B82="","",'سجل الفراغات'!D82&amp;"")</f>
        <v/>
      </c>
      <c r="E82" s="14" t="str">
        <f t="shared" si="29"/>
        <v/>
      </c>
      <c r="F82" s="14" t="str">
        <f t="shared" si="30"/>
        <v/>
      </c>
      <c r="G82" s="14" t="str">
        <f t="shared" si="31"/>
        <v/>
      </c>
      <c r="H82" s="14" t="str">
        <f t="shared" si="32"/>
        <v/>
      </c>
      <c r="I82" s="14" t="str">
        <f t="shared" si="33"/>
        <v/>
      </c>
      <c r="J82" s="14" t="str">
        <f t="shared" si="34"/>
        <v/>
      </c>
      <c r="K82" s="14" t="str">
        <f t="shared" si="35"/>
        <v/>
      </c>
      <c r="L82" s="14" t="str">
        <f t="shared" si="36"/>
        <v/>
      </c>
      <c r="M82" s="14" t="str">
        <f t="shared" si="37"/>
        <v/>
      </c>
      <c r="N82" s="14" t="str">
        <f t="shared" si="38"/>
        <v/>
      </c>
      <c r="O82" s="14" t="str">
        <f t="shared" si="39"/>
        <v/>
      </c>
      <c r="P82" s="14" t="str">
        <f t="shared" si="40"/>
        <v/>
      </c>
      <c r="Q82" s="15" t="str">
        <f t="shared" si="41"/>
        <v/>
      </c>
      <c r="R82" s="15" t="str">
        <f t="shared" si="42"/>
        <v/>
      </c>
    </row>
    <row r="83" spans="1:18" x14ac:dyDescent="0.25">
      <c r="A83" s="8">
        <v>80</v>
      </c>
      <c r="B83" s="8" t="str">
        <f>IF('سجل الفراغات'!B83="","",'سجل الفراغات'!B83)</f>
        <v/>
      </c>
      <c r="C83" s="33" t="str">
        <f>IF($B83="","",'سجل الفراغات'!C83&amp;"")</f>
        <v/>
      </c>
      <c r="D83" s="8" t="str">
        <f>IF($B83="","",'سجل الفراغات'!D83&amp;"")</f>
        <v/>
      </c>
      <c r="E83" s="14" t="str">
        <f t="shared" si="29"/>
        <v/>
      </c>
      <c r="F83" s="14" t="str">
        <f t="shared" si="30"/>
        <v/>
      </c>
      <c r="G83" s="14" t="str">
        <f t="shared" si="31"/>
        <v/>
      </c>
      <c r="H83" s="14" t="str">
        <f t="shared" si="32"/>
        <v/>
      </c>
      <c r="I83" s="14" t="str">
        <f t="shared" si="33"/>
        <v/>
      </c>
      <c r="J83" s="14" t="str">
        <f t="shared" si="34"/>
        <v/>
      </c>
      <c r="K83" s="14" t="str">
        <f t="shared" si="35"/>
        <v/>
      </c>
      <c r="L83" s="14" t="str">
        <f t="shared" si="36"/>
        <v/>
      </c>
      <c r="M83" s="14" t="str">
        <f t="shared" si="37"/>
        <v/>
      </c>
      <c r="N83" s="14" t="str">
        <f t="shared" si="38"/>
        <v/>
      </c>
      <c r="O83" s="14" t="str">
        <f t="shared" si="39"/>
        <v/>
      </c>
      <c r="P83" s="14" t="str">
        <f t="shared" si="40"/>
        <v/>
      </c>
      <c r="Q83" s="15" t="str">
        <f t="shared" si="41"/>
        <v/>
      </c>
      <c r="R83" s="15" t="str">
        <f t="shared" si="42"/>
        <v/>
      </c>
    </row>
    <row r="84" spans="1:18" x14ac:dyDescent="0.25">
      <c r="A84" s="8">
        <v>81</v>
      </c>
      <c r="B84" s="8" t="str">
        <f>IF('سجل الفراغات'!B84="","",'سجل الفراغات'!B84)</f>
        <v/>
      </c>
      <c r="C84" s="33" t="str">
        <f>IF($B84="","",'سجل الفراغات'!C84&amp;"")</f>
        <v/>
      </c>
      <c r="D84" s="8" t="str">
        <f>IF($B84="","",'سجل الفراغات'!D84&amp;"")</f>
        <v/>
      </c>
      <c r="E84" s="14" t="str">
        <f t="shared" si="29"/>
        <v/>
      </c>
      <c r="F84" s="14" t="str">
        <f t="shared" si="30"/>
        <v/>
      </c>
      <c r="G84" s="14" t="str">
        <f t="shared" si="31"/>
        <v/>
      </c>
      <c r="H84" s="14" t="str">
        <f t="shared" si="32"/>
        <v/>
      </c>
      <c r="I84" s="14" t="str">
        <f t="shared" si="33"/>
        <v/>
      </c>
      <c r="J84" s="14" t="str">
        <f t="shared" si="34"/>
        <v/>
      </c>
      <c r="K84" s="14" t="str">
        <f t="shared" si="35"/>
        <v/>
      </c>
      <c r="L84" s="14" t="str">
        <f t="shared" si="36"/>
        <v/>
      </c>
      <c r="M84" s="14" t="str">
        <f t="shared" si="37"/>
        <v/>
      </c>
      <c r="N84" s="14" t="str">
        <f t="shared" si="38"/>
        <v/>
      </c>
      <c r="O84" s="14" t="str">
        <f t="shared" si="39"/>
        <v/>
      </c>
      <c r="P84" s="14" t="str">
        <f t="shared" si="40"/>
        <v/>
      </c>
      <c r="Q84" s="15" t="str">
        <f t="shared" si="41"/>
        <v/>
      </c>
      <c r="R84" s="15" t="str">
        <f t="shared" si="42"/>
        <v/>
      </c>
    </row>
    <row r="85" spans="1:18" x14ac:dyDescent="0.25">
      <c r="A85" s="8">
        <v>82</v>
      </c>
      <c r="B85" s="8" t="str">
        <f>IF('سجل الفراغات'!B85="","",'سجل الفراغات'!B85)</f>
        <v/>
      </c>
      <c r="C85" s="33" t="str">
        <f>IF($B85="","",'سجل الفراغات'!C85&amp;"")</f>
        <v/>
      </c>
      <c r="D85" s="8" t="str">
        <f>IF($B85="","",'سجل الفراغات'!D85&amp;"")</f>
        <v/>
      </c>
      <c r="E85" s="14" t="str">
        <f t="shared" si="29"/>
        <v/>
      </c>
      <c r="F85" s="14" t="str">
        <f t="shared" si="30"/>
        <v/>
      </c>
      <c r="G85" s="14" t="str">
        <f t="shared" si="31"/>
        <v/>
      </c>
      <c r="H85" s="14" t="str">
        <f t="shared" si="32"/>
        <v/>
      </c>
      <c r="I85" s="14" t="str">
        <f t="shared" si="33"/>
        <v/>
      </c>
      <c r="J85" s="14" t="str">
        <f t="shared" si="34"/>
        <v/>
      </c>
      <c r="K85" s="14" t="str">
        <f t="shared" si="35"/>
        <v/>
      </c>
      <c r="L85" s="14" t="str">
        <f t="shared" si="36"/>
        <v/>
      </c>
      <c r="M85" s="14" t="str">
        <f t="shared" si="37"/>
        <v/>
      </c>
      <c r="N85" s="14" t="str">
        <f t="shared" si="38"/>
        <v/>
      </c>
      <c r="O85" s="14" t="str">
        <f t="shared" si="39"/>
        <v/>
      </c>
      <c r="P85" s="14" t="str">
        <f t="shared" si="40"/>
        <v/>
      </c>
      <c r="Q85" s="15" t="str">
        <f t="shared" si="41"/>
        <v/>
      </c>
      <c r="R85" s="15" t="str">
        <f t="shared" si="42"/>
        <v/>
      </c>
    </row>
    <row r="86" spans="1:18" x14ac:dyDescent="0.25">
      <c r="A86" s="8">
        <v>83</v>
      </c>
      <c r="B86" s="8" t="str">
        <f>IF('سجل الفراغات'!B86="","",'سجل الفراغات'!B86)</f>
        <v/>
      </c>
      <c r="C86" s="33" t="str">
        <f>IF($B86="","",'سجل الفراغات'!C86&amp;"")</f>
        <v/>
      </c>
      <c r="D86" s="8" t="str">
        <f>IF($B86="","",'سجل الفراغات'!D86&amp;"")</f>
        <v/>
      </c>
      <c r="E86" s="14" t="str">
        <f t="shared" si="29"/>
        <v/>
      </c>
      <c r="F86" s="14" t="str">
        <f t="shared" si="30"/>
        <v/>
      </c>
      <c r="G86" s="14" t="str">
        <f t="shared" si="31"/>
        <v/>
      </c>
      <c r="H86" s="14" t="str">
        <f t="shared" si="32"/>
        <v/>
      </c>
      <c r="I86" s="14" t="str">
        <f t="shared" si="33"/>
        <v/>
      </c>
      <c r="J86" s="14" t="str">
        <f t="shared" si="34"/>
        <v/>
      </c>
      <c r="K86" s="14" t="str">
        <f t="shared" si="35"/>
        <v/>
      </c>
      <c r="L86" s="14" t="str">
        <f t="shared" si="36"/>
        <v/>
      </c>
      <c r="M86" s="14" t="str">
        <f t="shared" si="37"/>
        <v/>
      </c>
      <c r="N86" s="14" t="str">
        <f t="shared" si="38"/>
        <v/>
      </c>
      <c r="O86" s="14" t="str">
        <f t="shared" si="39"/>
        <v/>
      </c>
      <c r="P86" s="14" t="str">
        <f t="shared" si="40"/>
        <v/>
      </c>
      <c r="Q86" s="15" t="str">
        <f t="shared" si="41"/>
        <v/>
      </c>
      <c r="R86" s="15" t="str">
        <f t="shared" si="42"/>
        <v/>
      </c>
    </row>
    <row r="87" spans="1:18" x14ac:dyDescent="0.25">
      <c r="A87" s="8">
        <v>84</v>
      </c>
      <c r="B87" s="8" t="str">
        <f>IF('سجل الفراغات'!B87="","",'سجل الفراغات'!B87)</f>
        <v/>
      </c>
      <c r="C87" s="33" t="str">
        <f>IF($B87="","",'سجل الفراغات'!C87&amp;"")</f>
        <v/>
      </c>
      <c r="D87" s="8" t="str">
        <f>IF($B87="","",'سجل الفراغات'!D87&amp;"")</f>
        <v/>
      </c>
      <c r="E87" s="14" t="str">
        <f t="shared" si="29"/>
        <v/>
      </c>
      <c r="F87" s="14" t="str">
        <f t="shared" si="30"/>
        <v/>
      </c>
      <c r="G87" s="14" t="str">
        <f t="shared" si="31"/>
        <v/>
      </c>
      <c r="H87" s="14" t="str">
        <f t="shared" si="32"/>
        <v/>
      </c>
      <c r="I87" s="14" t="str">
        <f t="shared" si="33"/>
        <v/>
      </c>
      <c r="J87" s="14" t="str">
        <f t="shared" si="34"/>
        <v/>
      </c>
      <c r="K87" s="14" t="str">
        <f t="shared" si="35"/>
        <v/>
      </c>
      <c r="L87" s="14" t="str">
        <f t="shared" si="36"/>
        <v/>
      </c>
      <c r="M87" s="14" t="str">
        <f t="shared" si="37"/>
        <v/>
      </c>
      <c r="N87" s="14" t="str">
        <f t="shared" si="38"/>
        <v/>
      </c>
      <c r="O87" s="14" t="str">
        <f t="shared" si="39"/>
        <v/>
      </c>
      <c r="P87" s="14" t="str">
        <f t="shared" si="40"/>
        <v/>
      </c>
      <c r="Q87" s="15" t="str">
        <f t="shared" si="41"/>
        <v/>
      </c>
      <c r="R87" s="15" t="str">
        <f t="shared" si="42"/>
        <v/>
      </c>
    </row>
    <row r="88" spans="1:18" x14ac:dyDescent="0.25">
      <c r="A88" s="8">
        <v>85</v>
      </c>
      <c r="B88" s="8" t="str">
        <f>IF('سجل الفراغات'!B88="","",'سجل الفراغات'!B88)</f>
        <v/>
      </c>
      <c r="C88" s="33" t="str">
        <f>IF($B88="","",'سجل الفراغات'!C88&amp;"")</f>
        <v/>
      </c>
      <c r="D88" s="8" t="str">
        <f>IF($B88="","",'سجل الفراغات'!D88&amp;"")</f>
        <v/>
      </c>
      <c r="E88" s="14" t="str">
        <f t="shared" si="29"/>
        <v/>
      </c>
      <c r="F88" s="14" t="str">
        <f t="shared" si="30"/>
        <v/>
      </c>
      <c r="G88" s="14" t="str">
        <f t="shared" si="31"/>
        <v/>
      </c>
      <c r="H88" s="14" t="str">
        <f t="shared" si="32"/>
        <v/>
      </c>
      <c r="I88" s="14" t="str">
        <f t="shared" si="33"/>
        <v/>
      </c>
      <c r="J88" s="14" t="str">
        <f t="shared" si="34"/>
        <v/>
      </c>
      <c r="K88" s="14" t="str">
        <f t="shared" si="35"/>
        <v/>
      </c>
      <c r="L88" s="14" t="str">
        <f t="shared" si="36"/>
        <v/>
      </c>
      <c r="M88" s="14" t="str">
        <f t="shared" si="37"/>
        <v/>
      </c>
      <c r="N88" s="14" t="str">
        <f t="shared" si="38"/>
        <v/>
      </c>
      <c r="O88" s="14" t="str">
        <f t="shared" si="39"/>
        <v/>
      </c>
      <c r="P88" s="14" t="str">
        <f t="shared" si="40"/>
        <v/>
      </c>
      <c r="Q88" s="15" t="str">
        <f t="shared" si="41"/>
        <v/>
      </c>
      <c r="R88" s="15" t="str">
        <f t="shared" si="42"/>
        <v/>
      </c>
    </row>
    <row r="89" spans="1:18" x14ac:dyDescent="0.25">
      <c r="A89" s="8">
        <v>86</v>
      </c>
      <c r="B89" s="8" t="str">
        <f>IF('سجل الفراغات'!B89="","",'سجل الفراغات'!B89)</f>
        <v/>
      </c>
      <c r="C89" s="33" t="str">
        <f>IF($B89="","",'سجل الفراغات'!C89&amp;"")</f>
        <v/>
      </c>
      <c r="D89" s="8" t="str">
        <f>IF($B89="","",'سجل الفراغات'!D89&amp;"")</f>
        <v/>
      </c>
      <c r="E89" s="14" t="str">
        <f t="shared" si="29"/>
        <v/>
      </c>
      <c r="F89" s="14" t="str">
        <f t="shared" si="30"/>
        <v/>
      </c>
      <c r="G89" s="14" t="str">
        <f t="shared" si="31"/>
        <v/>
      </c>
      <c r="H89" s="14" t="str">
        <f t="shared" si="32"/>
        <v/>
      </c>
      <c r="I89" s="14" t="str">
        <f t="shared" si="33"/>
        <v/>
      </c>
      <c r="J89" s="14" t="str">
        <f t="shared" si="34"/>
        <v/>
      </c>
      <c r="K89" s="14" t="str">
        <f t="shared" si="35"/>
        <v/>
      </c>
      <c r="L89" s="14" t="str">
        <f t="shared" si="36"/>
        <v/>
      </c>
      <c r="M89" s="14" t="str">
        <f t="shared" si="37"/>
        <v/>
      </c>
      <c r="N89" s="14" t="str">
        <f t="shared" si="38"/>
        <v/>
      </c>
      <c r="O89" s="14" t="str">
        <f t="shared" si="39"/>
        <v/>
      </c>
      <c r="P89" s="14" t="str">
        <f t="shared" si="40"/>
        <v/>
      </c>
      <c r="Q89" s="15" t="str">
        <f t="shared" si="41"/>
        <v/>
      </c>
      <c r="R89" s="15" t="str">
        <f t="shared" si="42"/>
        <v/>
      </c>
    </row>
    <row r="90" spans="1:18" x14ac:dyDescent="0.25">
      <c r="A90" s="8">
        <v>87</v>
      </c>
      <c r="B90" s="8" t="str">
        <f>IF('سجل الفراغات'!B90="","",'سجل الفراغات'!B90)</f>
        <v/>
      </c>
      <c r="C90" s="33" t="str">
        <f>IF($B90="","",'سجل الفراغات'!C90&amp;"")</f>
        <v/>
      </c>
      <c r="D90" s="8" t="str">
        <f>IF($B90="","",'سجل الفراغات'!D90&amp;"")</f>
        <v/>
      </c>
      <c r="E90" s="14" t="str">
        <f t="shared" si="29"/>
        <v/>
      </c>
      <c r="F90" s="14" t="str">
        <f t="shared" si="30"/>
        <v/>
      </c>
      <c r="G90" s="14" t="str">
        <f t="shared" si="31"/>
        <v/>
      </c>
      <c r="H90" s="14" t="str">
        <f t="shared" si="32"/>
        <v/>
      </c>
      <c r="I90" s="14" t="str">
        <f t="shared" si="33"/>
        <v/>
      </c>
      <c r="J90" s="14" t="str">
        <f t="shared" si="34"/>
        <v/>
      </c>
      <c r="K90" s="14" t="str">
        <f t="shared" si="35"/>
        <v/>
      </c>
      <c r="L90" s="14" t="str">
        <f t="shared" si="36"/>
        <v/>
      </c>
      <c r="M90" s="14" t="str">
        <f t="shared" si="37"/>
        <v/>
      </c>
      <c r="N90" s="14" t="str">
        <f t="shared" si="38"/>
        <v/>
      </c>
      <c r="O90" s="14" t="str">
        <f t="shared" si="39"/>
        <v/>
      </c>
      <c r="P90" s="14" t="str">
        <f t="shared" si="40"/>
        <v/>
      </c>
      <c r="Q90" s="15" t="str">
        <f t="shared" si="41"/>
        <v/>
      </c>
      <c r="R90" s="15" t="str">
        <f t="shared" si="42"/>
        <v/>
      </c>
    </row>
    <row r="91" spans="1:18" x14ac:dyDescent="0.25">
      <c r="A91" s="8">
        <v>88</v>
      </c>
      <c r="B91" s="8" t="str">
        <f>IF('سجل الفراغات'!B91="","",'سجل الفراغات'!B91)</f>
        <v/>
      </c>
      <c r="C91" s="33" t="str">
        <f>IF($B91="","",'سجل الفراغات'!C91&amp;"")</f>
        <v/>
      </c>
      <c r="D91" s="8" t="str">
        <f>IF($B91="","",'سجل الفراغات'!D91&amp;"")</f>
        <v/>
      </c>
      <c r="E91" s="14" t="str">
        <f t="shared" si="29"/>
        <v/>
      </c>
      <c r="F91" s="14" t="str">
        <f t="shared" si="30"/>
        <v/>
      </c>
      <c r="G91" s="14" t="str">
        <f t="shared" si="31"/>
        <v/>
      </c>
      <c r="H91" s="14" t="str">
        <f t="shared" si="32"/>
        <v/>
      </c>
      <c r="I91" s="14" t="str">
        <f t="shared" si="33"/>
        <v/>
      </c>
      <c r="J91" s="14" t="str">
        <f t="shared" si="34"/>
        <v/>
      </c>
      <c r="K91" s="14" t="str">
        <f t="shared" si="35"/>
        <v/>
      </c>
      <c r="L91" s="14" t="str">
        <f t="shared" si="36"/>
        <v/>
      </c>
      <c r="M91" s="14" t="str">
        <f t="shared" si="37"/>
        <v/>
      </c>
      <c r="N91" s="14" t="str">
        <f t="shared" si="38"/>
        <v/>
      </c>
      <c r="O91" s="14" t="str">
        <f t="shared" si="39"/>
        <v/>
      </c>
      <c r="P91" s="14" t="str">
        <f t="shared" si="40"/>
        <v/>
      </c>
      <c r="Q91" s="15" t="str">
        <f t="shared" si="41"/>
        <v/>
      </c>
      <c r="R91" s="15" t="str">
        <f t="shared" si="42"/>
        <v/>
      </c>
    </row>
    <row r="92" spans="1:18" x14ac:dyDescent="0.25">
      <c r="A92" s="8">
        <v>89</v>
      </c>
      <c r="B92" s="8" t="str">
        <f>IF('سجل الفراغات'!B92="","",'سجل الفراغات'!B92)</f>
        <v/>
      </c>
      <c r="C92" s="33" t="str">
        <f>IF($B92="","",'سجل الفراغات'!C92&amp;"")</f>
        <v/>
      </c>
      <c r="D92" s="8" t="str">
        <f>IF($B92="","",'سجل الفراغات'!D92&amp;"")</f>
        <v/>
      </c>
      <c r="E92" s="14" t="str">
        <f t="shared" si="29"/>
        <v/>
      </c>
      <c r="F92" s="14" t="str">
        <f t="shared" si="30"/>
        <v/>
      </c>
      <c r="G92" s="14" t="str">
        <f t="shared" si="31"/>
        <v/>
      </c>
      <c r="H92" s="14" t="str">
        <f t="shared" si="32"/>
        <v/>
      </c>
      <c r="I92" s="14" t="str">
        <f t="shared" si="33"/>
        <v/>
      </c>
      <c r="J92" s="14" t="str">
        <f t="shared" si="34"/>
        <v/>
      </c>
      <c r="K92" s="14" t="str">
        <f t="shared" si="35"/>
        <v/>
      </c>
      <c r="L92" s="14" t="str">
        <f t="shared" si="36"/>
        <v/>
      </c>
      <c r="M92" s="14" t="str">
        <f t="shared" si="37"/>
        <v/>
      </c>
      <c r="N92" s="14" t="str">
        <f t="shared" si="38"/>
        <v/>
      </c>
      <c r="O92" s="14" t="str">
        <f t="shared" si="39"/>
        <v/>
      </c>
      <c r="P92" s="14" t="str">
        <f t="shared" si="40"/>
        <v/>
      </c>
      <c r="Q92" s="15" t="str">
        <f t="shared" si="41"/>
        <v/>
      </c>
      <c r="R92" s="15" t="str">
        <f t="shared" si="42"/>
        <v/>
      </c>
    </row>
    <row r="93" spans="1:18" x14ac:dyDescent="0.25">
      <c r="A93" s="8">
        <v>90</v>
      </c>
      <c r="B93" s="8" t="str">
        <f>IF('سجل الفراغات'!B93="","",'سجل الفراغات'!B93)</f>
        <v/>
      </c>
      <c r="C93" s="33" t="str">
        <f>IF($B93="","",'سجل الفراغات'!C93&amp;"")</f>
        <v/>
      </c>
      <c r="D93" s="8" t="str">
        <f>IF($B93="","",'سجل الفراغات'!D93&amp;"")</f>
        <v/>
      </c>
      <c r="E93" s="14" t="str">
        <f t="shared" si="29"/>
        <v/>
      </c>
      <c r="F93" s="14" t="str">
        <f t="shared" si="30"/>
        <v/>
      </c>
      <c r="G93" s="14" t="str">
        <f t="shared" si="31"/>
        <v/>
      </c>
      <c r="H93" s="14" t="str">
        <f t="shared" si="32"/>
        <v/>
      </c>
      <c r="I93" s="14" t="str">
        <f t="shared" si="33"/>
        <v/>
      </c>
      <c r="J93" s="14" t="str">
        <f t="shared" si="34"/>
        <v/>
      </c>
      <c r="K93" s="14" t="str">
        <f t="shared" si="35"/>
        <v/>
      </c>
      <c r="L93" s="14" t="str">
        <f t="shared" si="36"/>
        <v/>
      </c>
      <c r="M93" s="14" t="str">
        <f t="shared" si="37"/>
        <v/>
      </c>
      <c r="N93" s="14" t="str">
        <f t="shared" si="38"/>
        <v/>
      </c>
      <c r="O93" s="14" t="str">
        <f t="shared" si="39"/>
        <v/>
      </c>
      <c r="P93" s="14" t="str">
        <f t="shared" si="40"/>
        <v/>
      </c>
      <c r="Q93" s="15" t="str">
        <f t="shared" si="41"/>
        <v/>
      </c>
      <c r="R93" s="15" t="str">
        <f t="shared" si="42"/>
        <v/>
      </c>
    </row>
    <row r="94" spans="1:18" x14ac:dyDescent="0.25">
      <c r="A94" s="8">
        <v>91</v>
      </c>
      <c r="B94" s="8" t="str">
        <f>IF('سجل الفراغات'!B94="","",'سجل الفراغات'!B94)</f>
        <v/>
      </c>
      <c r="C94" s="33" t="str">
        <f>IF($B94="","",'سجل الفراغات'!C94&amp;"")</f>
        <v/>
      </c>
      <c r="D94" s="8" t="str">
        <f>IF($B94="","",'سجل الفراغات'!D94&amp;"")</f>
        <v/>
      </c>
      <c r="E94" s="14" t="str">
        <f t="shared" si="29"/>
        <v/>
      </c>
      <c r="F94" s="14" t="str">
        <f t="shared" si="30"/>
        <v/>
      </c>
      <c r="G94" s="14" t="str">
        <f t="shared" si="31"/>
        <v/>
      </c>
      <c r="H94" s="14" t="str">
        <f t="shared" si="32"/>
        <v/>
      </c>
      <c r="I94" s="14" t="str">
        <f t="shared" si="33"/>
        <v/>
      </c>
      <c r="J94" s="14" t="str">
        <f t="shared" si="34"/>
        <v/>
      </c>
      <c r="K94" s="14" t="str">
        <f t="shared" si="35"/>
        <v/>
      </c>
      <c r="L94" s="14" t="str">
        <f t="shared" si="36"/>
        <v/>
      </c>
      <c r="M94" s="14" t="str">
        <f t="shared" si="37"/>
        <v/>
      </c>
      <c r="N94" s="14" t="str">
        <f t="shared" si="38"/>
        <v/>
      </c>
      <c r="O94" s="14" t="str">
        <f t="shared" si="39"/>
        <v/>
      </c>
      <c r="P94" s="14" t="str">
        <f t="shared" si="40"/>
        <v/>
      </c>
      <c r="Q94" s="15" t="str">
        <f t="shared" si="41"/>
        <v/>
      </c>
      <c r="R94" s="15" t="str">
        <f t="shared" si="42"/>
        <v/>
      </c>
    </row>
    <row r="95" spans="1:18" x14ac:dyDescent="0.25">
      <c r="A95" s="8">
        <v>92</v>
      </c>
      <c r="B95" s="8" t="str">
        <f>IF('سجل الفراغات'!B95="","",'سجل الفراغات'!B95)</f>
        <v/>
      </c>
      <c r="C95" s="33" t="str">
        <f>IF($B95="","",'سجل الفراغات'!C95&amp;"")</f>
        <v/>
      </c>
      <c r="D95" s="8" t="str">
        <f>IF($B95="","",'سجل الفراغات'!D95&amp;"")</f>
        <v/>
      </c>
      <c r="E95" s="14" t="str">
        <f t="shared" si="29"/>
        <v/>
      </c>
      <c r="F95" s="14" t="str">
        <f t="shared" si="30"/>
        <v/>
      </c>
      <c r="G95" s="14" t="str">
        <f t="shared" si="31"/>
        <v/>
      </c>
      <c r="H95" s="14" t="str">
        <f t="shared" si="32"/>
        <v/>
      </c>
      <c r="I95" s="14" t="str">
        <f t="shared" si="33"/>
        <v/>
      </c>
      <c r="J95" s="14" t="str">
        <f t="shared" si="34"/>
        <v/>
      </c>
      <c r="K95" s="14" t="str">
        <f t="shared" si="35"/>
        <v/>
      </c>
      <c r="L95" s="14" t="str">
        <f t="shared" si="36"/>
        <v/>
      </c>
      <c r="M95" s="14" t="str">
        <f t="shared" si="37"/>
        <v/>
      </c>
      <c r="N95" s="14" t="str">
        <f t="shared" si="38"/>
        <v/>
      </c>
      <c r="O95" s="14" t="str">
        <f t="shared" si="39"/>
        <v/>
      </c>
      <c r="P95" s="14" t="str">
        <f t="shared" si="40"/>
        <v/>
      </c>
      <c r="Q95" s="15" t="str">
        <f t="shared" si="41"/>
        <v/>
      </c>
      <c r="R95" s="15" t="str">
        <f t="shared" si="42"/>
        <v/>
      </c>
    </row>
    <row r="96" spans="1:18" x14ac:dyDescent="0.25">
      <c r="A96" s="8">
        <v>93</v>
      </c>
      <c r="B96" s="8" t="str">
        <f>IF('سجل الفراغات'!B96="","",'سجل الفراغات'!B96)</f>
        <v/>
      </c>
      <c r="C96" s="33" t="str">
        <f>IF($B96="","",'سجل الفراغات'!C96&amp;"")</f>
        <v/>
      </c>
      <c r="D96" s="8" t="str">
        <f>IF($B96="","",'سجل الفراغات'!D96&amp;"")</f>
        <v/>
      </c>
      <c r="E96" s="14" t="str">
        <f t="shared" si="29"/>
        <v/>
      </c>
      <c r="F96" s="14" t="str">
        <f t="shared" si="30"/>
        <v/>
      </c>
      <c r="G96" s="14" t="str">
        <f t="shared" si="31"/>
        <v/>
      </c>
      <c r="H96" s="14" t="str">
        <f t="shared" si="32"/>
        <v/>
      </c>
      <c r="I96" s="14" t="str">
        <f t="shared" si="33"/>
        <v/>
      </c>
      <c r="J96" s="14" t="str">
        <f t="shared" si="34"/>
        <v/>
      </c>
      <c r="K96" s="14" t="str">
        <f t="shared" si="35"/>
        <v/>
      </c>
      <c r="L96" s="14" t="str">
        <f t="shared" si="36"/>
        <v/>
      </c>
      <c r="M96" s="14" t="str">
        <f t="shared" si="37"/>
        <v/>
      </c>
      <c r="N96" s="14" t="str">
        <f t="shared" si="38"/>
        <v/>
      </c>
      <c r="O96" s="14" t="str">
        <f t="shared" si="39"/>
        <v/>
      </c>
      <c r="P96" s="14" t="str">
        <f t="shared" si="40"/>
        <v/>
      </c>
      <c r="Q96" s="15" t="str">
        <f t="shared" si="41"/>
        <v/>
      </c>
      <c r="R96" s="15" t="str">
        <f t="shared" si="42"/>
        <v/>
      </c>
    </row>
    <row r="97" spans="1:18" x14ac:dyDescent="0.25">
      <c r="A97" s="8">
        <v>94</v>
      </c>
      <c r="B97" s="8" t="str">
        <f>IF('سجل الفراغات'!B97="","",'سجل الفراغات'!B97)</f>
        <v/>
      </c>
      <c r="C97" s="33" t="str">
        <f>IF($B97="","",'سجل الفراغات'!C97&amp;"")</f>
        <v/>
      </c>
      <c r="D97" s="8" t="str">
        <f>IF($B97="","",'سجل الفراغات'!D97&amp;"")</f>
        <v/>
      </c>
      <c r="E97" s="14" t="str">
        <f t="shared" si="29"/>
        <v/>
      </c>
      <c r="F97" s="14" t="str">
        <f t="shared" si="30"/>
        <v/>
      </c>
      <c r="G97" s="14" t="str">
        <f t="shared" si="31"/>
        <v/>
      </c>
      <c r="H97" s="14" t="str">
        <f t="shared" si="32"/>
        <v/>
      </c>
      <c r="I97" s="14" t="str">
        <f t="shared" si="33"/>
        <v/>
      </c>
      <c r="J97" s="14" t="str">
        <f t="shared" si="34"/>
        <v/>
      </c>
      <c r="K97" s="14" t="str">
        <f t="shared" si="35"/>
        <v/>
      </c>
      <c r="L97" s="14" t="str">
        <f t="shared" si="36"/>
        <v/>
      </c>
      <c r="M97" s="14" t="str">
        <f t="shared" si="37"/>
        <v/>
      </c>
      <c r="N97" s="14" t="str">
        <f t="shared" si="38"/>
        <v/>
      </c>
      <c r="O97" s="14" t="str">
        <f t="shared" si="39"/>
        <v/>
      </c>
      <c r="P97" s="14" t="str">
        <f t="shared" si="40"/>
        <v/>
      </c>
      <c r="Q97" s="15" t="str">
        <f t="shared" si="41"/>
        <v/>
      </c>
      <c r="R97" s="15" t="str">
        <f t="shared" si="42"/>
        <v/>
      </c>
    </row>
    <row r="98" spans="1:18" x14ac:dyDescent="0.25">
      <c r="A98" s="8">
        <v>95</v>
      </c>
      <c r="B98" s="8" t="str">
        <f>IF('سجل الفراغات'!B98="","",'سجل الفراغات'!B98)</f>
        <v/>
      </c>
      <c r="C98" s="33" t="str">
        <f>IF($B98="","",'سجل الفراغات'!C98&amp;"")</f>
        <v/>
      </c>
      <c r="D98" s="8" t="str">
        <f>IF($B98="","",'سجل الفراغات'!D98&amp;"")</f>
        <v/>
      </c>
      <c r="E98" s="14" t="str">
        <f t="shared" si="29"/>
        <v/>
      </c>
      <c r="F98" s="14" t="str">
        <f t="shared" si="30"/>
        <v/>
      </c>
      <c r="G98" s="14" t="str">
        <f t="shared" si="31"/>
        <v/>
      </c>
      <c r="H98" s="14" t="str">
        <f t="shared" si="32"/>
        <v/>
      </c>
      <c r="I98" s="14" t="str">
        <f t="shared" si="33"/>
        <v/>
      </c>
      <c r="J98" s="14" t="str">
        <f t="shared" si="34"/>
        <v/>
      </c>
      <c r="K98" s="14" t="str">
        <f t="shared" si="35"/>
        <v/>
      </c>
      <c r="L98" s="14" t="str">
        <f t="shared" si="36"/>
        <v/>
      </c>
      <c r="M98" s="14" t="str">
        <f t="shared" si="37"/>
        <v/>
      </c>
      <c r="N98" s="14" t="str">
        <f t="shared" si="38"/>
        <v/>
      </c>
      <c r="O98" s="14" t="str">
        <f t="shared" si="39"/>
        <v/>
      </c>
      <c r="P98" s="14" t="str">
        <f t="shared" si="40"/>
        <v/>
      </c>
      <c r="Q98" s="15" t="str">
        <f t="shared" si="41"/>
        <v/>
      </c>
      <c r="R98" s="15" t="str">
        <f t="shared" si="42"/>
        <v/>
      </c>
    </row>
    <row r="99" spans="1:18" x14ac:dyDescent="0.25">
      <c r="A99" s="8">
        <v>96</v>
      </c>
      <c r="B99" s="8" t="str">
        <f>IF('سجل الفراغات'!B99="","",'سجل الفراغات'!B99)</f>
        <v/>
      </c>
      <c r="C99" s="33" t="str">
        <f>IF($B99="","",'سجل الفراغات'!C99&amp;"")</f>
        <v/>
      </c>
      <c r="D99" s="8" t="str">
        <f>IF($B99="","",'سجل الفراغات'!D99&amp;"")</f>
        <v/>
      </c>
      <c r="E99" s="14" t="str">
        <f t="shared" si="29"/>
        <v/>
      </c>
      <c r="F99" s="14" t="str">
        <f t="shared" si="30"/>
        <v/>
      </c>
      <c r="G99" s="14" t="str">
        <f t="shared" si="31"/>
        <v/>
      </c>
      <c r="H99" s="14" t="str">
        <f t="shared" si="32"/>
        <v/>
      </c>
      <c r="I99" s="14" t="str">
        <f t="shared" si="33"/>
        <v/>
      </c>
      <c r="J99" s="14" t="str">
        <f t="shared" si="34"/>
        <v/>
      </c>
      <c r="K99" s="14" t="str">
        <f t="shared" si="35"/>
        <v/>
      </c>
      <c r="L99" s="14" t="str">
        <f t="shared" si="36"/>
        <v/>
      </c>
      <c r="M99" s="14" t="str">
        <f t="shared" si="37"/>
        <v/>
      </c>
      <c r="N99" s="14" t="str">
        <f t="shared" si="38"/>
        <v/>
      </c>
      <c r="O99" s="14" t="str">
        <f t="shared" si="39"/>
        <v/>
      </c>
      <c r="P99" s="14" t="str">
        <f t="shared" si="40"/>
        <v/>
      </c>
      <c r="Q99" s="15" t="str">
        <f t="shared" si="41"/>
        <v/>
      </c>
      <c r="R99" s="15" t="str">
        <f t="shared" si="42"/>
        <v/>
      </c>
    </row>
    <row r="100" spans="1:18" x14ac:dyDescent="0.25">
      <c r="A100" s="8">
        <v>97</v>
      </c>
      <c r="B100" s="8" t="str">
        <f>IF('سجل الفراغات'!B100="","",'سجل الفراغات'!B100)</f>
        <v/>
      </c>
      <c r="C100" s="33" t="str">
        <f>IF($B100="","",'سجل الفراغات'!C100&amp;"")</f>
        <v/>
      </c>
      <c r="D100" s="8" t="str">
        <f>IF($B100="","",'سجل الفراغات'!D100&amp;"")</f>
        <v/>
      </c>
      <c r="E100" s="14" t="str">
        <f t="shared" ref="E100:E131" si="43">IF($B100="","",SUMIFS(FL_Net,FL_Space,$B100,FL_Unit,"م²"))</f>
        <v/>
      </c>
      <c r="F100" s="14" t="str">
        <f t="shared" ref="F100:F131" si="44">IF($B100="","",SUMIFS(WL_Gross,WL_Space,$B100,WL_Unit,"م²"))</f>
        <v/>
      </c>
      <c r="G100" s="14" t="str">
        <f t="shared" ref="G100:G131" si="45">IF($B100="","",SUMIFS(WL_Ded,WL_Space,$B100,WL_Unit,"م²"))</f>
        <v/>
      </c>
      <c r="H100" s="14" t="str">
        <f t="shared" ref="H100:H131" si="46">IF($B100="","",SUMIFS(WL_Net,WL_Space,$B100,WL_Unit,"م²"))</f>
        <v/>
      </c>
      <c r="I100" s="14" t="str">
        <f t="shared" ref="I100:I131" si="47">IF($B100="","",SUMIFS(CL_Net,CL_Space,$B100,CL_Unit,"م²"))</f>
        <v/>
      </c>
      <c r="J100" s="14" t="str">
        <f t="shared" ref="J100:J131" si="48">IF($B100="","",SUMIFS(PL_Gross,PL_Space,$B100,PL_Unit,"م²"))</f>
        <v/>
      </c>
      <c r="K100" s="14" t="str">
        <f t="shared" ref="K100:K131" si="49">IF($B100="","",SUMIFS(PL_Ded,PL_Space,$B100,PL_Unit,"م²"))</f>
        <v/>
      </c>
      <c r="L100" s="14" t="str">
        <f t="shared" ref="L100:L131" si="50">IF($B100="","",SUMIFS(PL_Net,PL_Space,$B100,PL_Unit,"م²"))</f>
        <v/>
      </c>
      <c r="M100" s="14" t="str">
        <f t="shared" ref="M100:M131" si="51">IF($B100="","",SUMIFS(LN_Gross,LN_Space,$B100,LN_Unit,"م.ط"))</f>
        <v/>
      </c>
      <c r="N100" s="14" t="str">
        <f t="shared" ref="N100:N131" si="52">IF($B100="","",SUMIFS(LN_Ded,LN_Space,$B100,LN_Unit,"م.ط"))</f>
        <v/>
      </c>
      <c r="O100" s="14" t="str">
        <f t="shared" ref="O100:O131" si="53">IF($B100="","",SUMIFS(LN_Net,LN_Space,$B100,LN_Unit,"م.ط"))</f>
        <v/>
      </c>
      <c r="P100" s="14" t="str">
        <f t="shared" ref="P100:P131" si="54">IF($B100="","",SUMIFS(FL_Net,FL_Space,$B100,FL_Unit,"عدد")+SUMIFS(WL_Net,WL_Space,$B100,WL_Unit,"عدد")+SUMIFS(CL_Net,CL_Space,$B100,CL_Unit,"عدد")+SUMIFS(PL_Net,PL_Space,$B100,PL_Unit,"عدد")+SUMIFS(LN_Net,LN_Space,$B100,LN_Unit,"عدد"))</f>
        <v/>
      </c>
      <c r="Q100" s="15" t="str">
        <f t="shared" ref="Q100:Q131" si="55">IF($B100="","",COUNTIFS(OP_Space,$B100))</f>
        <v/>
      </c>
      <c r="R100" s="15" t="str">
        <f t="shared" ref="R100:R131" si="56">IF($B100="","",COUNTIFS(FL_Space,$B100)-COUNTIFS(FL_Space,$B100,FL_Status,"مكتمل")-COUNTIFS(FL_Space,$B100,FL_Status,"مستبعد من الحصر")+COUNTIFS(CL_Space,$B100)-COUNTIFS(CL_Space,$B100,CL_Status,"مكتمل")-COUNTIFS(CL_Space,$B100,CL_Status,"مستبعد من الحصر")+COUNTIFS(WL_Space,$B100)-COUNTIFS(WL_Space,$B100,WL_Status,"مكتمل")+COUNTIFS(PL_Space,$B100)-COUNTIFS(PL_Space,$B100,PL_Status,"مكتمل")+COUNTIFS(LN_Space,$B100)-COUNTIFS(LN_Space,$B100,LN_Status,"مكتمل")+COUNTIFS(OP_Space,$B100)-COUNTIFS(OP_Space,$B100,OP_Status,"مكتمل"))</f>
        <v/>
      </c>
    </row>
    <row r="101" spans="1:18" x14ac:dyDescent="0.25">
      <c r="A101" s="8">
        <v>98</v>
      </c>
      <c r="B101" s="8" t="str">
        <f>IF('سجل الفراغات'!B101="","",'سجل الفراغات'!B101)</f>
        <v/>
      </c>
      <c r="C101" s="33" t="str">
        <f>IF($B101="","",'سجل الفراغات'!C101&amp;"")</f>
        <v/>
      </c>
      <c r="D101" s="8" t="str">
        <f>IF($B101="","",'سجل الفراغات'!D101&amp;"")</f>
        <v/>
      </c>
      <c r="E101" s="14" t="str">
        <f t="shared" si="43"/>
        <v/>
      </c>
      <c r="F101" s="14" t="str">
        <f t="shared" si="44"/>
        <v/>
      </c>
      <c r="G101" s="14" t="str">
        <f t="shared" si="45"/>
        <v/>
      </c>
      <c r="H101" s="14" t="str">
        <f t="shared" si="46"/>
        <v/>
      </c>
      <c r="I101" s="14" t="str">
        <f t="shared" si="47"/>
        <v/>
      </c>
      <c r="J101" s="14" t="str">
        <f t="shared" si="48"/>
        <v/>
      </c>
      <c r="K101" s="14" t="str">
        <f t="shared" si="49"/>
        <v/>
      </c>
      <c r="L101" s="14" t="str">
        <f t="shared" si="50"/>
        <v/>
      </c>
      <c r="M101" s="14" t="str">
        <f t="shared" si="51"/>
        <v/>
      </c>
      <c r="N101" s="14" t="str">
        <f t="shared" si="52"/>
        <v/>
      </c>
      <c r="O101" s="14" t="str">
        <f t="shared" si="53"/>
        <v/>
      </c>
      <c r="P101" s="14" t="str">
        <f t="shared" si="54"/>
        <v/>
      </c>
      <c r="Q101" s="15" t="str">
        <f t="shared" si="55"/>
        <v/>
      </c>
      <c r="R101" s="15" t="str">
        <f t="shared" si="56"/>
        <v/>
      </c>
    </row>
    <row r="102" spans="1:18" x14ac:dyDescent="0.25">
      <c r="A102" s="8">
        <v>99</v>
      </c>
      <c r="B102" s="8" t="str">
        <f>IF('سجل الفراغات'!B102="","",'سجل الفراغات'!B102)</f>
        <v/>
      </c>
      <c r="C102" s="33" t="str">
        <f>IF($B102="","",'سجل الفراغات'!C102&amp;"")</f>
        <v/>
      </c>
      <c r="D102" s="8" t="str">
        <f>IF($B102="","",'سجل الفراغات'!D102&amp;"")</f>
        <v/>
      </c>
      <c r="E102" s="14" t="str">
        <f t="shared" si="43"/>
        <v/>
      </c>
      <c r="F102" s="14" t="str">
        <f t="shared" si="44"/>
        <v/>
      </c>
      <c r="G102" s="14" t="str">
        <f t="shared" si="45"/>
        <v/>
      </c>
      <c r="H102" s="14" t="str">
        <f t="shared" si="46"/>
        <v/>
      </c>
      <c r="I102" s="14" t="str">
        <f t="shared" si="47"/>
        <v/>
      </c>
      <c r="J102" s="14" t="str">
        <f t="shared" si="48"/>
        <v/>
      </c>
      <c r="K102" s="14" t="str">
        <f t="shared" si="49"/>
        <v/>
      </c>
      <c r="L102" s="14" t="str">
        <f t="shared" si="50"/>
        <v/>
      </c>
      <c r="M102" s="14" t="str">
        <f t="shared" si="51"/>
        <v/>
      </c>
      <c r="N102" s="14" t="str">
        <f t="shared" si="52"/>
        <v/>
      </c>
      <c r="O102" s="14" t="str">
        <f t="shared" si="53"/>
        <v/>
      </c>
      <c r="P102" s="14" t="str">
        <f t="shared" si="54"/>
        <v/>
      </c>
      <c r="Q102" s="15" t="str">
        <f t="shared" si="55"/>
        <v/>
      </c>
      <c r="R102" s="15" t="str">
        <f t="shared" si="56"/>
        <v/>
      </c>
    </row>
    <row r="103" spans="1:18" x14ac:dyDescent="0.25">
      <c r="A103" s="8">
        <v>100</v>
      </c>
      <c r="B103" s="8" t="str">
        <f>IF('سجل الفراغات'!B103="","",'سجل الفراغات'!B103)</f>
        <v/>
      </c>
      <c r="C103" s="33" t="str">
        <f>IF($B103="","",'سجل الفراغات'!C103&amp;"")</f>
        <v/>
      </c>
      <c r="D103" s="8" t="str">
        <f>IF($B103="","",'سجل الفراغات'!D103&amp;"")</f>
        <v/>
      </c>
      <c r="E103" s="14" t="str">
        <f t="shared" si="43"/>
        <v/>
      </c>
      <c r="F103" s="14" t="str">
        <f t="shared" si="44"/>
        <v/>
      </c>
      <c r="G103" s="14" t="str">
        <f t="shared" si="45"/>
        <v/>
      </c>
      <c r="H103" s="14" t="str">
        <f t="shared" si="46"/>
        <v/>
      </c>
      <c r="I103" s="14" t="str">
        <f t="shared" si="47"/>
        <v/>
      </c>
      <c r="J103" s="14" t="str">
        <f t="shared" si="48"/>
        <v/>
      </c>
      <c r="K103" s="14" t="str">
        <f t="shared" si="49"/>
        <v/>
      </c>
      <c r="L103" s="14" t="str">
        <f t="shared" si="50"/>
        <v/>
      </c>
      <c r="M103" s="14" t="str">
        <f t="shared" si="51"/>
        <v/>
      </c>
      <c r="N103" s="14" t="str">
        <f t="shared" si="52"/>
        <v/>
      </c>
      <c r="O103" s="14" t="str">
        <f t="shared" si="53"/>
        <v/>
      </c>
      <c r="P103" s="14" t="str">
        <f t="shared" si="54"/>
        <v/>
      </c>
      <c r="Q103" s="15" t="str">
        <f t="shared" si="55"/>
        <v/>
      </c>
      <c r="R103" s="15" t="str">
        <f t="shared" si="56"/>
        <v/>
      </c>
    </row>
    <row r="104" spans="1:18" x14ac:dyDescent="0.25">
      <c r="A104" s="8">
        <v>101</v>
      </c>
      <c r="B104" s="8" t="str">
        <f>IF('سجل الفراغات'!B104="","",'سجل الفراغات'!B104)</f>
        <v/>
      </c>
      <c r="C104" s="33" t="str">
        <f>IF($B104="","",'سجل الفراغات'!C104&amp;"")</f>
        <v/>
      </c>
      <c r="D104" s="8" t="str">
        <f>IF($B104="","",'سجل الفراغات'!D104&amp;"")</f>
        <v/>
      </c>
      <c r="E104" s="14" t="str">
        <f t="shared" si="43"/>
        <v/>
      </c>
      <c r="F104" s="14" t="str">
        <f t="shared" si="44"/>
        <v/>
      </c>
      <c r="G104" s="14" t="str">
        <f t="shared" si="45"/>
        <v/>
      </c>
      <c r="H104" s="14" t="str">
        <f t="shared" si="46"/>
        <v/>
      </c>
      <c r="I104" s="14" t="str">
        <f t="shared" si="47"/>
        <v/>
      </c>
      <c r="J104" s="14" t="str">
        <f t="shared" si="48"/>
        <v/>
      </c>
      <c r="K104" s="14" t="str">
        <f t="shared" si="49"/>
        <v/>
      </c>
      <c r="L104" s="14" t="str">
        <f t="shared" si="50"/>
        <v/>
      </c>
      <c r="M104" s="14" t="str">
        <f t="shared" si="51"/>
        <v/>
      </c>
      <c r="N104" s="14" t="str">
        <f t="shared" si="52"/>
        <v/>
      </c>
      <c r="O104" s="14" t="str">
        <f t="shared" si="53"/>
        <v/>
      </c>
      <c r="P104" s="14" t="str">
        <f t="shared" si="54"/>
        <v/>
      </c>
      <c r="Q104" s="15" t="str">
        <f t="shared" si="55"/>
        <v/>
      </c>
      <c r="R104" s="15" t="str">
        <f t="shared" si="56"/>
        <v/>
      </c>
    </row>
    <row r="105" spans="1:18" x14ac:dyDescent="0.25">
      <c r="A105" s="8">
        <v>102</v>
      </c>
      <c r="B105" s="8" t="str">
        <f>IF('سجل الفراغات'!B105="","",'سجل الفراغات'!B105)</f>
        <v/>
      </c>
      <c r="C105" s="33" t="str">
        <f>IF($B105="","",'سجل الفراغات'!C105&amp;"")</f>
        <v/>
      </c>
      <c r="D105" s="8" t="str">
        <f>IF($B105="","",'سجل الفراغات'!D105&amp;"")</f>
        <v/>
      </c>
      <c r="E105" s="14" t="str">
        <f t="shared" si="43"/>
        <v/>
      </c>
      <c r="F105" s="14" t="str">
        <f t="shared" si="44"/>
        <v/>
      </c>
      <c r="G105" s="14" t="str">
        <f t="shared" si="45"/>
        <v/>
      </c>
      <c r="H105" s="14" t="str">
        <f t="shared" si="46"/>
        <v/>
      </c>
      <c r="I105" s="14" t="str">
        <f t="shared" si="47"/>
        <v/>
      </c>
      <c r="J105" s="14" t="str">
        <f t="shared" si="48"/>
        <v/>
      </c>
      <c r="K105" s="14" t="str">
        <f t="shared" si="49"/>
        <v/>
      </c>
      <c r="L105" s="14" t="str">
        <f t="shared" si="50"/>
        <v/>
      </c>
      <c r="M105" s="14" t="str">
        <f t="shared" si="51"/>
        <v/>
      </c>
      <c r="N105" s="14" t="str">
        <f t="shared" si="52"/>
        <v/>
      </c>
      <c r="O105" s="14" t="str">
        <f t="shared" si="53"/>
        <v/>
      </c>
      <c r="P105" s="14" t="str">
        <f t="shared" si="54"/>
        <v/>
      </c>
      <c r="Q105" s="15" t="str">
        <f t="shared" si="55"/>
        <v/>
      </c>
      <c r="R105" s="15" t="str">
        <f t="shared" si="56"/>
        <v/>
      </c>
    </row>
    <row r="106" spans="1:18" x14ac:dyDescent="0.25">
      <c r="A106" s="8">
        <v>103</v>
      </c>
      <c r="B106" s="8" t="str">
        <f>IF('سجل الفراغات'!B106="","",'سجل الفراغات'!B106)</f>
        <v/>
      </c>
      <c r="C106" s="33" t="str">
        <f>IF($B106="","",'سجل الفراغات'!C106&amp;"")</f>
        <v/>
      </c>
      <c r="D106" s="8" t="str">
        <f>IF($B106="","",'سجل الفراغات'!D106&amp;"")</f>
        <v/>
      </c>
      <c r="E106" s="14" t="str">
        <f t="shared" si="43"/>
        <v/>
      </c>
      <c r="F106" s="14" t="str">
        <f t="shared" si="44"/>
        <v/>
      </c>
      <c r="G106" s="14" t="str">
        <f t="shared" si="45"/>
        <v/>
      </c>
      <c r="H106" s="14" t="str">
        <f t="shared" si="46"/>
        <v/>
      </c>
      <c r="I106" s="14" t="str">
        <f t="shared" si="47"/>
        <v/>
      </c>
      <c r="J106" s="14" t="str">
        <f t="shared" si="48"/>
        <v/>
      </c>
      <c r="K106" s="14" t="str">
        <f t="shared" si="49"/>
        <v/>
      </c>
      <c r="L106" s="14" t="str">
        <f t="shared" si="50"/>
        <v/>
      </c>
      <c r="M106" s="14" t="str">
        <f t="shared" si="51"/>
        <v/>
      </c>
      <c r="N106" s="14" t="str">
        <f t="shared" si="52"/>
        <v/>
      </c>
      <c r="O106" s="14" t="str">
        <f t="shared" si="53"/>
        <v/>
      </c>
      <c r="P106" s="14" t="str">
        <f t="shared" si="54"/>
        <v/>
      </c>
      <c r="Q106" s="15" t="str">
        <f t="shared" si="55"/>
        <v/>
      </c>
      <c r="R106" s="15" t="str">
        <f t="shared" si="56"/>
        <v/>
      </c>
    </row>
    <row r="107" spans="1:18" x14ac:dyDescent="0.25">
      <c r="A107" s="8">
        <v>104</v>
      </c>
      <c r="B107" s="8" t="str">
        <f>IF('سجل الفراغات'!B107="","",'سجل الفراغات'!B107)</f>
        <v/>
      </c>
      <c r="C107" s="33" t="str">
        <f>IF($B107="","",'سجل الفراغات'!C107&amp;"")</f>
        <v/>
      </c>
      <c r="D107" s="8" t="str">
        <f>IF($B107="","",'سجل الفراغات'!D107&amp;"")</f>
        <v/>
      </c>
      <c r="E107" s="14" t="str">
        <f t="shared" si="43"/>
        <v/>
      </c>
      <c r="F107" s="14" t="str">
        <f t="shared" si="44"/>
        <v/>
      </c>
      <c r="G107" s="14" t="str">
        <f t="shared" si="45"/>
        <v/>
      </c>
      <c r="H107" s="14" t="str">
        <f t="shared" si="46"/>
        <v/>
      </c>
      <c r="I107" s="14" t="str">
        <f t="shared" si="47"/>
        <v/>
      </c>
      <c r="J107" s="14" t="str">
        <f t="shared" si="48"/>
        <v/>
      </c>
      <c r="K107" s="14" t="str">
        <f t="shared" si="49"/>
        <v/>
      </c>
      <c r="L107" s="14" t="str">
        <f t="shared" si="50"/>
        <v/>
      </c>
      <c r="M107" s="14" t="str">
        <f t="shared" si="51"/>
        <v/>
      </c>
      <c r="N107" s="14" t="str">
        <f t="shared" si="52"/>
        <v/>
      </c>
      <c r="O107" s="14" t="str">
        <f t="shared" si="53"/>
        <v/>
      </c>
      <c r="P107" s="14" t="str">
        <f t="shared" si="54"/>
        <v/>
      </c>
      <c r="Q107" s="15" t="str">
        <f t="shared" si="55"/>
        <v/>
      </c>
      <c r="R107" s="15" t="str">
        <f t="shared" si="56"/>
        <v/>
      </c>
    </row>
    <row r="108" spans="1:18" x14ac:dyDescent="0.25">
      <c r="A108" s="8">
        <v>105</v>
      </c>
      <c r="B108" s="8" t="str">
        <f>IF('سجل الفراغات'!B108="","",'سجل الفراغات'!B108)</f>
        <v/>
      </c>
      <c r="C108" s="33" t="str">
        <f>IF($B108="","",'سجل الفراغات'!C108&amp;"")</f>
        <v/>
      </c>
      <c r="D108" s="8" t="str">
        <f>IF($B108="","",'سجل الفراغات'!D108&amp;"")</f>
        <v/>
      </c>
      <c r="E108" s="14" t="str">
        <f t="shared" si="43"/>
        <v/>
      </c>
      <c r="F108" s="14" t="str">
        <f t="shared" si="44"/>
        <v/>
      </c>
      <c r="G108" s="14" t="str">
        <f t="shared" si="45"/>
        <v/>
      </c>
      <c r="H108" s="14" t="str">
        <f t="shared" si="46"/>
        <v/>
      </c>
      <c r="I108" s="14" t="str">
        <f t="shared" si="47"/>
        <v/>
      </c>
      <c r="J108" s="14" t="str">
        <f t="shared" si="48"/>
        <v/>
      </c>
      <c r="K108" s="14" t="str">
        <f t="shared" si="49"/>
        <v/>
      </c>
      <c r="L108" s="14" t="str">
        <f t="shared" si="50"/>
        <v/>
      </c>
      <c r="M108" s="14" t="str">
        <f t="shared" si="51"/>
        <v/>
      </c>
      <c r="N108" s="14" t="str">
        <f t="shared" si="52"/>
        <v/>
      </c>
      <c r="O108" s="14" t="str">
        <f t="shared" si="53"/>
        <v/>
      </c>
      <c r="P108" s="14" t="str">
        <f t="shared" si="54"/>
        <v/>
      </c>
      <c r="Q108" s="15" t="str">
        <f t="shared" si="55"/>
        <v/>
      </c>
      <c r="R108" s="15" t="str">
        <f t="shared" si="56"/>
        <v/>
      </c>
    </row>
    <row r="109" spans="1:18" x14ac:dyDescent="0.25">
      <c r="A109" s="8">
        <v>106</v>
      </c>
      <c r="B109" s="8" t="str">
        <f>IF('سجل الفراغات'!B109="","",'سجل الفراغات'!B109)</f>
        <v/>
      </c>
      <c r="C109" s="33" t="str">
        <f>IF($B109="","",'سجل الفراغات'!C109&amp;"")</f>
        <v/>
      </c>
      <c r="D109" s="8" t="str">
        <f>IF($B109="","",'سجل الفراغات'!D109&amp;"")</f>
        <v/>
      </c>
      <c r="E109" s="14" t="str">
        <f t="shared" si="43"/>
        <v/>
      </c>
      <c r="F109" s="14" t="str">
        <f t="shared" si="44"/>
        <v/>
      </c>
      <c r="G109" s="14" t="str">
        <f t="shared" si="45"/>
        <v/>
      </c>
      <c r="H109" s="14" t="str">
        <f t="shared" si="46"/>
        <v/>
      </c>
      <c r="I109" s="14" t="str">
        <f t="shared" si="47"/>
        <v/>
      </c>
      <c r="J109" s="14" t="str">
        <f t="shared" si="48"/>
        <v/>
      </c>
      <c r="K109" s="14" t="str">
        <f t="shared" si="49"/>
        <v/>
      </c>
      <c r="L109" s="14" t="str">
        <f t="shared" si="50"/>
        <v/>
      </c>
      <c r="M109" s="14" t="str">
        <f t="shared" si="51"/>
        <v/>
      </c>
      <c r="N109" s="14" t="str">
        <f t="shared" si="52"/>
        <v/>
      </c>
      <c r="O109" s="14" t="str">
        <f t="shared" si="53"/>
        <v/>
      </c>
      <c r="P109" s="14" t="str">
        <f t="shared" si="54"/>
        <v/>
      </c>
      <c r="Q109" s="15" t="str">
        <f t="shared" si="55"/>
        <v/>
      </c>
      <c r="R109" s="15" t="str">
        <f t="shared" si="56"/>
        <v/>
      </c>
    </row>
    <row r="110" spans="1:18" x14ac:dyDescent="0.25">
      <c r="A110" s="8">
        <v>107</v>
      </c>
      <c r="B110" s="8" t="str">
        <f>IF('سجل الفراغات'!B110="","",'سجل الفراغات'!B110)</f>
        <v/>
      </c>
      <c r="C110" s="33" t="str">
        <f>IF($B110="","",'سجل الفراغات'!C110&amp;"")</f>
        <v/>
      </c>
      <c r="D110" s="8" t="str">
        <f>IF($B110="","",'سجل الفراغات'!D110&amp;"")</f>
        <v/>
      </c>
      <c r="E110" s="14" t="str">
        <f t="shared" si="43"/>
        <v/>
      </c>
      <c r="F110" s="14" t="str">
        <f t="shared" si="44"/>
        <v/>
      </c>
      <c r="G110" s="14" t="str">
        <f t="shared" si="45"/>
        <v/>
      </c>
      <c r="H110" s="14" t="str">
        <f t="shared" si="46"/>
        <v/>
      </c>
      <c r="I110" s="14" t="str">
        <f t="shared" si="47"/>
        <v/>
      </c>
      <c r="J110" s="14" t="str">
        <f t="shared" si="48"/>
        <v/>
      </c>
      <c r="K110" s="14" t="str">
        <f t="shared" si="49"/>
        <v/>
      </c>
      <c r="L110" s="14" t="str">
        <f t="shared" si="50"/>
        <v/>
      </c>
      <c r="M110" s="14" t="str">
        <f t="shared" si="51"/>
        <v/>
      </c>
      <c r="N110" s="14" t="str">
        <f t="shared" si="52"/>
        <v/>
      </c>
      <c r="O110" s="14" t="str">
        <f t="shared" si="53"/>
        <v/>
      </c>
      <c r="P110" s="14" t="str">
        <f t="shared" si="54"/>
        <v/>
      </c>
      <c r="Q110" s="15" t="str">
        <f t="shared" si="55"/>
        <v/>
      </c>
      <c r="R110" s="15" t="str">
        <f t="shared" si="56"/>
        <v/>
      </c>
    </row>
    <row r="111" spans="1:18" x14ac:dyDescent="0.25">
      <c r="A111" s="8">
        <v>108</v>
      </c>
      <c r="B111" s="8" t="str">
        <f>IF('سجل الفراغات'!B111="","",'سجل الفراغات'!B111)</f>
        <v/>
      </c>
      <c r="C111" s="33" t="str">
        <f>IF($B111="","",'سجل الفراغات'!C111&amp;"")</f>
        <v/>
      </c>
      <c r="D111" s="8" t="str">
        <f>IF($B111="","",'سجل الفراغات'!D111&amp;"")</f>
        <v/>
      </c>
      <c r="E111" s="14" t="str">
        <f t="shared" si="43"/>
        <v/>
      </c>
      <c r="F111" s="14" t="str">
        <f t="shared" si="44"/>
        <v/>
      </c>
      <c r="G111" s="14" t="str">
        <f t="shared" si="45"/>
        <v/>
      </c>
      <c r="H111" s="14" t="str">
        <f t="shared" si="46"/>
        <v/>
      </c>
      <c r="I111" s="14" t="str">
        <f t="shared" si="47"/>
        <v/>
      </c>
      <c r="J111" s="14" t="str">
        <f t="shared" si="48"/>
        <v/>
      </c>
      <c r="K111" s="14" t="str">
        <f t="shared" si="49"/>
        <v/>
      </c>
      <c r="L111" s="14" t="str">
        <f t="shared" si="50"/>
        <v/>
      </c>
      <c r="M111" s="14" t="str">
        <f t="shared" si="51"/>
        <v/>
      </c>
      <c r="N111" s="14" t="str">
        <f t="shared" si="52"/>
        <v/>
      </c>
      <c r="O111" s="14" t="str">
        <f t="shared" si="53"/>
        <v/>
      </c>
      <c r="P111" s="14" t="str">
        <f t="shared" si="54"/>
        <v/>
      </c>
      <c r="Q111" s="15" t="str">
        <f t="shared" si="55"/>
        <v/>
      </c>
      <c r="R111" s="15" t="str">
        <f t="shared" si="56"/>
        <v/>
      </c>
    </row>
    <row r="112" spans="1:18" x14ac:dyDescent="0.25">
      <c r="A112" s="8">
        <v>109</v>
      </c>
      <c r="B112" s="8" t="str">
        <f>IF('سجل الفراغات'!B112="","",'سجل الفراغات'!B112)</f>
        <v/>
      </c>
      <c r="C112" s="33" t="str">
        <f>IF($B112="","",'سجل الفراغات'!C112&amp;"")</f>
        <v/>
      </c>
      <c r="D112" s="8" t="str">
        <f>IF($B112="","",'سجل الفراغات'!D112&amp;"")</f>
        <v/>
      </c>
      <c r="E112" s="14" t="str">
        <f t="shared" si="43"/>
        <v/>
      </c>
      <c r="F112" s="14" t="str">
        <f t="shared" si="44"/>
        <v/>
      </c>
      <c r="G112" s="14" t="str">
        <f t="shared" si="45"/>
        <v/>
      </c>
      <c r="H112" s="14" t="str">
        <f t="shared" si="46"/>
        <v/>
      </c>
      <c r="I112" s="14" t="str">
        <f t="shared" si="47"/>
        <v/>
      </c>
      <c r="J112" s="14" t="str">
        <f t="shared" si="48"/>
        <v/>
      </c>
      <c r="K112" s="14" t="str">
        <f t="shared" si="49"/>
        <v/>
      </c>
      <c r="L112" s="14" t="str">
        <f t="shared" si="50"/>
        <v/>
      </c>
      <c r="M112" s="14" t="str">
        <f t="shared" si="51"/>
        <v/>
      </c>
      <c r="N112" s="14" t="str">
        <f t="shared" si="52"/>
        <v/>
      </c>
      <c r="O112" s="14" t="str">
        <f t="shared" si="53"/>
        <v/>
      </c>
      <c r="P112" s="14" t="str">
        <f t="shared" si="54"/>
        <v/>
      </c>
      <c r="Q112" s="15" t="str">
        <f t="shared" si="55"/>
        <v/>
      </c>
      <c r="R112" s="15" t="str">
        <f t="shared" si="56"/>
        <v/>
      </c>
    </row>
    <row r="113" spans="1:18" x14ac:dyDescent="0.25">
      <c r="A113" s="8">
        <v>110</v>
      </c>
      <c r="B113" s="8" t="str">
        <f>IF('سجل الفراغات'!B113="","",'سجل الفراغات'!B113)</f>
        <v/>
      </c>
      <c r="C113" s="33" t="str">
        <f>IF($B113="","",'سجل الفراغات'!C113&amp;"")</f>
        <v/>
      </c>
      <c r="D113" s="8" t="str">
        <f>IF($B113="","",'سجل الفراغات'!D113&amp;"")</f>
        <v/>
      </c>
      <c r="E113" s="14" t="str">
        <f t="shared" si="43"/>
        <v/>
      </c>
      <c r="F113" s="14" t="str">
        <f t="shared" si="44"/>
        <v/>
      </c>
      <c r="G113" s="14" t="str">
        <f t="shared" si="45"/>
        <v/>
      </c>
      <c r="H113" s="14" t="str">
        <f t="shared" si="46"/>
        <v/>
      </c>
      <c r="I113" s="14" t="str">
        <f t="shared" si="47"/>
        <v/>
      </c>
      <c r="J113" s="14" t="str">
        <f t="shared" si="48"/>
        <v/>
      </c>
      <c r="K113" s="14" t="str">
        <f t="shared" si="49"/>
        <v/>
      </c>
      <c r="L113" s="14" t="str">
        <f t="shared" si="50"/>
        <v/>
      </c>
      <c r="M113" s="14" t="str">
        <f t="shared" si="51"/>
        <v/>
      </c>
      <c r="N113" s="14" t="str">
        <f t="shared" si="52"/>
        <v/>
      </c>
      <c r="O113" s="14" t="str">
        <f t="shared" si="53"/>
        <v/>
      </c>
      <c r="P113" s="14" t="str">
        <f t="shared" si="54"/>
        <v/>
      </c>
      <c r="Q113" s="15" t="str">
        <f t="shared" si="55"/>
        <v/>
      </c>
      <c r="R113" s="15" t="str">
        <f t="shared" si="56"/>
        <v/>
      </c>
    </row>
    <row r="114" spans="1:18" x14ac:dyDescent="0.25">
      <c r="A114" s="8">
        <v>111</v>
      </c>
      <c r="B114" s="8" t="str">
        <f>IF('سجل الفراغات'!B114="","",'سجل الفراغات'!B114)</f>
        <v/>
      </c>
      <c r="C114" s="33" t="str">
        <f>IF($B114="","",'سجل الفراغات'!C114&amp;"")</f>
        <v/>
      </c>
      <c r="D114" s="8" t="str">
        <f>IF($B114="","",'سجل الفراغات'!D114&amp;"")</f>
        <v/>
      </c>
      <c r="E114" s="14" t="str">
        <f t="shared" si="43"/>
        <v/>
      </c>
      <c r="F114" s="14" t="str">
        <f t="shared" si="44"/>
        <v/>
      </c>
      <c r="G114" s="14" t="str">
        <f t="shared" si="45"/>
        <v/>
      </c>
      <c r="H114" s="14" t="str">
        <f t="shared" si="46"/>
        <v/>
      </c>
      <c r="I114" s="14" t="str">
        <f t="shared" si="47"/>
        <v/>
      </c>
      <c r="J114" s="14" t="str">
        <f t="shared" si="48"/>
        <v/>
      </c>
      <c r="K114" s="14" t="str">
        <f t="shared" si="49"/>
        <v/>
      </c>
      <c r="L114" s="14" t="str">
        <f t="shared" si="50"/>
        <v/>
      </c>
      <c r="M114" s="14" t="str">
        <f t="shared" si="51"/>
        <v/>
      </c>
      <c r="N114" s="14" t="str">
        <f t="shared" si="52"/>
        <v/>
      </c>
      <c r="O114" s="14" t="str">
        <f t="shared" si="53"/>
        <v/>
      </c>
      <c r="P114" s="14" t="str">
        <f t="shared" si="54"/>
        <v/>
      </c>
      <c r="Q114" s="15" t="str">
        <f t="shared" si="55"/>
        <v/>
      </c>
      <c r="R114" s="15" t="str">
        <f t="shared" si="56"/>
        <v/>
      </c>
    </row>
    <row r="115" spans="1:18" x14ac:dyDescent="0.25">
      <c r="A115" s="8">
        <v>112</v>
      </c>
      <c r="B115" s="8" t="str">
        <f>IF('سجل الفراغات'!B115="","",'سجل الفراغات'!B115)</f>
        <v/>
      </c>
      <c r="C115" s="33" t="str">
        <f>IF($B115="","",'سجل الفراغات'!C115&amp;"")</f>
        <v/>
      </c>
      <c r="D115" s="8" t="str">
        <f>IF($B115="","",'سجل الفراغات'!D115&amp;"")</f>
        <v/>
      </c>
      <c r="E115" s="14" t="str">
        <f t="shared" si="43"/>
        <v/>
      </c>
      <c r="F115" s="14" t="str">
        <f t="shared" si="44"/>
        <v/>
      </c>
      <c r="G115" s="14" t="str">
        <f t="shared" si="45"/>
        <v/>
      </c>
      <c r="H115" s="14" t="str">
        <f t="shared" si="46"/>
        <v/>
      </c>
      <c r="I115" s="14" t="str">
        <f t="shared" si="47"/>
        <v/>
      </c>
      <c r="J115" s="14" t="str">
        <f t="shared" si="48"/>
        <v/>
      </c>
      <c r="K115" s="14" t="str">
        <f t="shared" si="49"/>
        <v/>
      </c>
      <c r="L115" s="14" t="str">
        <f t="shared" si="50"/>
        <v/>
      </c>
      <c r="M115" s="14" t="str">
        <f t="shared" si="51"/>
        <v/>
      </c>
      <c r="N115" s="14" t="str">
        <f t="shared" si="52"/>
        <v/>
      </c>
      <c r="O115" s="14" t="str">
        <f t="shared" si="53"/>
        <v/>
      </c>
      <c r="P115" s="14" t="str">
        <f t="shared" si="54"/>
        <v/>
      </c>
      <c r="Q115" s="15" t="str">
        <f t="shared" si="55"/>
        <v/>
      </c>
      <c r="R115" s="15" t="str">
        <f t="shared" si="56"/>
        <v/>
      </c>
    </row>
    <row r="116" spans="1:18" x14ac:dyDescent="0.25">
      <c r="A116" s="8">
        <v>113</v>
      </c>
      <c r="B116" s="8" t="str">
        <f>IF('سجل الفراغات'!B116="","",'سجل الفراغات'!B116)</f>
        <v/>
      </c>
      <c r="C116" s="33" t="str">
        <f>IF($B116="","",'سجل الفراغات'!C116&amp;"")</f>
        <v/>
      </c>
      <c r="D116" s="8" t="str">
        <f>IF($B116="","",'سجل الفراغات'!D116&amp;"")</f>
        <v/>
      </c>
      <c r="E116" s="14" t="str">
        <f t="shared" si="43"/>
        <v/>
      </c>
      <c r="F116" s="14" t="str">
        <f t="shared" si="44"/>
        <v/>
      </c>
      <c r="G116" s="14" t="str">
        <f t="shared" si="45"/>
        <v/>
      </c>
      <c r="H116" s="14" t="str">
        <f t="shared" si="46"/>
        <v/>
      </c>
      <c r="I116" s="14" t="str">
        <f t="shared" si="47"/>
        <v/>
      </c>
      <c r="J116" s="14" t="str">
        <f t="shared" si="48"/>
        <v/>
      </c>
      <c r="K116" s="14" t="str">
        <f t="shared" si="49"/>
        <v/>
      </c>
      <c r="L116" s="14" t="str">
        <f t="shared" si="50"/>
        <v/>
      </c>
      <c r="M116" s="14" t="str">
        <f t="shared" si="51"/>
        <v/>
      </c>
      <c r="N116" s="14" t="str">
        <f t="shared" si="52"/>
        <v/>
      </c>
      <c r="O116" s="14" t="str">
        <f t="shared" si="53"/>
        <v/>
      </c>
      <c r="P116" s="14" t="str">
        <f t="shared" si="54"/>
        <v/>
      </c>
      <c r="Q116" s="15" t="str">
        <f t="shared" si="55"/>
        <v/>
      </c>
      <c r="R116" s="15" t="str">
        <f t="shared" si="56"/>
        <v/>
      </c>
    </row>
    <row r="117" spans="1:18" x14ac:dyDescent="0.25">
      <c r="A117" s="8">
        <v>114</v>
      </c>
      <c r="B117" s="8" t="str">
        <f>IF('سجل الفراغات'!B117="","",'سجل الفراغات'!B117)</f>
        <v/>
      </c>
      <c r="C117" s="33" t="str">
        <f>IF($B117="","",'سجل الفراغات'!C117&amp;"")</f>
        <v/>
      </c>
      <c r="D117" s="8" t="str">
        <f>IF($B117="","",'سجل الفراغات'!D117&amp;"")</f>
        <v/>
      </c>
      <c r="E117" s="14" t="str">
        <f t="shared" si="43"/>
        <v/>
      </c>
      <c r="F117" s="14" t="str">
        <f t="shared" si="44"/>
        <v/>
      </c>
      <c r="G117" s="14" t="str">
        <f t="shared" si="45"/>
        <v/>
      </c>
      <c r="H117" s="14" t="str">
        <f t="shared" si="46"/>
        <v/>
      </c>
      <c r="I117" s="14" t="str">
        <f t="shared" si="47"/>
        <v/>
      </c>
      <c r="J117" s="14" t="str">
        <f t="shared" si="48"/>
        <v/>
      </c>
      <c r="K117" s="14" t="str">
        <f t="shared" si="49"/>
        <v/>
      </c>
      <c r="L117" s="14" t="str">
        <f t="shared" si="50"/>
        <v/>
      </c>
      <c r="M117" s="14" t="str">
        <f t="shared" si="51"/>
        <v/>
      </c>
      <c r="N117" s="14" t="str">
        <f t="shared" si="52"/>
        <v/>
      </c>
      <c r="O117" s="14" t="str">
        <f t="shared" si="53"/>
        <v/>
      </c>
      <c r="P117" s="14" t="str">
        <f t="shared" si="54"/>
        <v/>
      </c>
      <c r="Q117" s="15" t="str">
        <f t="shared" si="55"/>
        <v/>
      </c>
      <c r="R117" s="15" t="str">
        <f t="shared" si="56"/>
        <v/>
      </c>
    </row>
    <row r="118" spans="1:18" x14ac:dyDescent="0.25">
      <c r="A118" s="8">
        <v>115</v>
      </c>
      <c r="B118" s="8" t="str">
        <f>IF('سجل الفراغات'!B118="","",'سجل الفراغات'!B118)</f>
        <v/>
      </c>
      <c r="C118" s="33" t="str">
        <f>IF($B118="","",'سجل الفراغات'!C118&amp;"")</f>
        <v/>
      </c>
      <c r="D118" s="8" t="str">
        <f>IF($B118="","",'سجل الفراغات'!D118&amp;"")</f>
        <v/>
      </c>
      <c r="E118" s="14" t="str">
        <f t="shared" si="43"/>
        <v/>
      </c>
      <c r="F118" s="14" t="str">
        <f t="shared" si="44"/>
        <v/>
      </c>
      <c r="G118" s="14" t="str">
        <f t="shared" si="45"/>
        <v/>
      </c>
      <c r="H118" s="14" t="str">
        <f t="shared" si="46"/>
        <v/>
      </c>
      <c r="I118" s="14" t="str">
        <f t="shared" si="47"/>
        <v/>
      </c>
      <c r="J118" s="14" t="str">
        <f t="shared" si="48"/>
        <v/>
      </c>
      <c r="K118" s="14" t="str">
        <f t="shared" si="49"/>
        <v/>
      </c>
      <c r="L118" s="14" t="str">
        <f t="shared" si="50"/>
        <v/>
      </c>
      <c r="M118" s="14" t="str">
        <f t="shared" si="51"/>
        <v/>
      </c>
      <c r="N118" s="14" t="str">
        <f t="shared" si="52"/>
        <v/>
      </c>
      <c r="O118" s="14" t="str">
        <f t="shared" si="53"/>
        <v/>
      </c>
      <c r="P118" s="14" t="str">
        <f t="shared" si="54"/>
        <v/>
      </c>
      <c r="Q118" s="15" t="str">
        <f t="shared" si="55"/>
        <v/>
      </c>
      <c r="R118" s="15" t="str">
        <f t="shared" si="56"/>
        <v/>
      </c>
    </row>
    <row r="119" spans="1:18" x14ac:dyDescent="0.25">
      <c r="A119" s="8">
        <v>116</v>
      </c>
      <c r="B119" s="8" t="str">
        <f>IF('سجل الفراغات'!B119="","",'سجل الفراغات'!B119)</f>
        <v/>
      </c>
      <c r="C119" s="33" t="str">
        <f>IF($B119="","",'سجل الفراغات'!C119&amp;"")</f>
        <v/>
      </c>
      <c r="D119" s="8" t="str">
        <f>IF($B119="","",'سجل الفراغات'!D119&amp;"")</f>
        <v/>
      </c>
      <c r="E119" s="14" t="str">
        <f t="shared" si="43"/>
        <v/>
      </c>
      <c r="F119" s="14" t="str">
        <f t="shared" si="44"/>
        <v/>
      </c>
      <c r="G119" s="14" t="str">
        <f t="shared" si="45"/>
        <v/>
      </c>
      <c r="H119" s="14" t="str">
        <f t="shared" si="46"/>
        <v/>
      </c>
      <c r="I119" s="14" t="str">
        <f t="shared" si="47"/>
        <v/>
      </c>
      <c r="J119" s="14" t="str">
        <f t="shared" si="48"/>
        <v/>
      </c>
      <c r="K119" s="14" t="str">
        <f t="shared" si="49"/>
        <v/>
      </c>
      <c r="L119" s="14" t="str">
        <f t="shared" si="50"/>
        <v/>
      </c>
      <c r="M119" s="14" t="str">
        <f t="shared" si="51"/>
        <v/>
      </c>
      <c r="N119" s="14" t="str">
        <f t="shared" si="52"/>
        <v/>
      </c>
      <c r="O119" s="14" t="str">
        <f t="shared" si="53"/>
        <v/>
      </c>
      <c r="P119" s="14" t="str">
        <f t="shared" si="54"/>
        <v/>
      </c>
      <c r="Q119" s="15" t="str">
        <f t="shared" si="55"/>
        <v/>
      </c>
      <c r="R119" s="15" t="str">
        <f t="shared" si="56"/>
        <v/>
      </c>
    </row>
    <row r="120" spans="1:18" x14ac:dyDescent="0.25">
      <c r="A120" s="8">
        <v>117</v>
      </c>
      <c r="B120" s="8" t="str">
        <f>IF('سجل الفراغات'!B120="","",'سجل الفراغات'!B120)</f>
        <v/>
      </c>
      <c r="C120" s="33" t="str">
        <f>IF($B120="","",'سجل الفراغات'!C120&amp;"")</f>
        <v/>
      </c>
      <c r="D120" s="8" t="str">
        <f>IF($B120="","",'سجل الفراغات'!D120&amp;"")</f>
        <v/>
      </c>
      <c r="E120" s="14" t="str">
        <f t="shared" si="43"/>
        <v/>
      </c>
      <c r="F120" s="14" t="str">
        <f t="shared" si="44"/>
        <v/>
      </c>
      <c r="G120" s="14" t="str">
        <f t="shared" si="45"/>
        <v/>
      </c>
      <c r="H120" s="14" t="str">
        <f t="shared" si="46"/>
        <v/>
      </c>
      <c r="I120" s="14" t="str">
        <f t="shared" si="47"/>
        <v/>
      </c>
      <c r="J120" s="14" t="str">
        <f t="shared" si="48"/>
        <v/>
      </c>
      <c r="K120" s="14" t="str">
        <f t="shared" si="49"/>
        <v/>
      </c>
      <c r="L120" s="14" t="str">
        <f t="shared" si="50"/>
        <v/>
      </c>
      <c r="M120" s="14" t="str">
        <f t="shared" si="51"/>
        <v/>
      </c>
      <c r="N120" s="14" t="str">
        <f t="shared" si="52"/>
        <v/>
      </c>
      <c r="O120" s="14" t="str">
        <f t="shared" si="53"/>
        <v/>
      </c>
      <c r="P120" s="14" t="str">
        <f t="shared" si="54"/>
        <v/>
      </c>
      <c r="Q120" s="15" t="str">
        <f t="shared" si="55"/>
        <v/>
      </c>
      <c r="R120" s="15" t="str">
        <f t="shared" si="56"/>
        <v/>
      </c>
    </row>
    <row r="121" spans="1:18" x14ac:dyDescent="0.25">
      <c r="A121" s="8">
        <v>118</v>
      </c>
      <c r="B121" s="8" t="str">
        <f>IF('سجل الفراغات'!B121="","",'سجل الفراغات'!B121)</f>
        <v/>
      </c>
      <c r="C121" s="33" t="str">
        <f>IF($B121="","",'سجل الفراغات'!C121&amp;"")</f>
        <v/>
      </c>
      <c r="D121" s="8" t="str">
        <f>IF($B121="","",'سجل الفراغات'!D121&amp;"")</f>
        <v/>
      </c>
      <c r="E121" s="14" t="str">
        <f t="shared" si="43"/>
        <v/>
      </c>
      <c r="F121" s="14" t="str">
        <f t="shared" si="44"/>
        <v/>
      </c>
      <c r="G121" s="14" t="str">
        <f t="shared" si="45"/>
        <v/>
      </c>
      <c r="H121" s="14" t="str">
        <f t="shared" si="46"/>
        <v/>
      </c>
      <c r="I121" s="14" t="str">
        <f t="shared" si="47"/>
        <v/>
      </c>
      <c r="J121" s="14" t="str">
        <f t="shared" si="48"/>
        <v/>
      </c>
      <c r="K121" s="14" t="str">
        <f t="shared" si="49"/>
        <v/>
      </c>
      <c r="L121" s="14" t="str">
        <f t="shared" si="50"/>
        <v/>
      </c>
      <c r="M121" s="14" t="str">
        <f t="shared" si="51"/>
        <v/>
      </c>
      <c r="N121" s="14" t="str">
        <f t="shared" si="52"/>
        <v/>
      </c>
      <c r="O121" s="14" t="str">
        <f t="shared" si="53"/>
        <v/>
      </c>
      <c r="P121" s="14" t="str">
        <f t="shared" si="54"/>
        <v/>
      </c>
      <c r="Q121" s="15" t="str">
        <f t="shared" si="55"/>
        <v/>
      </c>
      <c r="R121" s="15" t="str">
        <f t="shared" si="56"/>
        <v/>
      </c>
    </row>
    <row r="122" spans="1:18" x14ac:dyDescent="0.25">
      <c r="A122" s="8">
        <v>119</v>
      </c>
      <c r="B122" s="8" t="str">
        <f>IF('سجل الفراغات'!B122="","",'سجل الفراغات'!B122)</f>
        <v/>
      </c>
      <c r="C122" s="33" t="str">
        <f>IF($B122="","",'سجل الفراغات'!C122&amp;"")</f>
        <v/>
      </c>
      <c r="D122" s="8" t="str">
        <f>IF($B122="","",'سجل الفراغات'!D122&amp;"")</f>
        <v/>
      </c>
      <c r="E122" s="14" t="str">
        <f t="shared" si="43"/>
        <v/>
      </c>
      <c r="F122" s="14" t="str">
        <f t="shared" si="44"/>
        <v/>
      </c>
      <c r="G122" s="14" t="str">
        <f t="shared" si="45"/>
        <v/>
      </c>
      <c r="H122" s="14" t="str">
        <f t="shared" si="46"/>
        <v/>
      </c>
      <c r="I122" s="14" t="str">
        <f t="shared" si="47"/>
        <v/>
      </c>
      <c r="J122" s="14" t="str">
        <f t="shared" si="48"/>
        <v/>
      </c>
      <c r="K122" s="14" t="str">
        <f t="shared" si="49"/>
        <v/>
      </c>
      <c r="L122" s="14" t="str">
        <f t="shared" si="50"/>
        <v/>
      </c>
      <c r="M122" s="14" t="str">
        <f t="shared" si="51"/>
        <v/>
      </c>
      <c r="N122" s="14" t="str">
        <f t="shared" si="52"/>
        <v/>
      </c>
      <c r="O122" s="14" t="str">
        <f t="shared" si="53"/>
        <v/>
      </c>
      <c r="P122" s="14" t="str">
        <f t="shared" si="54"/>
        <v/>
      </c>
      <c r="Q122" s="15" t="str">
        <f t="shared" si="55"/>
        <v/>
      </c>
      <c r="R122" s="15" t="str">
        <f t="shared" si="56"/>
        <v/>
      </c>
    </row>
    <row r="123" spans="1:18" x14ac:dyDescent="0.25">
      <c r="A123" s="8">
        <v>120</v>
      </c>
      <c r="B123" s="8" t="str">
        <f>IF('سجل الفراغات'!B123="","",'سجل الفراغات'!B123)</f>
        <v/>
      </c>
      <c r="C123" s="33" t="str">
        <f>IF($B123="","",'سجل الفراغات'!C123&amp;"")</f>
        <v/>
      </c>
      <c r="D123" s="8" t="str">
        <f>IF($B123="","",'سجل الفراغات'!D123&amp;"")</f>
        <v/>
      </c>
      <c r="E123" s="14" t="str">
        <f t="shared" si="43"/>
        <v/>
      </c>
      <c r="F123" s="14" t="str">
        <f t="shared" si="44"/>
        <v/>
      </c>
      <c r="G123" s="14" t="str">
        <f t="shared" si="45"/>
        <v/>
      </c>
      <c r="H123" s="14" t="str">
        <f t="shared" si="46"/>
        <v/>
      </c>
      <c r="I123" s="14" t="str">
        <f t="shared" si="47"/>
        <v/>
      </c>
      <c r="J123" s="14" t="str">
        <f t="shared" si="48"/>
        <v/>
      </c>
      <c r="K123" s="14" t="str">
        <f t="shared" si="49"/>
        <v/>
      </c>
      <c r="L123" s="14" t="str">
        <f t="shared" si="50"/>
        <v/>
      </c>
      <c r="M123" s="14" t="str">
        <f t="shared" si="51"/>
        <v/>
      </c>
      <c r="N123" s="14" t="str">
        <f t="shared" si="52"/>
        <v/>
      </c>
      <c r="O123" s="14" t="str">
        <f t="shared" si="53"/>
        <v/>
      </c>
      <c r="P123" s="14" t="str">
        <f t="shared" si="54"/>
        <v/>
      </c>
      <c r="Q123" s="15" t="str">
        <f t="shared" si="55"/>
        <v/>
      </c>
      <c r="R123" s="15" t="str">
        <f t="shared" si="56"/>
        <v/>
      </c>
    </row>
    <row r="124" spans="1:18" x14ac:dyDescent="0.25">
      <c r="A124" s="8">
        <v>121</v>
      </c>
      <c r="B124" s="8" t="str">
        <f>IF('سجل الفراغات'!B124="","",'سجل الفراغات'!B124)</f>
        <v/>
      </c>
      <c r="C124" s="33" t="str">
        <f>IF($B124="","",'سجل الفراغات'!C124&amp;"")</f>
        <v/>
      </c>
      <c r="D124" s="8" t="str">
        <f>IF($B124="","",'سجل الفراغات'!D124&amp;"")</f>
        <v/>
      </c>
      <c r="E124" s="14" t="str">
        <f t="shared" si="43"/>
        <v/>
      </c>
      <c r="F124" s="14" t="str">
        <f t="shared" si="44"/>
        <v/>
      </c>
      <c r="G124" s="14" t="str">
        <f t="shared" si="45"/>
        <v/>
      </c>
      <c r="H124" s="14" t="str">
        <f t="shared" si="46"/>
        <v/>
      </c>
      <c r="I124" s="14" t="str">
        <f t="shared" si="47"/>
        <v/>
      </c>
      <c r="J124" s="14" t="str">
        <f t="shared" si="48"/>
        <v/>
      </c>
      <c r="K124" s="14" t="str">
        <f t="shared" si="49"/>
        <v/>
      </c>
      <c r="L124" s="14" t="str">
        <f t="shared" si="50"/>
        <v/>
      </c>
      <c r="M124" s="14" t="str">
        <f t="shared" si="51"/>
        <v/>
      </c>
      <c r="N124" s="14" t="str">
        <f t="shared" si="52"/>
        <v/>
      </c>
      <c r="O124" s="14" t="str">
        <f t="shared" si="53"/>
        <v/>
      </c>
      <c r="P124" s="14" t="str">
        <f t="shared" si="54"/>
        <v/>
      </c>
      <c r="Q124" s="15" t="str">
        <f t="shared" si="55"/>
        <v/>
      </c>
      <c r="R124" s="15" t="str">
        <f t="shared" si="56"/>
        <v/>
      </c>
    </row>
    <row r="125" spans="1:18" x14ac:dyDescent="0.25">
      <c r="A125" s="8">
        <v>122</v>
      </c>
      <c r="B125" s="8" t="str">
        <f>IF('سجل الفراغات'!B125="","",'سجل الفراغات'!B125)</f>
        <v/>
      </c>
      <c r="C125" s="33" t="str">
        <f>IF($B125="","",'سجل الفراغات'!C125&amp;"")</f>
        <v/>
      </c>
      <c r="D125" s="8" t="str">
        <f>IF($B125="","",'سجل الفراغات'!D125&amp;"")</f>
        <v/>
      </c>
      <c r="E125" s="14" t="str">
        <f t="shared" si="43"/>
        <v/>
      </c>
      <c r="F125" s="14" t="str">
        <f t="shared" si="44"/>
        <v/>
      </c>
      <c r="G125" s="14" t="str">
        <f t="shared" si="45"/>
        <v/>
      </c>
      <c r="H125" s="14" t="str">
        <f t="shared" si="46"/>
        <v/>
      </c>
      <c r="I125" s="14" t="str">
        <f t="shared" si="47"/>
        <v/>
      </c>
      <c r="J125" s="14" t="str">
        <f t="shared" si="48"/>
        <v/>
      </c>
      <c r="K125" s="14" t="str">
        <f t="shared" si="49"/>
        <v/>
      </c>
      <c r="L125" s="14" t="str">
        <f t="shared" si="50"/>
        <v/>
      </c>
      <c r="M125" s="14" t="str">
        <f t="shared" si="51"/>
        <v/>
      </c>
      <c r="N125" s="14" t="str">
        <f t="shared" si="52"/>
        <v/>
      </c>
      <c r="O125" s="14" t="str">
        <f t="shared" si="53"/>
        <v/>
      </c>
      <c r="P125" s="14" t="str">
        <f t="shared" si="54"/>
        <v/>
      </c>
      <c r="Q125" s="15" t="str">
        <f t="shared" si="55"/>
        <v/>
      </c>
      <c r="R125" s="15" t="str">
        <f t="shared" si="56"/>
        <v/>
      </c>
    </row>
    <row r="126" spans="1:18" x14ac:dyDescent="0.25">
      <c r="A126" s="8">
        <v>123</v>
      </c>
      <c r="B126" s="8" t="str">
        <f>IF('سجل الفراغات'!B126="","",'سجل الفراغات'!B126)</f>
        <v/>
      </c>
      <c r="C126" s="33" t="str">
        <f>IF($B126="","",'سجل الفراغات'!C126&amp;"")</f>
        <v/>
      </c>
      <c r="D126" s="8" t="str">
        <f>IF($B126="","",'سجل الفراغات'!D126&amp;"")</f>
        <v/>
      </c>
      <c r="E126" s="14" t="str">
        <f t="shared" si="43"/>
        <v/>
      </c>
      <c r="F126" s="14" t="str">
        <f t="shared" si="44"/>
        <v/>
      </c>
      <c r="G126" s="14" t="str">
        <f t="shared" si="45"/>
        <v/>
      </c>
      <c r="H126" s="14" t="str">
        <f t="shared" si="46"/>
        <v/>
      </c>
      <c r="I126" s="14" t="str">
        <f t="shared" si="47"/>
        <v/>
      </c>
      <c r="J126" s="14" t="str">
        <f t="shared" si="48"/>
        <v/>
      </c>
      <c r="K126" s="14" t="str">
        <f t="shared" si="49"/>
        <v/>
      </c>
      <c r="L126" s="14" t="str">
        <f t="shared" si="50"/>
        <v/>
      </c>
      <c r="M126" s="14" t="str">
        <f t="shared" si="51"/>
        <v/>
      </c>
      <c r="N126" s="14" t="str">
        <f t="shared" si="52"/>
        <v/>
      </c>
      <c r="O126" s="14" t="str">
        <f t="shared" si="53"/>
        <v/>
      </c>
      <c r="P126" s="14" t="str">
        <f t="shared" si="54"/>
        <v/>
      </c>
      <c r="Q126" s="15" t="str">
        <f t="shared" si="55"/>
        <v/>
      </c>
      <c r="R126" s="15" t="str">
        <f t="shared" si="56"/>
        <v/>
      </c>
    </row>
    <row r="127" spans="1:18" x14ac:dyDescent="0.25">
      <c r="A127" s="8">
        <v>124</v>
      </c>
      <c r="B127" s="8" t="str">
        <f>IF('سجل الفراغات'!B127="","",'سجل الفراغات'!B127)</f>
        <v/>
      </c>
      <c r="C127" s="33" t="str">
        <f>IF($B127="","",'سجل الفراغات'!C127&amp;"")</f>
        <v/>
      </c>
      <c r="D127" s="8" t="str">
        <f>IF($B127="","",'سجل الفراغات'!D127&amp;"")</f>
        <v/>
      </c>
      <c r="E127" s="14" t="str">
        <f t="shared" si="43"/>
        <v/>
      </c>
      <c r="F127" s="14" t="str">
        <f t="shared" si="44"/>
        <v/>
      </c>
      <c r="G127" s="14" t="str">
        <f t="shared" si="45"/>
        <v/>
      </c>
      <c r="H127" s="14" t="str">
        <f t="shared" si="46"/>
        <v/>
      </c>
      <c r="I127" s="14" t="str">
        <f t="shared" si="47"/>
        <v/>
      </c>
      <c r="J127" s="14" t="str">
        <f t="shared" si="48"/>
        <v/>
      </c>
      <c r="K127" s="14" t="str">
        <f t="shared" si="49"/>
        <v/>
      </c>
      <c r="L127" s="14" t="str">
        <f t="shared" si="50"/>
        <v/>
      </c>
      <c r="M127" s="14" t="str">
        <f t="shared" si="51"/>
        <v/>
      </c>
      <c r="N127" s="14" t="str">
        <f t="shared" si="52"/>
        <v/>
      </c>
      <c r="O127" s="14" t="str">
        <f t="shared" si="53"/>
        <v/>
      </c>
      <c r="P127" s="14" t="str">
        <f t="shared" si="54"/>
        <v/>
      </c>
      <c r="Q127" s="15" t="str">
        <f t="shared" si="55"/>
        <v/>
      </c>
      <c r="R127" s="15" t="str">
        <f t="shared" si="56"/>
        <v/>
      </c>
    </row>
    <row r="128" spans="1:18" x14ac:dyDescent="0.25">
      <c r="A128" s="8">
        <v>125</v>
      </c>
      <c r="B128" s="8" t="str">
        <f>IF('سجل الفراغات'!B128="","",'سجل الفراغات'!B128)</f>
        <v/>
      </c>
      <c r="C128" s="33" t="str">
        <f>IF($B128="","",'سجل الفراغات'!C128&amp;"")</f>
        <v/>
      </c>
      <c r="D128" s="8" t="str">
        <f>IF($B128="","",'سجل الفراغات'!D128&amp;"")</f>
        <v/>
      </c>
      <c r="E128" s="14" t="str">
        <f t="shared" si="43"/>
        <v/>
      </c>
      <c r="F128" s="14" t="str">
        <f t="shared" si="44"/>
        <v/>
      </c>
      <c r="G128" s="14" t="str">
        <f t="shared" si="45"/>
        <v/>
      </c>
      <c r="H128" s="14" t="str">
        <f t="shared" si="46"/>
        <v/>
      </c>
      <c r="I128" s="14" t="str">
        <f t="shared" si="47"/>
        <v/>
      </c>
      <c r="J128" s="14" t="str">
        <f t="shared" si="48"/>
        <v/>
      </c>
      <c r="K128" s="14" t="str">
        <f t="shared" si="49"/>
        <v/>
      </c>
      <c r="L128" s="14" t="str">
        <f t="shared" si="50"/>
        <v/>
      </c>
      <c r="M128" s="14" t="str">
        <f t="shared" si="51"/>
        <v/>
      </c>
      <c r="N128" s="14" t="str">
        <f t="shared" si="52"/>
        <v/>
      </c>
      <c r="O128" s="14" t="str">
        <f t="shared" si="53"/>
        <v/>
      </c>
      <c r="P128" s="14" t="str">
        <f t="shared" si="54"/>
        <v/>
      </c>
      <c r="Q128" s="15" t="str">
        <f t="shared" si="55"/>
        <v/>
      </c>
      <c r="R128" s="15" t="str">
        <f t="shared" si="56"/>
        <v/>
      </c>
    </row>
    <row r="129" spans="1:18" x14ac:dyDescent="0.25">
      <c r="A129" s="8">
        <v>126</v>
      </c>
      <c r="B129" s="8" t="str">
        <f>IF('سجل الفراغات'!B129="","",'سجل الفراغات'!B129)</f>
        <v/>
      </c>
      <c r="C129" s="33" t="str">
        <f>IF($B129="","",'سجل الفراغات'!C129&amp;"")</f>
        <v/>
      </c>
      <c r="D129" s="8" t="str">
        <f>IF($B129="","",'سجل الفراغات'!D129&amp;"")</f>
        <v/>
      </c>
      <c r="E129" s="14" t="str">
        <f t="shared" si="43"/>
        <v/>
      </c>
      <c r="F129" s="14" t="str">
        <f t="shared" si="44"/>
        <v/>
      </c>
      <c r="G129" s="14" t="str">
        <f t="shared" si="45"/>
        <v/>
      </c>
      <c r="H129" s="14" t="str">
        <f t="shared" si="46"/>
        <v/>
      </c>
      <c r="I129" s="14" t="str">
        <f t="shared" si="47"/>
        <v/>
      </c>
      <c r="J129" s="14" t="str">
        <f t="shared" si="48"/>
        <v/>
      </c>
      <c r="K129" s="14" t="str">
        <f t="shared" si="49"/>
        <v/>
      </c>
      <c r="L129" s="14" t="str">
        <f t="shared" si="50"/>
        <v/>
      </c>
      <c r="M129" s="14" t="str">
        <f t="shared" si="51"/>
        <v/>
      </c>
      <c r="N129" s="14" t="str">
        <f t="shared" si="52"/>
        <v/>
      </c>
      <c r="O129" s="14" t="str">
        <f t="shared" si="53"/>
        <v/>
      </c>
      <c r="P129" s="14" t="str">
        <f t="shared" si="54"/>
        <v/>
      </c>
      <c r="Q129" s="15" t="str">
        <f t="shared" si="55"/>
        <v/>
      </c>
      <c r="R129" s="15" t="str">
        <f t="shared" si="56"/>
        <v/>
      </c>
    </row>
    <row r="130" spans="1:18" x14ac:dyDescent="0.25">
      <c r="A130" s="8">
        <v>127</v>
      </c>
      <c r="B130" s="8" t="str">
        <f>IF('سجل الفراغات'!B130="","",'سجل الفراغات'!B130)</f>
        <v/>
      </c>
      <c r="C130" s="33" t="str">
        <f>IF($B130="","",'سجل الفراغات'!C130&amp;"")</f>
        <v/>
      </c>
      <c r="D130" s="8" t="str">
        <f>IF($B130="","",'سجل الفراغات'!D130&amp;"")</f>
        <v/>
      </c>
      <c r="E130" s="14" t="str">
        <f t="shared" si="43"/>
        <v/>
      </c>
      <c r="F130" s="14" t="str">
        <f t="shared" si="44"/>
        <v/>
      </c>
      <c r="G130" s="14" t="str">
        <f t="shared" si="45"/>
        <v/>
      </c>
      <c r="H130" s="14" t="str">
        <f t="shared" si="46"/>
        <v/>
      </c>
      <c r="I130" s="14" t="str">
        <f t="shared" si="47"/>
        <v/>
      </c>
      <c r="J130" s="14" t="str">
        <f t="shared" si="48"/>
        <v/>
      </c>
      <c r="K130" s="14" t="str">
        <f t="shared" si="49"/>
        <v/>
      </c>
      <c r="L130" s="14" t="str">
        <f t="shared" si="50"/>
        <v/>
      </c>
      <c r="M130" s="14" t="str">
        <f t="shared" si="51"/>
        <v/>
      </c>
      <c r="N130" s="14" t="str">
        <f t="shared" si="52"/>
        <v/>
      </c>
      <c r="O130" s="14" t="str">
        <f t="shared" si="53"/>
        <v/>
      </c>
      <c r="P130" s="14" t="str">
        <f t="shared" si="54"/>
        <v/>
      </c>
      <c r="Q130" s="15" t="str">
        <f t="shared" si="55"/>
        <v/>
      </c>
      <c r="R130" s="15" t="str">
        <f t="shared" si="56"/>
        <v/>
      </c>
    </row>
    <row r="131" spans="1:18" x14ac:dyDescent="0.25">
      <c r="A131" s="8">
        <v>128</v>
      </c>
      <c r="B131" s="8" t="str">
        <f>IF('سجل الفراغات'!B131="","",'سجل الفراغات'!B131)</f>
        <v/>
      </c>
      <c r="C131" s="33" t="str">
        <f>IF($B131="","",'سجل الفراغات'!C131&amp;"")</f>
        <v/>
      </c>
      <c r="D131" s="8" t="str">
        <f>IF($B131="","",'سجل الفراغات'!D131&amp;"")</f>
        <v/>
      </c>
      <c r="E131" s="14" t="str">
        <f t="shared" si="43"/>
        <v/>
      </c>
      <c r="F131" s="14" t="str">
        <f t="shared" si="44"/>
        <v/>
      </c>
      <c r="G131" s="14" t="str">
        <f t="shared" si="45"/>
        <v/>
      </c>
      <c r="H131" s="14" t="str">
        <f t="shared" si="46"/>
        <v/>
      </c>
      <c r="I131" s="14" t="str">
        <f t="shared" si="47"/>
        <v/>
      </c>
      <c r="J131" s="14" t="str">
        <f t="shared" si="48"/>
        <v/>
      </c>
      <c r="K131" s="14" t="str">
        <f t="shared" si="49"/>
        <v/>
      </c>
      <c r="L131" s="14" t="str">
        <f t="shared" si="50"/>
        <v/>
      </c>
      <c r="M131" s="14" t="str">
        <f t="shared" si="51"/>
        <v/>
      </c>
      <c r="N131" s="14" t="str">
        <f t="shared" si="52"/>
        <v/>
      </c>
      <c r="O131" s="14" t="str">
        <f t="shared" si="53"/>
        <v/>
      </c>
      <c r="P131" s="14" t="str">
        <f t="shared" si="54"/>
        <v/>
      </c>
      <c r="Q131" s="15" t="str">
        <f t="shared" si="55"/>
        <v/>
      </c>
      <c r="R131" s="15" t="str">
        <f t="shared" si="56"/>
        <v/>
      </c>
    </row>
    <row r="132" spans="1:18" x14ac:dyDescent="0.25">
      <c r="A132" s="8">
        <v>129</v>
      </c>
      <c r="B132" s="8" t="str">
        <f>IF('سجل الفراغات'!B132="","",'سجل الفراغات'!B132)</f>
        <v/>
      </c>
      <c r="C132" s="33" t="str">
        <f>IF($B132="","",'سجل الفراغات'!C132&amp;"")</f>
        <v/>
      </c>
      <c r="D132" s="8" t="str">
        <f>IF($B132="","",'سجل الفراغات'!D132&amp;"")</f>
        <v/>
      </c>
      <c r="E132" s="14" t="str">
        <f t="shared" ref="E132:E153" si="57">IF($B132="","",SUMIFS(FL_Net,FL_Space,$B132,FL_Unit,"م²"))</f>
        <v/>
      </c>
      <c r="F132" s="14" t="str">
        <f t="shared" ref="F132:F153" si="58">IF($B132="","",SUMIFS(WL_Gross,WL_Space,$B132,WL_Unit,"م²"))</f>
        <v/>
      </c>
      <c r="G132" s="14" t="str">
        <f t="shared" ref="G132:G153" si="59">IF($B132="","",SUMIFS(WL_Ded,WL_Space,$B132,WL_Unit,"م²"))</f>
        <v/>
      </c>
      <c r="H132" s="14" t="str">
        <f t="shared" ref="H132:H153" si="60">IF($B132="","",SUMIFS(WL_Net,WL_Space,$B132,WL_Unit,"م²"))</f>
        <v/>
      </c>
      <c r="I132" s="14" t="str">
        <f t="shared" ref="I132:I153" si="61">IF($B132="","",SUMIFS(CL_Net,CL_Space,$B132,CL_Unit,"م²"))</f>
        <v/>
      </c>
      <c r="J132" s="14" t="str">
        <f t="shared" ref="J132:J153" si="62">IF($B132="","",SUMIFS(PL_Gross,PL_Space,$B132,PL_Unit,"م²"))</f>
        <v/>
      </c>
      <c r="K132" s="14" t="str">
        <f t="shared" ref="K132:K153" si="63">IF($B132="","",SUMIFS(PL_Ded,PL_Space,$B132,PL_Unit,"م²"))</f>
        <v/>
      </c>
      <c r="L132" s="14" t="str">
        <f t="shared" ref="L132:L153" si="64">IF($B132="","",SUMIFS(PL_Net,PL_Space,$B132,PL_Unit,"م²"))</f>
        <v/>
      </c>
      <c r="M132" s="14" t="str">
        <f t="shared" ref="M132:M153" si="65">IF($B132="","",SUMIFS(LN_Gross,LN_Space,$B132,LN_Unit,"م.ط"))</f>
        <v/>
      </c>
      <c r="N132" s="14" t="str">
        <f t="shared" ref="N132:N153" si="66">IF($B132="","",SUMIFS(LN_Ded,LN_Space,$B132,LN_Unit,"م.ط"))</f>
        <v/>
      </c>
      <c r="O132" s="14" t="str">
        <f t="shared" ref="O132:O153" si="67">IF($B132="","",SUMIFS(LN_Net,LN_Space,$B132,LN_Unit,"م.ط"))</f>
        <v/>
      </c>
      <c r="P132" s="14" t="str">
        <f t="shared" ref="P132:P153" si="68">IF($B132="","",SUMIFS(FL_Net,FL_Space,$B132,FL_Unit,"عدد")+SUMIFS(WL_Net,WL_Space,$B132,WL_Unit,"عدد")+SUMIFS(CL_Net,CL_Space,$B132,CL_Unit,"عدد")+SUMIFS(PL_Net,PL_Space,$B132,PL_Unit,"عدد")+SUMIFS(LN_Net,LN_Space,$B132,LN_Unit,"عدد"))</f>
        <v/>
      </c>
      <c r="Q132" s="15" t="str">
        <f t="shared" ref="Q132:Q153" si="69">IF($B132="","",COUNTIFS(OP_Space,$B132))</f>
        <v/>
      </c>
      <c r="R132" s="15" t="str">
        <f t="shared" ref="R132:R153" si="70">IF($B132="","",COUNTIFS(FL_Space,$B132)-COUNTIFS(FL_Space,$B132,FL_Status,"مكتمل")-COUNTIFS(FL_Space,$B132,FL_Status,"مستبعد من الحصر")+COUNTIFS(CL_Space,$B132)-COUNTIFS(CL_Space,$B132,CL_Status,"مكتمل")-COUNTIFS(CL_Space,$B132,CL_Status,"مستبعد من الحصر")+COUNTIFS(WL_Space,$B132)-COUNTIFS(WL_Space,$B132,WL_Status,"مكتمل")+COUNTIFS(PL_Space,$B132)-COUNTIFS(PL_Space,$B132,PL_Status,"مكتمل")+COUNTIFS(LN_Space,$B132)-COUNTIFS(LN_Space,$B132,LN_Status,"مكتمل")+COUNTIFS(OP_Space,$B132)-COUNTIFS(OP_Space,$B132,OP_Status,"مكتمل"))</f>
        <v/>
      </c>
    </row>
    <row r="133" spans="1:18" x14ac:dyDescent="0.25">
      <c r="A133" s="8">
        <v>130</v>
      </c>
      <c r="B133" s="8" t="str">
        <f>IF('سجل الفراغات'!B133="","",'سجل الفراغات'!B133)</f>
        <v/>
      </c>
      <c r="C133" s="33" t="str">
        <f>IF($B133="","",'سجل الفراغات'!C133&amp;"")</f>
        <v/>
      </c>
      <c r="D133" s="8" t="str">
        <f>IF($B133="","",'سجل الفراغات'!D133&amp;"")</f>
        <v/>
      </c>
      <c r="E133" s="14" t="str">
        <f t="shared" si="57"/>
        <v/>
      </c>
      <c r="F133" s="14" t="str">
        <f t="shared" si="58"/>
        <v/>
      </c>
      <c r="G133" s="14" t="str">
        <f t="shared" si="59"/>
        <v/>
      </c>
      <c r="H133" s="14" t="str">
        <f t="shared" si="60"/>
        <v/>
      </c>
      <c r="I133" s="14" t="str">
        <f t="shared" si="61"/>
        <v/>
      </c>
      <c r="J133" s="14" t="str">
        <f t="shared" si="62"/>
        <v/>
      </c>
      <c r="K133" s="14" t="str">
        <f t="shared" si="63"/>
        <v/>
      </c>
      <c r="L133" s="14" t="str">
        <f t="shared" si="64"/>
        <v/>
      </c>
      <c r="M133" s="14" t="str">
        <f t="shared" si="65"/>
        <v/>
      </c>
      <c r="N133" s="14" t="str">
        <f t="shared" si="66"/>
        <v/>
      </c>
      <c r="O133" s="14" t="str">
        <f t="shared" si="67"/>
        <v/>
      </c>
      <c r="P133" s="14" t="str">
        <f t="shared" si="68"/>
        <v/>
      </c>
      <c r="Q133" s="15" t="str">
        <f t="shared" si="69"/>
        <v/>
      </c>
      <c r="R133" s="15" t="str">
        <f t="shared" si="70"/>
        <v/>
      </c>
    </row>
    <row r="134" spans="1:18" x14ac:dyDescent="0.25">
      <c r="A134" s="8">
        <v>131</v>
      </c>
      <c r="B134" s="8" t="str">
        <f>IF('سجل الفراغات'!B134="","",'سجل الفراغات'!B134)</f>
        <v/>
      </c>
      <c r="C134" s="33" t="str">
        <f>IF($B134="","",'سجل الفراغات'!C134&amp;"")</f>
        <v/>
      </c>
      <c r="D134" s="8" t="str">
        <f>IF($B134="","",'سجل الفراغات'!D134&amp;"")</f>
        <v/>
      </c>
      <c r="E134" s="14" t="str">
        <f t="shared" si="57"/>
        <v/>
      </c>
      <c r="F134" s="14" t="str">
        <f t="shared" si="58"/>
        <v/>
      </c>
      <c r="G134" s="14" t="str">
        <f t="shared" si="59"/>
        <v/>
      </c>
      <c r="H134" s="14" t="str">
        <f t="shared" si="60"/>
        <v/>
      </c>
      <c r="I134" s="14" t="str">
        <f t="shared" si="61"/>
        <v/>
      </c>
      <c r="J134" s="14" t="str">
        <f t="shared" si="62"/>
        <v/>
      </c>
      <c r="K134" s="14" t="str">
        <f t="shared" si="63"/>
        <v/>
      </c>
      <c r="L134" s="14" t="str">
        <f t="shared" si="64"/>
        <v/>
      </c>
      <c r="M134" s="14" t="str">
        <f t="shared" si="65"/>
        <v/>
      </c>
      <c r="N134" s="14" t="str">
        <f t="shared" si="66"/>
        <v/>
      </c>
      <c r="O134" s="14" t="str">
        <f t="shared" si="67"/>
        <v/>
      </c>
      <c r="P134" s="14" t="str">
        <f t="shared" si="68"/>
        <v/>
      </c>
      <c r="Q134" s="15" t="str">
        <f t="shared" si="69"/>
        <v/>
      </c>
      <c r="R134" s="15" t="str">
        <f t="shared" si="70"/>
        <v/>
      </c>
    </row>
    <row r="135" spans="1:18" x14ac:dyDescent="0.25">
      <c r="A135" s="8">
        <v>132</v>
      </c>
      <c r="B135" s="8" t="str">
        <f>IF('سجل الفراغات'!B135="","",'سجل الفراغات'!B135)</f>
        <v/>
      </c>
      <c r="C135" s="33" t="str">
        <f>IF($B135="","",'سجل الفراغات'!C135&amp;"")</f>
        <v/>
      </c>
      <c r="D135" s="8" t="str">
        <f>IF($B135="","",'سجل الفراغات'!D135&amp;"")</f>
        <v/>
      </c>
      <c r="E135" s="14" t="str">
        <f t="shared" si="57"/>
        <v/>
      </c>
      <c r="F135" s="14" t="str">
        <f t="shared" si="58"/>
        <v/>
      </c>
      <c r="G135" s="14" t="str">
        <f t="shared" si="59"/>
        <v/>
      </c>
      <c r="H135" s="14" t="str">
        <f t="shared" si="60"/>
        <v/>
      </c>
      <c r="I135" s="14" t="str">
        <f t="shared" si="61"/>
        <v/>
      </c>
      <c r="J135" s="14" t="str">
        <f t="shared" si="62"/>
        <v/>
      </c>
      <c r="K135" s="14" t="str">
        <f t="shared" si="63"/>
        <v/>
      </c>
      <c r="L135" s="14" t="str">
        <f t="shared" si="64"/>
        <v/>
      </c>
      <c r="M135" s="14" t="str">
        <f t="shared" si="65"/>
        <v/>
      </c>
      <c r="N135" s="14" t="str">
        <f t="shared" si="66"/>
        <v/>
      </c>
      <c r="O135" s="14" t="str">
        <f t="shared" si="67"/>
        <v/>
      </c>
      <c r="P135" s="14" t="str">
        <f t="shared" si="68"/>
        <v/>
      </c>
      <c r="Q135" s="15" t="str">
        <f t="shared" si="69"/>
        <v/>
      </c>
      <c r="R135" s="15" t="str">
        <f t="shared" si="70"/>
        <v/>
      </c>
    </row>
    <row r="136" spans="1:18" x14ac:dyDescent="0.25">
      <c r="A136" s="8">
        <v>133</v>
      </c>
      <c r="B136" s="8" t="str">
        <f>IF('سجل الفراغات'!B136="","",'سجل الفراغات'!B136)</f>
        <v/>
      </c>
      <c r="C136" s="33" t="str">
        <f>IF($B136="","",'سجل الفراغات'!C136&amp;"")</f>
        <v/>
      </c>
      <c r="D136" s="8" t="str">
        <f>IF($B136="","",'سجل الفراغات'!D136&amp;"")</f>
        <v/>
      </c>
      <c r="E136" s="14" t="str">
        <f t="shared" si="57"/>
        <v/>
      </c>
      <c r="F136" s="14" t="str">
        <f t="shared" si="58"/>
        <v/>
      </c>
      <c r="G136" s="14" t="str">
        <f t="shared" si="59"/>
        <v/>
      </c>
      <c r="H136" s="14" t="str">
        <f t="shared" si="60"/>
        <v/>
      </c>
      <c r="I136" s="14" t="str">
        <f t="shared" si="61"/>
        <v/>
      </c>
      <c r="J136" s="14" t="str">
        <f t="shared" si="62"/>
        <v/>
      </c>
      <c r="K136" s="14" t="str">
        <f t="shared" si="63"/>
        <v/>
      </c>
      <c r="L136" s="14" t="str">
        <f t="shared" si="64"/>
        <v/>
      </c>
      <c r="M136" s="14" t="str">
        <f t="shared" si="65"/>
        <v/>
      </c>
      <c r="N136" s="14" t="str">
        <f t="shared" si="66"/>
        <v/>
      </c>
      <c r="O136" s="14" t="str">
        <f t="shared" si="67"/>
        <v/>
      </c>
      <c r="P136" s="14" t="str">
        <f t="shared" si="68"/>
        <v/>
      </c>
      <c r="Q136" s="15" t="str">
        <f t="shared" si="69"/>
        <v/>
      </c>
      <c r="R136" s="15" t="str">
        <f t="shared" si="70"/>
        <v/>
      </c>
    </row>
    <row r="137" spans="1:18" x14ac:dyDescent="0.25">
      <c r="A137" s="8">
        <v>134</v>
      </c>
      <c r="B137" s="8" t="str">
        <f>IF('سجل الفراغات'!B137="","",'سجل الفراغات'!B137)</f>
        <v/>
      </c>
      <c r="C137" s="33" t="str">
        <f>IF($B137="","",'سجل الفراغات'!C137&amp;"")</f>
        <v/>
      </c>
      <c r="D137" s="8" t="str">
        <f>IF($B137="","",'سجل الفراغات'!D137&amp;"")</f>
        <v/>
      </c>
      <c r="E137" s="14" t="str">
        <f t="shared" si="57"/>
        <v/>
      </c>
      <c r="F137" s="14" t="str">
        <f t="shared" si="58"/>
        <v/>
      </c>
      <c r="G137" s="14" t="str">
        <f t="shared" si="59"/>
        <v/>
      </c>
      <c r="H137" s="14" t="str">
        <f t="shared" si="60"/>
        <v/>
      </c>
      <c r="I137" s="14" t="str">
        <f t="shared" si="61"/>
        <v/>
      </c>
      <c r="J137" s="14" t="str">
        <f t="shared" si="62"/>
        <v/>
      </c>
      <c r="K137" s="14" t="str">
        <f t="shared" si="63"/>
        <v/>
      </c>
      <c r="L137" s="14" t="str">
        <f t="shared" si="64"/>
        <v/>
      </c>
      <c r="M137" s="14" t="str">
        <f t="shared" si="65"/>
        <v/>
      </c>
      <c r="N137" s="14" t="str">
        <f t="shared" si="66"/>
        <v/>
      </c>
      <c r="O137" s="14" t="str">
        <f t="shared" si="67"/>
        <v/>
      </c>
      <c r="P137" s="14" t="str">
        <f t="shared" si="68"/>
        <v/>
      </c>
      <c r="Q137" s="15" t="str">
        <f t="shared" si="69"/>
        <v/>
      </c>
      <c r="R137" s="15" t="str">
        <f t="shared" si="70"/>
        <v/>
      </c>
    </row>
    <row r="138" spans="1:18" x14ac:dyDescent="0.25">
      <c r="A138" s="8">
        <v>135</v>
      </c>
      <c r="B138" s="8" t="str">
        <f>IF('سجل الفراغات'!B138="","",'سجل الفراغات'!B138)</f>
        <v/>
      </c>
      <c r="C138" s="33" t="str">
        <f>IF($B138="","",'سجل الفراغات'!C138&amp;"")</f>
        <v/>
      </c>
      <c r="D138" s="8" t="str">
        <f>IF($B138="","",'سجل الفراغات'!D138&amp;"")</f>
        <v/>
      </c>
      <c r="E138" s="14" t="str">
        <f t="shared" si="57"/>
        <v/>
      </c>
      <c r="F138" s="14" t="str">
        <f t="shared" si="58"/>
        <v/>
      </c>
      <c r="G138" s="14" t="str">
        <f t="shared" si="59"/>
        <v/>
      </c>
      <c r="H138" s="14" t="str">
        <f t="shared" si="60"/>
        <v/>
      </c>
      <c r="I138" s="14" t="str">
        <f t="shared" si="61"/>
        <v/>
      </c>
      <c r="J138" s="14" t="str">
        <f t="shared" si="62"/>
        <v/>
      </c>
      <c r="K138" s="14" t="str">
        <f t="shared" si="63"/>
        <v/>
      </c>
      <c r="L138" s="14" t="str">
        <f t="shared" si="64"/>
        <v/>
      </c>
      <c r="M138" s="14" t="str">
        <f t="shared" si="65"/>
        <v/>
      </c>
      <c r="N138" s="14" t="str">
        <f t="shared" si="66"/>
        <v/>
      </c>
      <c r="O138" s="14" t="str">
        <f t="shared" si="67"/>
        <v/>
      </c>
      <c r="P138" s="14" t="str">
        <f t="shared" si="68"/>
        <v/>
      </c>
      <c r="Q138" s="15" t="str">
        <f t="shared" si="69"/>
        <v/>
      </c>
      <c r="R138" s="15" t="str">
        <f t="shared" si="70"/>
        <v/>
      </c>
    </row>
    <row r="139" spans="1:18" x14ac:dyDescent="0.25">
      <c r="A139" s="8">
        <v>136</v>
      </c>
      <c r="B139" s="8" t="str">
        <f>IF('سجل الفراغات'!B139="","",'سجل الفراغات'!B139)</f>
        <v/>
      </c>
      <c r="C139" s="33" t="str">
        <f>IF($B139="","",'سجل الفراغات'!C139&amp;"")</f>
        <v/>
      </c>
      <c r="D139" s="8" t="str">
        <f>IF($B139="","",'سجل الفراغات'!D139&amp;"")</f>
        <v/>
      </c>
      <c r="E139" s="14" t="str">
        <f t="shared" si="57"/>
        <v/>
      </c>
      <c r="F139" s="14" t="str">
        <f t="shared" si="58"/>
        <v/>
      </c>
      <c r="G139" s="14" t="str">
        <f t="shared" si="59"/>
        <v/>
      </c>
      <c r="H139" s="14" t="str">
        <f t="shared" si="60"/>
        <v/>
      </c>
      <c r="I139" s="14" t="str">
        <f t="shared" si="61"/>
        <v/>
      </c>
      <c r="J139" s="14" t="str">
        <f t="shared" si="62"/>
        <v/>
      </c>
      <c r="K139" s="14" t="str">
        <f t="shared" si="63"/>
        <v/>
      </c>
      <c r="L139" s="14" t="str">
        <f t="shared" si="64"/>
        <v/>
      </c>
      <c r="M139" s="14" t="str">
        <f t="shared" si="65"/>
        <v/>
      </c>
      <c r="N139" s="14" t="str">
        <f t="shared" si="66"/>
        <v/>
      </c>
      <c r="O139" s="14" t="str">
        <f t="shared" si="67"/>
        <v/>
      </c>
      <c r="P139" s="14" t="str">
        <f t="shared" si="68"/>
        <v/>
      </c>
      <c r="Q139" s="15" t="str">
        <f t="shared" si="69"/>
        <v/>
      </c>
      <c r="R139" s="15" t="str">
        <f t="shared" si="70"/>
        <v/>
      </c>
    </row>
    <row r="140" spans="1:18" x14ac:dyDescent="0.25">
      <c r="A140" s="8">
        <v>137</v>
      </c>
      <c r="B140" s="8" t="str">
        <f>IF('سجل الفراغات'!B140="","",'سجل الفراغات'!B140)</f>
        <v/>
      </c>
      <c r="C140" s="33" t="str">
        <f>IF($B140="","",'سجل الفراغات'!C140&amp;"")</f>
        <v/>
      </c>
      <c r="D140" s="8" t="str">
        <f>IF($B140="","",'سجل الفراغات'!D140&amp;"")</f>
        <v/>
      </c>
      <c r="E140" s="14" t="str">
        <f t="shared" si="57"/>
        <v/>
      </c>
      <c r="F140" s="14" t="str">
        <f t="shared" si="58"/>
        <v/>
      </c>
      <c r="G140" s="14" t="str">
        <f t="shared" si="59"/>
        <v/>
      </c>
      <c r="H140" s="14" t="str">
        <f t="shared" si="60"/>
        <v/>
      </c>
      <c r="I140" s="14" t="str">
        <f t="shared" si="61"/>
        <v/>
      </c>
      <c r="J140" s="14" t="str">
        <f t="shared" si="62"/>
        <v/>
      </c>
      <c r="K140" s="14" t="str">
        <f t="shared" si="63"/>
        <v/>
      </c>
      <c r="L140" s="14" t="str">
        <f t="shared" si="64"/>
        <v/>
      </c>
      <c r="M140" s="14" t="str">
        <f t="shared" si="65"/>
        <v/>
      </c>
      <c r="N140" s="14" t="str">
        <f t="shared" si="66"/>
        <v/>
      </c>
      <c r="O140" s="14" t="str">
        <f t="shared" si="67"/>
        <v/>
      </c>
      <c r="P140" s="14" t="str">
        <f t="shared" si="68"/>
        <v/>
      </c>
      <c r="Q140" s="15" t="str">
        <f t="shared" si="69"/>
        <v/>
      </c>
      <c r="R140" s="15" t="str">
        <f t="shared" si="70"/>
        <v/>
      </c>
    </row>
    <row r="141" spans="1:18" x14ac:dyDescent="0.25">
      <c r="A141" s="8">
        <v>138</v>
      </c>
      <c r="B141" s="8" t="str">
        <f>IF('سجل الفراغات'!B141="","",'سجل الفراغات'!B141)</f>
        <v/>
      </c>
      <c r="C141" s="33" t="str">
        <f>IF($B141="","",'سجل الفراغات'!C141&amp;"")</f>
        <v/>
      </c>
      <c r="D141" s="8" t="str">
        <f>IF($B141="","",'سجل الفراغات'!D141&amp;"")</f>
        <v/>
      </c>
      <c r="E141" s="14" t="str">
        <f t="shared" si="57"/>
        <v/>
      </c>
      <c r="F141" s="14" t="str">
        <f t="shared" si="58"/>
        <v/>
      </c>
      <c r="G141" s="14" t="str">
        <f t="shared" si="59"/>
        <v/>
      </c>
      <c r="H141" s="14" t="str">
        <f t="shared" si="60"/>
        <v/>
      </c>
      <c r="I141" s="14" t="str">
        <f t="shared" si="61"/>
        <v/>
      </c>
      <c r="J141" s="14" t="str">
        <f t="shared" si="62"/>
        <v/>
      </c>
      <c r="K141" s="14" t="str">
        <f t="shared" si="63"/>
        <v/>
      </c>
      <c r="L141" s="14" t="str">
        <f t="shared" si="64"/>
        <v/>
      </c>
      <c r="M141" s="14" t="str">
        <f t="shared" si="65"/>
        <v/>
      </c>
      <c r="N141" s="14" t="str">
        <f t="shared" si="66"/>
        <v/>
      </c>
      <c r="O141" s="14" t="str">
        <f t="shared" si="67"/>
        <v/>
      </c>
      <c r="P141" s="14" t="str">
        <f t="shared" si="68"/>
        <v/>
      </c>
      <c r="Q141" s="15" t="str">
        <f t="shared" si="69"/>
        <v/>
      </c>
      <c r="R141" s="15" t="str">
        <f t="shared" si="70"/>
        <v/>
      </c>
    </row>
    <row r="142" spans="1:18" x14ac:dyDescent="0.25">
      <c r="A142" s="8">
        <v>139</v>
      </c>
      <c r="B142" s="8" t="str">
        <f>IF('سجل الفراغات'!B142="","",'سجل الفراغات'!B142)</f>
        <v/>
      </c>
      <c r="C142" s="33" t="str">
        <f>IF($B142="","",'سجل الفراغات'!C142&amp;"")</f>
        <v/>
      </c>
      <c r="D142" s="8" t="str">
        <f>IF($B142="","",'سجل الفراغات'!D142&amp;"")</f>
        <v/>
      </c>
      <c r="E142" s="14" t="str">
        <f t="shared" si="57"/>
        <v/>
      </c>
      <c r="F142" s="14" t="str">
        <f t="shared" si="58"/>
        <v/>
      </c>
      <c r="G142" s="14" t="str">
        <f t="shared" si="59"/>
        <v/>
      </c>
      <c r="H142" s="14" t="str">
        <f t="shared" si="60"/>
        <v/>
      </c>
      <c r="I142" s="14" t="str">
        <f t="shared" si="61"/>
        <v/>
      </c>
      <c r="J142" s="14" t="str">
        <f t="shared" si="62"/>
        <v/>
      </c>
      <c r="K142" s="14" t="str">
        <f t="shared" si="63"/>
        <v/>
      </c>
      <c r="L142" s="14" t="str">
        <f t="shared" si="64"/>
        <v/>
      </c>
      <c r="M142" s="14" t="str">
        <f t="shared" si="65"/>
        <v/>
      </c>
      <c r="N142" s="14" t="str">
        <f t="shared" si="66"/>
        <v/>
      </c>
      <c r="O142" s="14" t="str">
        <f t="shared" si="67"/>
        <v/>
      </c>
      <c r="P142" s="14" t="str">
        <f t="shared" si="68"/>
        <v/>
      </c>
      <c r="Q142" s="15" t="str">
        <f t="shared" si="69"/>
        <v/>
      </c>
      <c r="R142" s="15" t="str">
        <f t="shared" si="70"/>
        <v/>
      </c>
    </row>
    <row r="143" spans="1:18" x14ac:dyDescent="0.25">
      <c r="A143" s="8">
        <v>140</v>
      </c>
      <c r="B143" s="8" t="str">
        <f>IF('سجل الفراغات'!B143="","",'سجل الفراغات'!B143)</f>
        <v/>
      </c>
      <c r="C143" s="33" t="str">
        <f>IF($B143="","",'سجل الفراغات'!C143&amp;"")</f>
        <v/>
      </c>
      <c r="D143" s="8" t="str">
        <f>IF($B143="","",'سجل الفراغات'!D143&amp;"")</f>
        <v/>
      </c>
      <c r="E143" s="14" t="str">
        <f t="shared" si="57"/>
        <v/>
      </c>
      <c r="F143" s="14" t="str">
        <f t="shared" si="58"/>
        <v/>
      </c>
      <c r="G143" s="14" t="str">
        <f t="shared" si="59"/>
        <v/>
      </c>
      <c r="H143" s="14" t="str">
        <f t="shared" si="60"/>
        <v/>
      </c>
      <c r="I143" s="14" t="str">
        <f t="shared" si="61"/>
        <v/>
      </c>
      <c r="J143" s="14" t="str">
        <f t="shared" si="62"/>
        <v/>
      </c>
      <c r="K143" s="14" t="str">
        <f t="shared" si="63"/>
        <v/>
      </c>
      <c r="L143" s="14" t="str">
        <f t="shared" si="64"/>
        <v/>
      </c>
      <c r="M143" s="14" t="str">
        <f t="shared" si="65"/>
        <v/>
      </c>
      <c r="N143" s="14" t="str">
        <f t="shared" si="66"/>
        <v/>
      </c>
      <c r="O143" s="14" t="str">
        <f t="shared" si="67"/>
        <v/>
      </c>
      <c r="P143" s="14" t="str">
        <f t="shared" si="68"/>
        <v/>
      </c>
      <c r="Q143" s="15" t="str">
        <f t="shared" si="69"/>
        <v/>
      </c>
      <c r="R143" s="15" t="str">
        <f t="shared" si="70"/>
        <v/>
      </c>
    </row>
    <row r="144" spans="1:18" x14ac:dyDescent="0.25">
      <c r="A144" s="8">
        <v>141</v>
      </c>
      <c r="B144" s="8" t="str">
        <f>IF('سجل الفراغات'!B144="","",'سجل الفراغات'!B144)</f>
        <v/>
      </c>
      <c r="C144" s="33" t="str">
        <f>IF($B144="","",'سجل الفراغات'!C144&amp;"")</f>
        <v/>
      </c>
      <c r="D144" s="8" t="str">
        <f>IF($B144="","",'سجل الفراغات'!D144&amp;"")</f>
        <v/>
      </c>
      <c r="E144" s="14" t="str">
        <f t="shared" si="57"/>
        <v/>
      </c>
      <c r="F144" s="14" t="str">
        <f t="shared" si="58"/>
        <v/>
      </c>
      <c r="G144" s="14" t="str">
        <f t="shared" si="59"/>
        <v/>
      </c>
      <c r="H144" s="14" t="str">
        <f t="shared" si="60"/>
        <v/>
      </c>
      <c r="I144" s="14" t="str">
        <f t="shared" si="61"/>
        <v/>
      </c>
      <c r="J144" s="14" t="str">
        <f t="shared" si="62"/>
        <v/>
      </c>
      <c r="K144" s="14" t="str">
        <f t="shared" si="63"/>
        <v/>
      </c>
      <c r="L144" s="14" t="str">
        <f t="shared" si="64"/>
        <v/>
      </c>
      <c r="M144" s="14" t="str">
        <f t="shared" si="65"/>
        <v/>
      </c>
      <c r="N144" s="14" t="str">
        <f t="shared" si="66"/>
        <v/>
      </c>
      <c r="O144" s="14" t="str">
        <f t="shared" si="67"/>
        <v/>
      </c>
      <c r="P144" s="14" t="str">
        <f t="shared" si="68"/>
        <v/>
      </c>
      <c r="Q144" s="15" t="str">
        <f t="shared" si="69"/>
        <v/>
      </c>
      <c r="R144" s="15" t="str">
        <f t="shared" si="70"/>
        <v/>
      </c>
    </row>
    <row r="145" spans="1:18" x14ac:dyDescent="0.25">
      <c r="A145" s="8">
        <v>142</v>
      </c>
      <c r="B145" s="8" t="str">
        <f>IF('سجل الفراغات'!B145="","",'سجل الفراغات'!B145)</f>
        <v/>
      </c>
      <c r="C145" s="33" t="str">
        <f>IF($B145="","",'سجل الفراغات'!C145&amp;"")</f>
        <v/>
      </c>
      <c r="D145" s="8" t="str">
        <f>IF($B145="","",'سجل الفراغات'!D145&amp;"")</f>
        <v/>
      </c>
      <c r="E145" s="14" t="str">
        <f t="shared" si="57"/>
        <v/>
      </c>
      <c r="F145" s="14" t="str">
        <f t="shared" si="58"/>
        <v/>
      </c>
      <c r="G145" s="14" t="str">
        <f t="shared" si="59"/>
        <v/>
      </c>
      <c r="H145" s="14" t="str">
        <f t="shared" si="60"/>
        <v/>
      </c>
      <c r="I145" s="14" t="str">
        <f t="shared" si="61"/>
        <v/>
      </c>
      <c r="J145" s="14" t="str">
        <f t="shared" si="62"/>
        <v/>
      </c>
      <c r="K145" s="14" t="str">
        <f t="shared" si="63"/>
        <v/>
      </c>
      <c r="L145" s="14" t="str">
        <f t="shared" si="64"/>
        <v/>
      </c>
      <c r="M145" s="14" t="str">
        <f t="shared" si="65"/>
        <v/>
      </c>
      <c r="N145" s="14" t="str">
        <f t="shared" si="66"/>
        <v/>
      </c>
      <c r="O145" s="14" t="str">
        <f t="shared" si="67"/>
        <v/>
      </c>
      <c r="P145" s="14" t="str">
        <f t="shared" si="68"/>
        <v/>
      </c>
      <c r="Q145" s="15" t="str">
        <f t="shared" si="69"/>
        <v/>
      </c>
      <c r="R145" s="15" t="str">
        <f t="shared" si="70"/>
        <v/>
      </c>
    </row>
    <row r="146" spans="1:18" x14ac:dyDescent="0.25">
      <c r="A146" s="8">
        <v>143</v>
      </c>
      <c r="B146" s="8" t="str">
        <f>IF('سجل الفراغات'!B146="","",'سجل الفراغات'!B146)</f>
        <v/>
      </c>
      <c r="C146" s="33" t="str">
        <f>IF($B146="","",'سجل الفراغات'!C146&amp;"")</f>
        <v/>
      </c>
      <c r="D146" s="8" t="str">
        <f>IF($B146="","",'سجل الفراغات'!D146&amp;"")</f>
        <v/>
      </c>
      <c r="E146" s="14" t="str">
        <f t="shared" si="57"/>
        <v/>
      </c>
      <c r="F146" s="14" t="str">
        <f t="shared" si="58"/>
        <v/>
      </c>
      <c r="G146" s="14" t="str">
        <f t="shared" si="59"/>
        <v/>
      </c>
      <c r="H146" s="14" t="str">
        <f t="shared" si="60"/>
        <v/>
      </c>
      <c r="I146" s="14" t="str">
        <f t="shared" si="61"/>
        <v/>
      </c>
      <c r="J146" s="14" t="str">
        <f t="shared" si="62"/>
        <v/>
      </c>
      <c r="K146" s="14" t="str">
        <f t="shared" si="63"/>
        <v/>
      </c>
      <c r="L146" s="14" t="str">
        <f t="shared" si="64"/>
        <v/>
      </c>
      <c r="M146" s="14" t="str">
        <f t="shared" si="65"/>
        <v/>
      </c>
      <c r="N146" s="14" t="str">
        <f t="shared" si="66"/>
        <v/>
      </c>
      <c r="O146" s="14" t="str">
        <f t="shared" si="67"/>
        <v/>
      </c>
      <c r="P146" s="14" t="str">
        <f t="shared" si="68"/>
        <v/>
      </c>
      <c r="Q146" s="15" t="str">
        <f t="shared" si="69"/>
        <v/>
      </c>
      <c r="R146" s="15" t="str">
        <f t="shared" si="70"/>
        <v/>
      </c>
    </row>
    <row r="147" spans="1:18" x14ac:dyDescent="0.25">
      <c r="A147" s="8">
        <v>144</v>
      </c>
      <c r="B147" s="8" t="str">
        <f>IF('سجل الفراغات'!B147="","",'سجل الفراغات'!B147)</f>
        <v/>
      </c>
      <c r="C147" s="33" t="str">
        <f>IF($B147="","",'سجل الفراغات'!C147&amp;"")</f>
        <v/>
      </c>
      <c r="D147" s="8" t="str">
        <f>IF($B147="","",'سجل الفراغات'!D147&amp;"")</f>
        <v/>
      </c>
      <c r="E147" s="14" t="str">
        <f t="shared" si="57"/>
        <v/>
      </c>
      <c r="F147" s="14" t="str">
        <f t="shared" si="58"/>
        <v/>
      </c>
      <c r="G147" s="14" t="str">
        <f t="shared" si="59"/>
        <v/>
      </c>
      <c r="H147" s="14" t="str">
        <f t="shared" si="60"/>
        <v/>
      </c>
      <c r="I147" s="14" t="str">
        <f t="shared" si="61"/>
        <v/>
      </c>
      <c r="J147" s="14" t="str">
        <f t="shared" si="62"/>
        <v/>
      </c>
      <c r="K147" s="14" t="str">
        <f t="shared" si="63"/>
        <v/>
      </c>
      <c r="L147" s="14" t="str">
        <f t="shared" si="64"/>
        <v/>
      </c>
      <c r="M147" s="14" t="str">
        <f t="shared" si="65"/>
        <v/>
      </c>
      <c r="N147" s="14" t="str">
        <f t="shared" si="66"/>
        <v/>
      </c>
      <c r="O147" s="14" t="str">
        <f t="shared" si="67"/>
        <v/>
      </c>
      <c r="P147" s="14" t="str">
        <f t="shared" si="68"/>
        <v/>
      </c>
      <c r="Q147" s="15" t="str">
        <f t="shared" si="69"/>
        <v/>
      </c>
      <c r="R147" s="15" t="str">
        <f t="shared" si="70"/>
        <v/>
      </c>
    </row>
    <row r="148" spans="1:18" x14ac:dyDescent="0.25">
      <c r="A148" s="8">
        <v>145</v>
      </c>
      <c r="B148" s="8" t="str">
        <f>IF('سجل الفراغات'!B148="","",'سجل الفراغات'!B148)</f>
        <v/>
      </c>
      <c r="C148" s="33" t="str">
        <f>IF($B148="","",'سجل الفراغات'!C148&amp;"")</f>
        <v/>
      </c>
      <c r="D148" s="8" t="str">
        <f>IF($B148="","",'سجل الفراغات'!D148&amp;"")</f>
        <v/>
      </c>
      <c r="E148" s="14" t="str">
        <f t="shared" si="57"/>
        <v/>
      </c>
      <c r="F148" s="14" t="str">
        <f t="shared" si="58"/>
        <v/>
      </c>
      <c r="G148" s="14" t="str">
        <f t="shared" si="59"/>
        <v/>
      </c>
      <c r="H148" s="14" t="str">
        <f t="shared" si="60"/>
        <v/>
      </c>
      <c r="I148" s="14" t="str">
        <f t="shared" si="61"/>
        <v/>
      </c>
      <c r="J148" s="14" t="str">
        <f t="shared" si="62"/>
        <v/>
      </c>
      <c r="K148" s="14" t="str">
        <f t="shared" si="63"/>
        <v/>
      </c>
      <c r="L148" s="14" t="str">
        <f t="shared" si="64"/>
        <v/>
      </c>
      <c r="M148" s="14" t="str">
        <f t="shared" si="65"/>
        <v/>
      </c>
      <c r="N148" s="14" t="str">
        <f t="shared" si="66"/>
        <v/>
      </c>
      <c r="O148" s="14" t="str">
        <f t="shared" si="67"/>
        <v/>
      </c>
      <c r="P148" s="14" t="str">
        <f t="shared" si="68"/>
        <v/>
      </c>
      <c r="Q148" s="15" t="str">
        <f t="shared" si="69"/>
        <v/>
      </c>
      <c r="R148" s="15" t="str">
        <f t="shared" si="70"/>
        <v/>
      </c>
    </row>
    <row r="149" spans="1:18" x14ac:dyDescent="0.25">
      <c r="A149" s="8">
        <v>146</v>
      </c>
      <c r="B149" s="8" t="str">
        <f>IF('سجل الفراغات'!B149="","",'سجل الفراغات'!B149)</f>
        <v/>
      </c>
      <c r="C149" s="33" t="str">
        <f>IF($B149="","",'سجل الفراغات'!C149&amp;"")</f>
        <v/>
      </c>
      <c r="D149" s="8" t="str">
        <f>IF($B149="","",'سجل الفراغات'!D149&amp;"")</f>
        <v/>
      </c>
      <c r="E149" s="14" t="str">
        <f t="shared" si="57"/>
        <v/>
      </c>
      <c r="F149" s="14" t="str">
        <f t="shared" si="58"/>
        <v/>
      </c>
      <c r="G149" s="14" t="str">
        <f t="shared" si="59"/>
        <v/>
      </c>
      <c r="H149" s="14" t="str">
        <f t="shared" si="60"/>
        <v/>
      </c>
      <c r="I149" s="14" t="str">
        <f t="shared" si="61"/>
        <v/>
      </c>
      <c r="J149" s="14" t="str">
        <f t="shared" si="62"/>
        <v/>
      </c>
      <c r="K149" s="14" t="str">
        <f t="shared" si="63"/>
        <v/>
      </c>
      <c r="L149" s="14" t="str">
        <f t="shared" si="64"/>
        <v/>
      </c>
      <c r="M149" s="14" t="str">
        <f t="shared" si="65"/>
        <v/>
      </c>
      <c r="N149" s="14" t="str">
        <f t="shared" si="66"/>
        <v/>
      </c>
      <c r="O149" s="14" t="str">
        <f t="shared" si="67"/>
        <v/>
      </c>
      <c r="P149" s="14" t="str">
        <f t="shared" si="68"/>
        <v/>
      </c>
      <c r="Q149" s="15" t="str">
        <f t="shared" si="69"/>
        <v/>
      </c>
      <c r="R149" s="15" t="str">
        <f t="shared" si="70"/>
        <v/>
      </c>
    </row>
    <row r="150" spans="1:18" x14ac:dyDescent="0.25">
      <c r="A150" s="8">
        <v>147</v>
      </c>
      <c r="B150" s="8" t="str">
        <f>IF('سجل الفراغات'!B150="","",'سجل الفراغات'!B150)</f>
        <v/>
      </c>
      <c r="C150" s="33" t="str">
        <f>IF($B150="","",'سجل الفراغات'!C150&amp;"")</f>
        <v/>
      </c>
      <c r="D150" s="8" t="str">
        <f>IF($B150="","",'سجل الفراغات'!D150&amp;"")</f>
        <v/>
      </c>
      <c r="E150" s="14" t="str">
        <f t="shared" si="57"/>
        <v/>
      </c>
      <c r="F150" s="14" t="str">
        <f t="shared" si="58"/>
        <v/>
      </c>
      <c r="G150" s="14" t="str">
        <f t="shared" si="59"/>
        <v/>
      </c>
      <c r="H150" s="14" t="str">
        <f t="shared" si="60"/>
        <v/>
      </c>
      <c r="I150" s="14" t="str">
        <f t="shared" si="61"/>
        <v/>
      </c>
      <c r="J150" s="14" t="str">
        <f t="shared" si="62"/>
        <v/>
      </c>
      <c r="K150" s="14" t="str">
        <f t="shared" si="63"/>
        <v/>
      </c>
      <c r="L150" s="14" t="str">
        <f t="shared" si="64"/>
        <v/>
      </c>
      <c r="M150" s="14" t="str">
        <f t="shared" si="65"/>
        <v/>
      </c>
      <c r="N150" s="14" t="str">
        <f t="shared" si="66"/>
        <v/>
      </c>
      <c r="O150" s="14" t="str">
        <f t="shared" si="67"/>
        <v/>
      </c>
      <c r="P150" s="14" t="str">
        <f t="shared" si="68"/>
        <v/>
      </c>
      <c r="Q150" s="15" t="str">
        <f t="shared" si="69"/>
        <v/>
      </c>
      <c r="R150" s="15" t="str">
        <f t="shared" si="70"/>
        <v/>
      </c>
    </row>
    <row r="151" spans="1:18" x14ac:dyDescent="0.25">
      <c r="A151" s="8">
        <v>148</v>
      </c>
      <c r="B151" s="8" t="str">
        <f>IF('سجل الفراغات'!B151="","",'سجل الفراغات'!B151)</f>
        <v/>
      </c>
      <c r="C151" s="33" t="str">
        <f>IF($B151="","",'سجل الفراغات'!C151&amp;"")</f>
        <v/>
      </c>
      <c r="D151" s="8" t="str">
        <f>IF($B151="","",'سجل الفراغات'!D151&amp;"")</f>
        <v/>
      </c>
      <c r="E151" s="14" t="str">
        <f t="shared" si="57"/>
        <v/>
      </c>
      <c r="F151" s="14" t="str">
        <f t="shared" si="58"/>
        <v/>
      </c>
      <c r="G151" s="14" t="str">
        <f t="shared" si="59"/>
        <v/>
      </c>
      <c r="H151" s="14" t="str">
        <f t="shared" si="60"/>
        <v/>
      </c>
      <c r="I151" s="14" t="str">
        <f t="shared" si="61"/>
        <v/>
      </c>
      <c r="J151" s="14" t="str">
        <f t="shared" si="62"/>
        <v/>
      </c>
      <c r="K151" s="14" t="str">
        <f t="shared" si="63"/>
        <v/>
      </c>
      <c r="L151" s="14" t="str">
        <f t="shared" si="64"/>
        <v/>
      </c>
      <c r="M151" s="14" t="str">
        <f t="shared" si="65"/>
        <v/>
      </c>
      <c r="N151" s="14" t="str">
        <f t="shared" si="66"/>
        <v/>
      </c>
      <c r="O151" s="14" t="str">
        <f t="shared" si="67"/>
        <v/>
      </c>
      <c r="P151" s="14" t="str">
        <f t="shared" si="68"/>
        <v/>
      </c>
      <c r="Q151" s="15" t="str">
        <f t="shared" si="69"/>
        <v/>
      </c>
      <c r="R151" s="15" t="str">
        <f t="shared" si="70"/>
        <v/>
      </c>
    </row>
    <row r="152" spans="1:18" x14ac:dyDescent="0.25">
      <c r="A152" s="8">
        <v>149</v>
      </c>
      <c r="B152" s="8" t="str">
        <f>IF('سجل الفراغات'!B152="","",'سجل الفراغات'!B152)</f>
        <v/>
      </c>
      <c r="C152" s="33" t="str">
        <f>IF($B152="","",'سجل الفراغات'!C152&amp;"")</f>
        <v/>
      </c>
      <c r="D152" s="8" t="str">
        <f>IF($B152="","",'سجل الفراغات'!D152&amp;"")</f>
        <v/>
      </c>
      <c r="E152" s="14" t="str">
        <f t="shared" si="57"/>
        <v/>
      </c>
      <c r="F152" s="14" t="str">
        <f t="shared" si="58"/>
        <v/>
      </c>
      <c r="G152" s="14" t="str">
        <f t="shared" si="59"/>
        <v/>
      </c>
      <c r="H152" s="14" t="str">
        <f t="shared" si="60"/>
        <v/>
      </c>
      <c r="I152" s="14" t="str">
        <f t="shared" si="61"/>
        <v/>
      </c>
      <c r="J152" s="14" t="str">
        <f t="shared" si="62"/>
        <v/>
      </c>
      <c r="K152" s="14" t="str">
        <f t="shared" si="63"/>
        <v/>
      </c>
      <c r="L152" s="14" t="str">
        <f t="shared" si="64"/>
        <v/>
      </c>
      <c r="M152" s="14" t="str">
        <f t="shared" si="65"/>
        <v/>
      </c>
      <c r="N152" s="14" t="str">
        <f t="shared" si="66"/>
        <v/>
      </c>
      <c r="O152" s="14" t="str">
        <f t="shared" si="67"/>
        <v/>
      </c>
      <c r="P152" s="14" t="str">
        <f t="shared" si="68"/>
        <v/>
      </c>
      <c r="Q152" s="15" t="str">
        <f t="shared" si="69"/>
        <v/>
      </c>
      <c r="R152" s="15" t="str">
        <f t="shared" si="70"/>
        <v/>
      </c>
    </row>
    <row r="153" spans="1:18" x14ac:dyDescent="0.25">
      <c r="A153" s="8">
        <v>150</v>
      </c>
      <c r="B153" s="8" t="str">
        <f>IF('سجل الفراغات'!B153="","",'سجل الفراغات'!B153)</f>
        <v/>
      </c>
      <c r="C153" s="33" t="str">
        <f>IF($B153="","",'سجل الفراغات'!C153&amp;"")</f>
        <v/>
      </c>
      <c r="D153" s="8" t="str">
        <f>IF($B153="","",'سجل الفراغات'!D153&amp;"")</f>
        <v/>
      </c>
      <c r="E153" s="14" t="str">
        <f t="shared" si="57"/>
        <v/>
      </c>
      <c r="F153" s="14" t="str">
        <f t="shared" si="58"/>
        <v/>
      </c>
      <c r="G153" s="14" t="str">
        <f t="shared" si="59"/>
        <v/>
      </c>
      <c r="H153" s="14" t="str">
        <f t="shared" si="60"/>
        <v/>
      </c>
      <c r="I153" s="14" t="str">
        <f t="shared" si="61"/>
        <v/>
      </c>
      <c r="J153" s="14" t="str">
        <f t="shared" si="62"/>
        <v/>
      </c>
      <c r="K153" s="14" t="str">
        <f t="shared" si="63"/>
        <v/>
      </c>
      <c r="L153" s="14" t="str">
        <f t="shared" si="64"/>
        <v/>
      </c>
      <c r="M153" s="14" t="str">
        <f t="shared" si="65"/>
        <v/>
      </c>
      <c r="N153" s="14" t="str">
        <f t="shared" si="66"/>
        <v/>
      </c>
      <c r="O153" s="14" t="str">
        <f t="shared" si="67"/>
        <v/>
      </c>
      <c r="P153" s="14" t="str">
        <f t="shared" si="68"/>
        <v/>
      </c>
      <c r="Q153" s="15" t="str">
        <f t="shared" si="69"/>
        <v/>
      </c>
      <c r="R153" s="15" t="str">
        <f t="shared" si="70"/>
        <v/>
      </c>
    </row>
  </sheetData>
  <sheetProtection sheet="1" formatCells="0" formatColumns="0" formatRows="0" sort="0" autoFilter="0"/>
  <autoFilter ref="A3:R153"/>
  <mergeCells count="2">
    <mergeCell ref="A1:R1"/>
    <mergeCell ref="A2:D2"/>
  </mergeCells>
  <conditionalFormatting sqref="R4:R153">
    <cfRule type="expression" dxfId="12" priority="1">
      <formula>N($R4)&gt;0</formula>
    </cfRule>
  </conditionalFormatting>
  <pageMargins left="0.4" right="0.4" top="0.5" bottom="0.5" header="0.5" footer="0.5"/>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L151"/>
  <sheetViews>
    <sheetView rightToLeft="1" workbookViewId="0">
      <pane ySplit="2" topLeftCell="A3" activePane="bottomLeft" state="frozen"/>
      <selection pane="bottomLeft"/>
    </sheetView>
  </sheetViews>
  <sheetFormatPr defaultRowHeight="15" x14ac:dyDescent="0.25"/>
  <cols>
    <col min="1" max="1" width="26" style="34" customWidth="1"/>
    <col min="2" max="2" width="30" style="34" customWidth="1"/>
    <col min="3" max="7" width="13" style="34" customWidth="1"/>
    <col min="8" max="8" width="16" style="34" customWidth="1"/>
    <col min="9" max="9" width="13" style="34" customWidth="1"/>
    <col min="10" max="10" width="15" style="34" customWidth="1"/>
    <col min="11" max="12" width="13" style="34" customWidth="1"/>
  </cols>
  <sheetData>
    <row r="1" spans="1:12" ht="30" customHeight="1" x14ac:dyDescent="0.25">
      <c r="A1" s="52" t="s">
        <v>146</v>
      </c>
      <c r="B1" s="51"/>
      <c r="C1" s="51"/>
      <c r="D1" s="51"/>
      <c r="E1" s="51"/>
      <c r="F1" s="51"/>
      <c r="G1" s="51"/>
      <c r="H1" s="51"/>
      <c r="I1" s="51"/>
      <c r="J1" s="51"/>
      <c r="K1" s="51"/>
      <c r="L1" s="51"/>
    </row>
    <row r="2" spans="1:12" ht="24" customHeight="1" x14ac:dyDescent="0.25">
      <c r="A2" s="62" t="str">
        <f>"المشروع: "&amp;'بيانات المشروع'!$B$3&amp;"     |     إجمالي التكلفة (للبنود المسعّرة فقط): "&amp;TEXT(SUM(J27:J151),"#,##0.00")</f>
        <v>المشروع:      |     إجمالي التكلفة (للبنود المسعّرة فقط): 0.00</v>
      </c>
      <c r="B2" s="51"/>
      <c r="C2" s="51"/>
      <c r="D2" s="51"/>
      <c r="E2" s="51"/>
      <c r="F2" s="51"/>
      <c r="G2" s="51"/>
      <c r="H2" s="51"/>
      <c r="I2" s="51"/>
      <c r="J2" s="51"/>
      <c r="K2" s="51"/>
      <c r="L2" s="51"/>
    </row>
    <row r="4" spans="1:12" ht="21.95" customHeight="1" x14ac:dyDescent="0.25">
      <c r="A4" s="50" t="s">
        <v>147</v>
      </c>
      <c r="B4" s="51"/>
      <c r="C4" s="51"/>
      <c r="D4" s="51"/>
      <c r="E4" s="51"/>
      <c r="F4" s="51"/>
      <c r="G4" s="51"/>
      <c r="H4" s="51"/>
      <c r="I4" s="51"/>
      <c r="J4" s="51"/>
      <c r="K4" s="51"/>
      <c r="L4" s="51"/>
    </row>
    <row r="5" spans="1:12" ht="44.1" customHeight="1" x14ac:dyDescent="0.25">
      <c r="A5" s="32" t="s">
        <v>148</v>
      </c>
      <c r="B5" s="32" t="s">
        <v>149</v>
      </c>
      <c r="C5" s="32" t="s">
        <v>150</v>
      </c>
      <c r="D5" s="32" t="s">
        <v>151</v>
      </c>
      <c r="E5" s="32" t="s">
        <v>152</v>
      </c>
      <c r="F5" s="32" t="s">
        <v>153</v>
      </c>
      <c r="G5" s="32" t="s">
        <v>154</v>
      </c>
      <c r="H5" s="32" t="s">
        <v>155</v>
      </c>
      <c r="I5" s="32" t="s">
        <v>156</v>
      </c>
      <c r="J5" s="32" t="s">
        <v>157</v>
      </c>
      <c r="K5" s="32" t="s">
        <v>158</v>
      </c>
      <c r="L5" s="32" t="s">
        <v>159</v>
      </c>
    </row>
    <row r="6" spans="1:12" x14ac:dyDescent="0.25">
      <c r="A6" s="16" t="s">
        <v>160</v>
      </c>
      <c r="B6" s="14">
        <f>SUMIFS(FL_Gross,FL_Unit,"م²")</f>
        <v>0</v>
      </c>
      <c r="C6" s="14">
        <f>0</f>
        <v>0</v>
      </c>
      <c r="D6" s="14">
        <f>SUMIFS(FL_Net,FL_Unit,"م²")</f>
        <v>0</v>
      </c>
      <c r="E6" s="14">
        <f>SUMIFS(FL_Gross,FL_Unit,"م.ط")</f>
        <v>0</v>
      </c>
      <c r="F6" s="14">
        <f>0</f>
        <v>0</v>
      </c>
      <c r="G6" s="14">
        <f>SUMIFS(FL_Net,FL_Unit,"م.ط")</f>
        <v>0</v>
      </c>
      <c r="H6" s="14">
        <f>SUMIFS(FL_Net,FL_Unit,"عدد")</f>
        <v>0</v>
      </c>
      <c r="I6" s="15">
        <f>COUNTIF(FL_Status,"?*")</f>
        <v>0</v>
      </c>
      <c r="J6" s="15">
        <f>COUNTIF(FL_Status,"ناقص*")</f>
        <v>0</v>
      </c>
      <c r="K6" s="15">
        <f>I6-J6-L6-COUNTIF(FL_Status,"مستبعد من الحصر")</f>
        <v>0</v>
      </c>
      <c r="L6" s="15">
        <f>COUNTIF(FL_Status,"مكتمل")</f>
        <v>0</v>
      </c>
    </row>
    <row r="7" spans="1:12" x14ac:dyDescent="0.25">
      <c r="A7" s="16" t="s">
        <v>161</v>
      </c>
      <c r="B7" s="14">
        <f>SUMIFS(WL_Gross,WL_Unit,"م²")</f>
        <v>0</v>
      </c>
      <c r="C7" s="14">
        <f>SUMIFS(WL_Ded,WL_Unit,"م²")</f>
        <v>0</v>
      </c>
      <c r="D7" s="14">
        <f>SUMIFS(WL_Net,WL_Unit,"م²")</f>
        <v>0</v>
      </c>
      <c r="E7" s="14">
        <f>SUMIFS(WL_Gross,WL_Unit,"م.ط")</f>
        <v>0</v>
      </c>
      <c r="F7" s="14">
        <f>SUMIFS(WL_Ded,WL_Unit,"م.ط")</f>
        <v>0</v>
      </c>
      <c r="G7" s="14">
        <f>SUMIFS(WL_Net,WL_Unit,"م.ط")</f>
        <v>0</v>
      </c>
      <c r="H7" s="14">
        <f>SUMIFS(WL_Net,WL_Unit,"عدد")</f>
        <v>0</v>
      </c>
      <c r="I7" s="15">
        <f>COUNTIF(WL_Status,"?*")</f>
        <v>0</v>
      </c>
      <c r="J7" s="15">
        <f>COUNTIF(WL_Status,"ناقص*")</f>
        <v>0</v>
      </c>
      <c r="K7" s="15">
        <f>I7-J7-L7</f>
        <v>0</v>
      </c>
      <c r="L7" s="15">
        <f>COUNTIF(WL_Status,"مكتمل")</f>
        <v>0</v>
      </c>
    </row>
    <row r="8" spans="1:12" x14ac:dyDescent="0.25">
      <c r="A8" s="16" t="s">
        <v>162</v>
      </c>
      <c r="B8" s="14">
        <f>SUMIFS(LN_Gross,LN_Unit,"م²")</f>
        <v>0</v>
      </c>
      <c r="C8" s="14">
        <f>SUMIFS(LN_Ded,LN_Unit,"م²")</f>
        <v>0</v>
      </c>
      <c r="D8" s="14">
        <f>SUMIFS(LN_Net,LN_Unit,"م²")</f>
        <v>0</v>
      </c>
      <c r="E8" s="14">
        <f>SUMIFS(LN_Gross,LN_Unit,"م.ط")</f>
        <v>0</v>
      </c>
      <c r="F8" s="14">
        <f>SUMIFS(LN_Ded,LN_Unit,"م.ط")</f>
        <v>0</v>
      </c>
      <c r="G8" s="14">
        <f>SUMIFS(LN_Net,LN_Unit,"م.ط")</f>
        <v>0</v>
      </c>
      <c r="H8" s="14">
        <f>SUMIFS(LN_Net,LN_Unit,"عدد")</f>
        <v>0</v>
      </c>
      <c r="I8" s="15">
        <f>COUNTIF(LN_Status,"?*")</f>
        <v>0</v>
      </c>
      <c r="J8" s="15">
        <f>COUNTIF(LN_Status,"ناقص*")</f>
        <v>0</v>
      </c>
      <c r="K8" s="15">
        <f>I8-J8-L8</f>
        <v>0</v>
      </c>
      <c r="L8" s="15">
        <f>COUNTIF(LN_Status,"مكتمل")</f>
        <v>0</v>
      </c>
    </row>
    <row r="9" spans="1:12" x14ac:dyDescent="0.25">
      <c r="A9" s="16" t="s">
        <v>163</v>
      </c>
      <c r="B9" s="14">
        <f>SUMIFS(CL_Gross,CL_Unit,"م²")</f>
        <v>0</v>
      </c>
      <c r="C9" s="14">
        <f>0</f>
        <v>0</v>
      </c>
      <c r="D9" s="14">
        <f>SUMIFS(CL_Net,CL_Unit,"م²")</f>
        <v>0</v>
      </c>
      <c r="E9" s="14">
        <f>SUMIFS(CL_Gross,CL_Unit,"م.ط")</f>
        <v>0</v>
      </c>
      <c r="F9" s="14">
        <f>0</f>
        <v>0</v>
      </c>
      <c r="G9" s="14">
        <f>SUMIFS(CL_Net,CL_Unit,"م.ط")</f>
        <v>0</v>
      </c>
      <c r="H9" s="14">
        <f>SUMIFS(CL_Net,CL_Unit,"عدد")</f>
        <v>0</v>
      </c>
      <c r="I9" s="15">
        <f>COUNTIF(CL_Status,"?*")</f>
        <v>0</v>
      </c>
      <c r="J9" s="15">
        <f>COUNTIF(CL_Status,"ناقص*")</f>
        <v>0</v>
      </c>
      <c r="K9" s="15">
        <f>I9-J9-L9-COUNTIF(CL_Status,"مستبعد من الحصر")</f>
        <v>0</v>
      </c>
      <c r="L9" s="15">
        <f>COUNTIF(CL_Status,"مكتمل")</f>
        <v>0</v>
      </c>
    </row>
    <row r="10" spans="1:12" x14ac:dyDescent="0.25">
      <c r="A10" s="16" t="s">
        <v>164</v>
      </c>
      <c r="B10" s="14">
        <f>SUMIFS(PL_Gross,PL_Unit,"م²")</f>
        <v>0</v>
      </c>
      <c r="C10" s="14">
        <f>SUMIFS(PL_Ded,PL_Unit,"م²")</f>
        <v>0</v>
      </c>
      <c r="D10" s="14">
        <f>SUMIFS(PL_Net,PL_Unit,"م²")</f>
        <v>0</v>
      </c>
      <c r="E10" s="14">
        <f>SUMIFS(PL_Gross,PL_Unit,"م.ط")</f>
        <v>0</v>
      </c>
      <c r="F10" s="14">
        <f>SUMIFS(PL_Ded,PL_Unit,"م.ط")</f>
        <v>0</v>
      </c>
      <c r="G10" s="14">
        <f>SUMIFS(PL_Net,PL_Unit,"م.ط")</f>
        <v>0</v>
      </c>
      <c r="H10" s="14">
        <f>SUMIFS(PL_Net,PL_Unit,"عدد")</f>
        <v>0</v>
      </c>
      <c r="I10" s="15">
        <f>COUNTIF(PL_Status,"?*")</f>
        <v>0</v>
      </c>
      <c r="J10" s="15">
        <f>COUNTIF(PL_Status,"ناقص*")</f>
        <v>0</v>
      </c>
      <c r="K10" s="15">
        <f>I10-J10-L10</f>
        <v>0</v>
      </c>
      <c r="L10" s="15">
        <f>COUNTIF(PL_Status,"مكتمل")</f>
        <v>0</v>
      </c>
    </row>
    <row r="11" spans="1:12" ht="28.5" customHeight="1" x14ac:dyDescent="0.25">
      <c r="A11" s="17" t="s">
        <v>165</v>
      </c>
      <c r="B11" s="15" t="s">
        <v>166</v>
      </c>
      <c r="C11" s="15" t="s">
        <v>166</v>
      </c>
      <c r="D11" s="15" t="s">
        <v>166</v>
      </c>
      <c r="E11" s="15" t="s">
        <v>166</v>
      </c>
      <c r="F11" s="15" t="s">
        <v>166</v>
      </c>
      <c r="G11" s="15" t="s">
        <v>166</v>
      </c>
      <c r="H11" s="15" t="s">
        <v>166</v>
      </c>
      <c r="I11" s="15">
        <f>COUNTIF(OP_Status,"?*")</f>
        <v>0</v>
      </c>
      <c r="J11" s="15">
        <f>COUNTIF(OP_Status,"ناقص*")</f>
        <v>0</v>
      </c>
      <c r="K11" s="15">
        <f>I11-J11-L11</f>
        <v>0</v>
      </c>
      <c r="L11" s="15">
        <f>COUNTIF(OP_Status,"مكتمل")</f>
        <v>0</v>
      </c>
    </row>
    <row r="12" spans="1:12" x14ac:dyDescent="0.25">
      <c r="A12" s="18" t="s">
        <v>167</v>
      </c>
      <c r="B12" s="19">
        <f t="shared" ref="B12:H12" si="0">SUM(B6:B10)</f>
        <v>0</v>
      </c>
      <c r="C12" s="19">
        <f t="shared" si="0"/>
        <v>0</v>
      </c>
      <c r="D12" s="19">
        <f t="shared" si="0"/>
        <v>0</v>
      </c>
      <c r="E12" s="19">
        <f t="shared" si="0"/>
        <v>0</v>
      </c>
      <c r="F12" s="19">
        <f t="shared" si="0"/>
        <v>0</v>
      </c>
      <c r="G12" s="19">
        <f t="shared" si="0"/>
        <v>0</v>
      </c>
      <c r="H12" s="19">
        <f t="shared" si="0"/>
        <v>0</v>
      </c>
      <c r="I12" s="20">
        <f>SUM(I6:I11)</f>
        <v>0</v>
      </c>
      <c r="J12" s="20">
        <f>SUM(J6:J11)</f>
        <v>0</v>
      </c>
      <c r="K12" s="20">
        <f>SUM(K6:K11)</f>
        <v>0</v>
      </c>
      <c r="L12" s="20">
        <f>SUM(L6:L11)</f>
        <v>0</v>
      </c>
    </row>
    <row r="14" spans="1:12" ht="21.95" customHeight="1" x14ac:dyDescent="0.25">
      <c r="A14" s="50" t="s">
        <v>168</v>
      </c>
      <c r="B14" s="51"/>
      <c r="C14" s="51"/>
      <c r="D14" s="51"/>
      <c r="E14" s="51"/>
      <c r="F14" s="51"/>
      <c r="G14" s="51"/>
      <c r="H14" s="51"/>
      <c r="I14" s="51"/>
      <c r="J14" s="51"/>
      <c r="K14" s="51"/>
      <c r="L14" s="51"/>
    </row>
    <row r="15" spans="1:12" ht="24" customHeight="1" x14ac:dyDescent="0.25">
      <c r="A15" s="32" t="s">
        <v>169</v>
      </c>
      <c r="B15" s="32" t="s">
        <v>170</v>
      </c>
      <c r="C15" s="32" t="s">
        <v>171</v>
      </c>
      <c r="D15" s="32" t="s">
        <v>172</v>
      </c>
      <c r="E15" s="32"/>
      <c r="F15" s="32"/>
      <c r="G15" s="32"/>
      <c r="H15" s="32"/>
      <c r="I15" s="32"/>
      <c r="J15" s="32"/>
      <c r="K15" s="32"/>
      <c r="L15" s="32"/>
    </row>
    <row r="16" spans="1:12" ht="32.1" customHeight="1" x14ac:dyDescent="0.25">
      <c r="A16" s="33" t="s">
        <v>173</v>
      </c>
      <c r="B16" s="14">
        <f>SUM(WL_Auto)</f>
        <v>0</v>
      </c>
      <c r="C16" s="14">
        <f>SUM(OP_AppFin)</f>
        <v>0</v>
      </c>
      <c r="D16" s="8" t="str">
        <f t="shared" ref="D16:D21" si="1">IF(ABS(B16-C16)&lt;0.005,"✓ مطابق","✗ راجع")</f>
        <v>✓ مطابق</v>
      </c>
    </row>
    <row r="17" spans="1:12" ht="32.1" customHeight="1" x14ac:dyDescent="0.25">
      <c r="A17" s="33" t="s">
        <v>174</v>
      </c>
      <c r="B17" s="14">
        <f>SUM(PL_Auto)</f>
        <v>0</v>
      </c>
      <c r="C17" s="14">
        <f>SUM(OP_AppPl)</f>
        <v>0</v>
      </c>
      <c r="D17" s="8" t="str">
        <f t="shared" si="1"/>
        <v>✓ مطابق</v>
      </c>
    </row>
    <row r="18" spans="1:12" ht="32.1" customHeight="1" x14ac:dyDescent="0.25">
      <c r="A18" s="33" t="s">
        <v>175</v>
      </c>
      <c r="B18" s="14">
        <f>SUM(LN_Auto)</f>
        <v>0</v>
      </c>
      <c r="C18" s="14">
        <f>SUM(OP_AppSk)</f>
        <v>0</v>
      </c>
      <c r="D18" s="8" t="str">
        <f t="shared" si="1"/>
        <v>✓ مطابق</v>
      </c>
    </row>
    <row r="19" spans="1:12" ht="32.1" customHeight="1" x14ac:dyDescent="0.25">
      <c r="A19" s="33" t="s">
        <v>176</v>
      </c>
      <c r="B19" s="14">
        <f>SUMIFS(G27:G151,C27:C151,"م²")</f>
        <v>0</v>
      </c>
      <c r="C19" s="14">
        <f>D12</f>
        <v>0</v>
      </c>
      <c r="D19" s="8" t="str">
        <f t="shared" si="1"/>
        <v>✓ مطابق</v>
      </c>
    </row>
    <row r="20" spans="1:12" ht="32.1" customHeight="1" x14ac:dyDescent="0.25">
      <c r="A20" s="33" t="s">
        <v>177</v>
      </c>
      <c r="B20" s="14">
        <f>SUMIFS(G27:G151,C27:C151,"م.ط")</f>
        <v>0</v>
      </c>
      <c r="C20" s="14">
        <f>G12</f>
        <v>0</v>
      </c>
      <c r="D20" s="8" t="str">
        <f t="shared" si="1"/>
        <v>✓ مطابق</v>
      </c>
    </row>
    <row r="21" spans="1:12" ht="32.1" customHeight="1" x14ac:dyDescent="0.25">
      <c r="A21" s="33" t="s">
        <v>178</v>
      </c>
      <c r="B21" s="14">
        <f>COUNTIF(FL_Status,"*الفراغ غير مسجل")+COUNTIF(FL_Status,"*كود الفراغ")+COUNTIF(WL_Status,"*الفراغ غير مسجل")+COUNTIF(WL_Status,"*كود الفراغ")+COUNTIF(LN_Status,"*الفراغ غير مسجل")+COUNTIF(LN_Status,"*كود الفراغ")+COUNTIF(CL_Status,"*الفراغ غير مسجل")+COUNTIF(CL_Status,"*كود الفراغ")+COUNTIF(PL_Status,"*الفراغ غير مسجل")+COUNTIF(PL_Status,"*كود الفراغ")+COUNTIF(OP_Status,"*الفراغ غير مسجل")+COUNTIF(OP_Status,"*كود الفراغ")</f>
        <v>0</v>
      </c>
      <c r="C21" s="14">
        <f>0</f>
        <v>0</v>
      </c>
      <c r="D21" s="8" t="str">
        <f t="shared" si="1"/>
        <v>✓ مطابق</v>
      </c>
    </row>
    <row r="23" spans="1:12" ht="21.95" customHeight="1" x14ac:dyDescent="0.25">
      <c r="A23" s="50" t="s">
        <v>179</v>
      </c>
      <c r="B23" s="51"/>
      <c r="C23" s="51"/>
      <c r="D23" s="51"/>
      <c r="E23" s="51"/>
      <c r="F23" s="51"/>
      <c r="G23" s="51"/>
      <c r="H23" s="51"/>
      <c r="I23" s="51"/>
      <c r="J23" s="51"/>
      <c r="K23" s="51"/>
      <c r="L23" s="51"/>
    </row>
    <row r="24" spans="1:12" ht="24" customHeight="1" x14ac:dyDescent="0.25">
      <c r="A24" s="36" t="s">
        <v>180</v>
      </c>
      <c r="B24" s="9"/>
      <c r="C24" s="61" t="str">
        <f>IF($B$24="","(اترك الخانة فارغة لإخفاء عمود كمية الفراغ)","الفراغ المختار: "&amp;IFERROR(INDEX(SpaceNames,MATCH($B$24,SpaceCodes,0)),"غير مسجل"))</f>
        <v>(اترك الخانة فارغة لإخفاء عمود كمية الفراغ)</v>
      </c>
      <c r="D24" s="51"/>
      <c r="E24" s="51"/>
      <c r="F24" s="51"/>
      <c r="G24" s="51"/>
      <c r="H24" s="51"/>
      <c r="I24" s="51"/>
      <c r="J24" s="51"/>
      <c r="K24" s="51"/>
      <c r="L24" s="51"/>
    </row>
    <row r="25" spans="1:12" x14ac:dyDescent="0.25">
      <c r="A25" s="61" t="s">
        <v>181</v>
      </c>
      <c r="B25" s="51"/>
      <c r="C25" s="51"/>
      <c r="D25" s="51"/>
      <c r="E25" s="51"/>
      <c r="F25" s="51"/>
      <c r="G25" s="51"/>
      <c r="H25" s="51"/>
      <c r="I25" s="51"/>
      <c r="J25" s="51"/>
      <c r="K25" s="51"/>
      <c r="L25" s="51"/>
    </row>
    <row r="26" spans="1:12" ht="44.1" customHeight="1" x14ac:dyDescent="0.25">
      <c r="A26" s="32" t="s">
        <v>148</v>
      </c>
      <c r="B26" s="32" t="s">
        <v>182</v>
      </c>
      <c r="C26" s="32" t="s">
        <v>70</v>
      </c>
      <c r="D26" s="32" t="s">
        <v>156</v>
      </c>
      <c r="E26" s="32" t="s">
        <v>183</v>
      </c>
      <c r="F26" s="32" t="s">
        <v>184</v>
      </c>
      <c r="G26" s="32" t="s">
        <v>185</v>
      </c>
      <c r="H26" s="32" t="s">
        <v>186</v>
      </c>
      <c r="I26" s="32" t="s">
        <v>187</v>
      </c>
      <c r="J26" s="32" t="s">
        <v>188</v>
      </c>
      <c r="K26" s="60" t="s">
        <v>56</v>
      </c>
      <c r="L26" s="55"/>
    </row>
    <row r="27" spans="1:12" x14ac:dyDescent="0.25">
      <c r="A27" s="33" t="s">
        <v>160</v>
      </c>
      <c r="B27" s="33" t="str">
        <f>IF('قوائم الخامات والبنود والوحدات'!$A$4="","",'قوائم الخامات والبنود والوحدات'!$A$4&amp;"")</f>
        <v>سيراميك أرضيات</v>
      </c>
      <c r="C27" s="8" t="str">
        <f>IF($B27="","",IF('قوائم الخامات والبنود والوحدات'!$B$4="","م²",'قوائم الخامات والبنود والوحدات'!$B$4))</f>
        <v>م²</v>
      </c>
      <c r="D27" s="15">
        <f t="shared" ref="D27:D51" si="2">IF($B27="","",COUNTIF(FL_Mat,$B27))</f>
        <v>0</v>
      </c>
      <c r="E27" s="14">
        <f t="shared" ref="E27:E51" si="3">IF($B27="","",SUMIFS(FL_Gross,FL_Mat,$B27))</f>
        <v>0</v>
      </c>
      <c r="F27" s="14">
        <f t="shared" ref="F27:F51" si="4">IF($B27="","",0)</f>
        <v>0</v>
      </c>
      <c r="G27" s="14">
        <f t="shared" ref="G27:G51" si="5">IF($B27="","",SUMIFS(FL_Net,FL_Mat,$B27))</f>
        <v>0</v>
      </c>
      <c r="H27" s="14" t="str">
        <f t="shared" ref="H27:H51" si="6">IF(OR($B27="",$B$24=""),"",SUMIFS(FL_Net,FL_Mat,$B27,FL_Space,$B$24))</f>
        <v/>
      </c>
      <c r="I27" s="11"/>
      <c r="J27" s="12" t="str">
        <f t="shared" ref="J27:J58" si="7">IF(OR($B27="",I27=""),"",G27*I27)</f>
        <v/>
      </c>
      <c r="K27" s="58"/>
      <c r="L27" s="59"/>
    </row>
    <row r="28" spans="1:12" x14ac:dyDescent="0.25">
      <c r="A28" s="33" t="s">
        <v>160</v>
      </c>
      <c r="B28" s="33" t="str">
        <f>IF('قوائم الخامات والبنود والوحدات'!$A$5="","",'قوائم الخامات والبنود والوحدات'!$A$5&amp;"")</f>
        <v>بورسلين</v>
      </c>
      <c r="C28" s="8" t="str">
        <f>IF($B28="","",IF('قوائم الخامات والبنود والوحدات'!$B$5="","م²",'قوائم الخامات والبنود والوحدات'!$B$5))</f>
        <v>م²</v>
      </c>
      <c r="D28" s="15">
        <f t="shared" si="2"/>
        <v>0</v>
      </c>
      <c r="E28" s="14">
        <f t="shared" si="3"/>
        <v>0</v>
      </c>
      <c r="F28" s="14">
        <f t="shared" si="4"/>
        <v>0</v>
      </c>
      <c r="G28" s="14">
        <f t="shared" si="5"/>
        <v>0</v>
      </c>
      <c r="H28" s="14" t="str">
        <f t="shared" si="6"/>
        <v/>
      </c>
      <c r="I28" s="11"/>
      <c r="J28" s="12" t="str">
        <f t="shared" si="7"/>
        <v/>
      </c>
      <c r="K28" s="58"/>
      <c r="L28" s="59"/>
    </row>
    <row r="29" spans="1:12" x14ac:dyDescent="0.25">
      <c r="A29" s="33" t="s">
        <v>160</v>
      </c>
      <c r="B29" s="33" t="str">
        <f>IF('قوائم الخامات والبنود والوحدات'!$A$6="","",'قوائم الخامات والبنود والوحدات'!$A$6&amp;"")</f>
        <v>رخام</v>
      </c>
      <c r="C29" s="8" t="str">
        <f>IF($B29="","",IF('قوائم الخامات والبنود والوحدات'!$B$6="","م²",'قوائم الخامات والبنود والوحدات'!$B$6))</f>
        <v>م²</v>
      </c>
      <c r="D29" s="15">
        <f t="shared" si="2"/>
        <v>0</v>
      </c>
      <c r="E29" s="14">
        <f t="shared" si="3"/>
        <v>0</v>
      </c>
      <c r="F29" s="14">
        <f t="shared" si="4"/>
        <v>0</v>
      </c>
      <c r="G29" s="14">
        <f t="shared" si="5"/>
        <v>0</v>
      </c>
      <c r="H29" s="14" t="str">
        <f t="shared" si="6"/>
        <v/>
      </c>
      <c r="I29" s="11"/>
      <c r="J29" s="12" t="str">
        <f t="shared" si="7"/>
        <v/>
      </c>
      <c r="K29" s="58"/>
      <c r="L29" s="59"/>
    </row>
    <row r="30" spans="1:12" x14ac:dyDescent="0.25">
      <c r="A30" s="33" t="s">
        <v>160</v>
      </c>
      <c r="B30" s="33" t="str">
        <f>IF('قوائم الخامات والبنود والوحدات'!$A$7="","",'قوائم الخامات والبنود والوحدات'!$A$7&amp;"")</f>
        <v>جرانيت</v>
      </c>
      <c r="C30" s="8" t="str">
        <f>IF($B30="","",IF('قوائم الخامات والبنود والوحدات'!$B$7="","م²",'قوائم الخامات والبنود والوحدات'!$B$7))</f>
        <v>م²</v>
      </c>
      <c r="D30" s="15">
        <f t="shared" si="2"/>
        <v>0</v>
      </c>
      <c r="E30" s="14">
        <f t="shared" si="3"/>
        <v>0</v>
      </c>
      <c r="F30" s="14">
        <f t="shared" si="4"/>
        <v>0</v>
      </c>
      <c r="G30" s="14">
        <f t="shared" si="5"/>
        <v>0</v>
      </c>
      <c r="H30" s="14" t="str">
        <f t="shared" si="6"/>
        <v/>
      </c>
      <c r="I30" s="11"/>
      <c r="J30" s="12" t="str">
        <f t="shared" si="7"/>
        <v/>
      </c>
      <c r="K30" s="58"/>
      <c r="L30" s="59"/>
    </row>
    <row r="31" spans="1:12" x14ac:dyDescent="0.25">
      <c r="A31" s="33" t="s">
        <v>160</v>
      </c>
      <c r="B31" s="33" t="str">
        <f>IF('قوائم الخامات والبنود والوحدات'!$A$8="","",'قوائم الخامات والبنود والوحدات'!$A$8&amp;"")</f>
        <v>موزايكو</v>
      </c>
      <c r="C31" s="8" t="str">
        <f>IF($B31="","",IF('قوائم الخامات والبنود والوحدات'!$B$8="","م²",'قوائم الخامات والبنود والوحدات'!$B$8))</f>
        <v>م²</v>
      </c>
      <c r="D31" s="15">
        <f t="shared" si="2"/>
        <v>0</v>
      </c>
      <c r="E31" s="14">
        <f t="shared" si="3"/>
        <v>0</v>
      </c>
      <c r="F31" s="14">
        <f t="shared" si="4"/>
        <v>0</v>
      </c>
      <c r="G31" s="14">
        <f t="shared" si="5"/>
        <v>0</v>
      </c>
      <c r="H31" s="14" t="str">
        <f t="shared" si="6"/>
        <v/>
      </c>
      <c r="I31" s="11"/>
      <c r="J31" s="12" t="str">
        <f t="shared" si="7"/>
        <v/>
      </c>
      <c r="K31" s="58"/>
      <c r="L31" s="59"/>
    </row>
    <row r="32" spans="1:12" x14ac:dyDescent="0.25">
      <c r="A32" s="33" t="s">
        <v>160</v>
      </c>
      <c r="B32" s="33" t="str">
        <f>IF('قوائم الخامات والبنود والوحدات'!$A$9="","",'قوائم الخامات والبنود والوحدات'!$A$9&amp;"")</f>
        <v>تيرازو</v>
      </c>
      <c r="C32" s="8" t="str">
        <f>IF($B32="","",IF('قوائم الخامات والبنود والوحدات'!$B$9="","م²",'قوائم الخامات والبنود والوحدات'!$B$9))</f>
        <v>م²</v>
      </c>
      <c r="D32" s="15">
        <f t="shared" si="2"/>
        <v>0</v>
      </c>
      <c r="E32" s="14">
        <f t="shared" si="3"/>
        <v>0</v>
      </c>
      <c r="F32" s="14">
        <f t="shared" si="4"/>
        <v>0</v>
      </c>
      <c r="G32" s="14">
        <f t="shared" si="5"/>
        <v>0</v>
      </c>
      <c r="H32" s="14" t="str">
        <f t="shared" si="6"/>
        <v/>
      </c>
      <c r="I32" s="11"/>
      <c r="J32" s="12" t="str">
        <f t="shared" si="7"/>
        <v/>
      </c>
      <c r="K32" s="58"/>
      <c r="L32" s="59"/>
    </row>
    <row r="33" spans="1:12" x14ac:dyDescent="0.25">
      <c r="A33" s="33" t="s">
        <v>160</v>
      </c>
      <c r="B33" s="33" t="str">
        <f>IF('قوائم الخامات والبنود والوحدات'!$A$10="","",'قوائم الخامات والبنود والوحدات'!$A$10&amp;"")</f>
        <v>باركيه</v>
      </c>
      <c r="C33" s="8" t="str">
        <f>IF($B33="","",IF('قوائم الخامات والبنود والوحدات'!$B$10="","م²",'قوائم الخامات والبنود والوحدات'!$B$10))</f>
        <v>م²</v>
      </c>
      <c r="D33" s="15">
        <f t="shared" si="2"/>
        <v>0</v>
      </c>
      <c r="E33" s="14">
        <f t="shared" si="3"/>
        <v>0</v>
      </c>
      <c r="F33" s="14">
        <f t="shared" si="4"/>
        <v>0</v>
      </c>
      <c r="G33" s="14">
        <f t="shared" si="5"/>
        <v>0</v>
      </c>
      <c r="H33" s="14" t="str">
        <f t="shared" si="6"/>
        <v/>
      </c>
      <c r="I33" s="11"/>
      <c r="J33" s="12" t="str">
        <f t="shared" si="7"/>
        <v/>
      </c>
      <c r="K33" s="58"/>
      <c r="L33" s="59"/>
    </row>
    <row r="34" spans="1:12" x14ac:dyDescent="0.25">
      <c r="A34" s="33" t="s">
        <v>160</v>
      </c>
      <c r="B34" s="33" t="str">
        <f>IF('قوائم الخامات والبنود والوحدات'!$A$11="","",'قوائم الخامات والبنود والوحدات'!$A$11&amp;"")</f>
        <v>فينيل</v>
      </c>
      <c r="C34" s="8" t="str">
        <f>IF($B34="","",IF('قوائم الخامات والبنود والوحدات'!$B$11="","م²",'قوائم الخامات والبنود والوحدات'!$B$11))</f>
        <v>م²</v>
      </c>
      <c r="D34" s="15">
        <f t="shared" si="2"/>
        <v>0</v>
      </c>
      <c r="E34" s="14">
        <f t="shared" si="3"/>
        <v>0</v>
      </c>
      <c r="F34" s="14">
        <f t="shared" si="4"/>
        <v>0</v>
      </c>
      <c r="G34" s="14">
        <f t="shared" si="5"/>
        <v>0</v>
      </c>
      <c r="H34" s="14" t="str">
        <f t="shared" si="6"/>
        <v/>
      </c>
      <c r="I34" s="11"/>
      <c r="J34" s="12" t="str">
        <f t="shared" si="7"/>
        <v/>
      </c>
      <c r="K34" s="58"/>
      <c r="L34" s="59"/>
    </row>
    <row r="35" spans="1:12" x14ac:dyDescent="0.25">
      <c r="A35" s="33" t="s">
        <v>160</v>
      </c>
      <c r="B35" s="33" t="str">
        <f>IF('قوائم الخامات والبنود والوحدات'!$A$12="","",'قوائم الخامات والبنود والوحدات'!$A$12&amp;"")</f>
        <v>موكيت</v>
      </c>
      <c r="C35" s="8" t="str">
        <f>IF($B35="","",IF('قوائم الخامات والبنود والوحدات'!$B$12="","م²",'قوائم الخامات والبنود والوحدات'!$B$12))</f>
        <v>م²</v>
      </c>
      <c r="D35" s="15">
        <f t="shared" si="2"/>
        <v>0</v>
      </c>
      <c r="E35" s="14">
        <f t="shared" si="3"/>
        <v>0</v>
      </c>
      <c r="F35" s="14">
        <f t="shared" si="4"/>
        <v>0</v>
      </c>
      <c r="G35" s="14">
        <f t="shared" si="5"/>
        <v>0</v>
      </c>
      <c r="H35" s="14" t="str">
        <f t="shared" si="6"/>
        <v/>
      </c>
      <c r="I35" s="11"/>
      <c r="J35" s="12" t="str">
        <f t="shared" si="7"/>
        <v/>
      </c>
      <c r="K35" s="58"/>
      <c r="L35" s="59"/>
    </row>
    <row r="36" spans="1:12" x14ac:dyDescent="0.25">
      <c r="A36" s="33" t="s">
        <v>160</v>
      </c>
      <c r="B36" s="33" t="str">
        <f>IF('قوائم الخامات والبنود والوحدات'!$A$13="","",'قوائم الخامات والبنود والوحدات'!$A$13&amp;"")</f>
        <v>أرضيات إيبوكسي</v>
      </c>
      <c r="C36" s="8" t="str">
        <f>IF($B36="","",IF('قوائم الخامات والبنود والوحدات'!$B$13="","م²",'قوائم الخامات والبنود والوحدات'!$B$13))</f>
        <v>م²</v>
      </c>
      <c r="D36" s="15">
        <f t="shared" si="2"/>
        <v>0</v>
      </c>
      <c r="E36" s="14">
        <f t="shared" si="3"/>
        <v>0</v>
      </c>
      <c r="F36" s="14">
        <f t="shared" si="4"/>
        <v>0</v>
      </c>
      <c r="G36" s="14">
        <f t="shared" si="5"/>
        <v>0</v>
      </c>
      <c r="H36" s="14" t="str">
        <f t="shared" si="6"/>
        <v/>
      </c>
      <c r="I36" s="11"/>
      <c r="J36" s="12" t="str">
        <f t="shared" si="7"/>
        <v/>
      </c>
      <c r="K36" s="58"/>
      <c r="L36" s="59"/>
    </row>
    <row r="37" spans="1:12" x14ac:dyDescent="0.25">
      <c r="A37" s="33" t="s">
        <v>160</v>
      </c>
      <c r="B37" s="33" t="str">
        <f>IF('قوائم الخامات والبنود والوحدات'!$A$14="","",'قوائم الخامات والبنود والوحدات'!$A$14&amp;"")</f>
        <v/>
      </c>
      <c r="C37" s="8" t="str">
        <f>IF($B37="","",IF('قوائم الخامات والبنود والوحدات'!$B$14="","م²",'قوائم الخامات والبنود والوحدات'!$B$14))</f>
        <v/>
      </c>
      <c r="D37" s="15" t="str">
        <f t="shared" si="2"/>
        <v/>
      </c>
      <c r="E37" s="14" t="str">
        <f t="shared" si="3"/>
        <v/>
      </c>
      <c r="F37" s="14" t="str">
        <f t="shared" si="4"/>
        <v/>
      </c>
      <c r="G37" s="14" t="str">
        <f t="shared" si="5"/>
        <v/>
      </c>
      <c r="H37" s="14" t="str">
        <f t="shared" si="6"/>
        <v/>
      </c>
      <c r="I37" s="11"/>
      <c r="J37" s="12" t="str">
        <f t="shared" si="7"/>
        <v/>
      </c>
      <c r="K37" s="58"/>
      <c r="L37" s="59"/>
    </row>
    <row r="38" spans="1:12" x14ac:dyDescent="0.25">
      <c r="A38" s="33" t="s">
        <v>160</v>
      </c>
      <c r="B38" s="33" t="str">
        <f>IF('قوائم الخامات والبنود والوحدات'!$A$15="","",'قوائم الخامات والبنود والوحدات'!$A$15&amp;"")</f>
        <v/>
      </c>
      <c r="C38" s="8" t="str">
        <f>IF($B38="","",IF('قوائم الخامات والبنود والوحدات'!$B$15="","م²",'قوائم الخامات والبنود والوحدات'!$B$15))</f>
        <v/>
      </c>
      <c r="D38" s="15" t="str">
        <f t="shared" si="2"/>
        <v/>
      </c>
      <c r="E38" s="14" t="str">
        <f t="shared" si="3"/>
        <v/>
      </c>
      <c r="F38" s="14" t="str">
        <f t="shared" si="4"/>
        <v/>
      </c>
      <c r="G38" s="14" t="str">
        <f t="shared" si="5"/>
        <v/>
      </c>
      <c r="H38" s="14" t="str">
        <f t="shared" si="6"/>
        <v/>
      </c>
      <c r="I38" s="11"/>
      <c r="J38" s="12" t="str">
        <f t="shared" si="7"/>
        <v/>
      </c>
      <c r="K38" s="58"/>
      <c r="L38" s="59"/>
    </row>
    <row r="39" spans="1:12" x14ac:dyDescent="0.25">
      <c r="A39" s="33" t="s">
        <v>160</v>
      </c>
      <c r="B39" s="33" t="str">
        <f>IF('قوائم الخامات والبنود والوحدات'!$A$16="","",'قوائم الخامات والبنود والوحدات'!$A$16&amp;"")</f>
        <v/>
      </c>
      <c r="C39" s="8" t="str">
        <f>IF($B39="","",IF('قوائم الخامات والبنود والوحدات'!$B$16="","م²",'قوائم الخامات والبنود والوحدات'!$B$16))</f>
        <v/>
      </c>
      <c r="D39" s="15" t="str">
        <f t="shared" si="2"/>
        <v/>
      </c>
      <c r="E39" s="14" t="str">
        <f t="shared" si="3"/>
        <v/>
      </c>
      <c r="F39" s="14" t="str">
        <f t="shared" si="4"/>
        <v/>
      </c>
      <c r="G39" s="14" t="str">
        <f t="shared" si="5"/>
        <v/>
      </c>
      <c r="H39" s="14" t="str">
        <f t="shared" si="6"/>
        <v/>
      </c>
      <c r="I39" s="11"/>
      <c r="J39" s="12" t="str">
        <f t="shared" si="7"/>
        <v/>
      </c>
      <c r="K39" s="58"/>
      <c r="L39" s="59"/>
    </row>
    <row r="40" spans="1:12" x14ac:dyDescent="0.25">
      <c r="A40" s="33" t="s">
        <v>160</v>
      </c>
      <c r="B40" s="33" t="str">
        <f>IF('قوائم الخامات والبنود والوحدات'!$A$17="","",'قوائم الخامات والبنود والوحدات'!$A$17&amp;"")</f>
        <v/>
      </c>
      <c r="C40" s="8" t="str">
        <f>IF($B40="","",IF('قوائم الخامات والبنود والوحدات'!$B$17="","م²",'قوائم الخامات والبنود والوحدات'!$B$17))</f>
        <v/>
      </c>
      <c r="D40" s="15" t="str">
        <f t="shared" si="2"/>
        <v/>
      </c>
      <c r="E40" s="14" t="str">
        <f t="shared" si="3"/>
        <v/>
      </c>
      <c r="F40" s="14" t="str">
        <f t="shared" si="4"/>
        <v/>
      </c>
      <c r="G40" s="14" t="str">
        <f t="shared" si="5"/>
        <v/>
      </c>
      <c r="H40" s="14" t="str">
        <f t="shared" si="6"/>
        <v/>
      </c>
      <c r="I40" s="11"/>
      <c r="J40" s="12" t="str">
        <f t="shared" si="7"/>
        <v/>
      </c>
      <c r="K40" s="58"/>
      <c r="L40" s="59"/>
    </row>
    <row r="41" spans="1:12" x14ac:dyDescent="0.25">
      <c r="A41" s="33" t="s">
        <v>160</v>
      </c>
      <c r="B41" s="33" t="str">
        <f>IF('قوائم الخامات والبنود والوحدات'!$A$18="","",'قوائم الخامات والبنود والوحدات'!$A$18&amp;"")</f>
        <v/>
      </c>
      <c r="C41" s="8" t="str">
        <f>IF($B41="","",IF('قوائم الخامات والبنود والوحدات'!$B$18="","م²",'قوائم الخامات والبنود والوحدات'!$B$18))</f>
        <v/>
      </c>
      <c r="D41" s="15" t="str">
        <f t="shared" si="2"/>
        <v/>
      </c>
      <c r="E41" s="14" t="str">
        <f t="shared" si="3"/>
        <v/>
      </c>
      <c r="F41" s="14" t="str">
        <f t="shared" si="4"/>
        <v/>
      </c>
      <c r="G41" s="14" t="str">
        <f t="shared" si="5"/>
        <v/>
      </c>
      <c r="H41" s="14" t="str">
        <f t="shared" si="6"/>
        <v/>
      </c>
      <c r="I41" s="11"/>
      <c r="J41" s="12" t="str">
        <f t="shared" si="7"/>
        <v/>
      </c>
      <c r="K41" s="58"/>
      <c r="L41" s="59"/>
    </row>
    <row r="42" spans="1:12" x14ac:dyDescent="0.25">
      <c r="A42" s="33" t="s">
        <v>160</v>
      </c>
      <c r="B42" s="33" t="str">
        <f>IF('قوائم الخامات والبنود والوحدات'!$A$19="","",'قوائم الخامات والبنود والوحدات'!$A$19&amp;"")</f>
        <v/>
      </c>
      <c r="C42" s="8" t="str">
        <f>IF($B42="","",IF('قوائم الخامات والبنود والوحدات'!$B$19="","م²",'قوائم الخامات والبنود والوحدات'!$B$19))</f>
        <v/>
      </c>
      <c r="D42" s="15" t="str">
        <f t="shared" si="2"/>
        <v/>
      </c>
      <c r="E42" s="14" t="str">
        <f t="shared" si="3"/>
        <v/>
      </c>
      <c r="F42" s="14" t="str">
        <f t="shared" si="4"/>
        <v/>
      </c>
      <c r="G42" s="14" t="str">
        <f t="shared" si="5"/>
        <v/>
      </c>
      <c r="H42" s="14" t="str">
        <f t="shared" si="6"/>
        <v/>
      </c>
      <c r="I42" s="11"/>
      <c r="J42" s="12" t="str">
        <f t="shared" si="7"/>
        <v/>
      </c>
      <c r="K42" s="58"/>
      <c r="L42" s="59"/>
    </row>
    <row r="43" spans="1:12" x14ac:dyDescent="0.25">
      <c r="A43" s="33" t="s">
        <v>160</v>
      </c>
      <c r="B43" s="33" t="str">
        <f>IF('قوائم الخامات والبنود والوحدات'!$A$20="","",'قوائم الخامات والبنود والوحدات'!$A$20&amp;"")</f>
        <v/>
      </c>
      <c r="C43" s="8" t="str">
        <f>IF($B43="","",IF('قوائم الخامات والبنود والوحدات'!$B$20="","م²",'قوائم الخامات والبنود والوحدات'!$B$20))</f>
        <v/>
      </c>
      <c r="D43" s="15" t="str">
        <f t="shared" si="2"/>
        <v/>
      </c>
      <c r="E43" s="14" t="str">
        <f t="shared" si="3"/>
        <v/>
      </c>
      <c r="F43" s="14" t="str">
        <f t="shared" si="4"/>
        <v/>
      </c>
      <c r="G43" s="14" t="str">
        <f t="shared" si="5"/>
        <v/>
      </c>
      <c r="H43" s="14" t="str">
        <f t="shared" si="6"/>
        <v/>
      </c>
      <c r="I43" s="11"/>
      <c r="J43" s="12" t="str">
        <f t="shared" si="7"/>
        <v/>
      </c>
      <c r="K43" s="58"/>
      <c r="L43" s="59"/>
    </row>
    <row r="44" spans="1:12" x14ac:dyDescent="0.25">
      <c r="A44" s="33" t="s">
        <v>160</v>
      </c>
      <c r="B44" s="33" t="str">
        <f>IF('قوائم الخامات والبنود والوحدات'!$A$21="","",'قوائم الخامات والبنود والوحدات'!$A$21&amp;"")</f>
        <v/>
      </c>
      <c r="C44" s="8" t="str">
        <f>IF($B44="","",IF('قوائم الخامات والبنود والوحدات'!$B$21="","م²",'قوائم الخامات والبنود والوحدات'!$B$21))</f>
        <v/>
      </c>
      <c r="D44" s="15" t="str">
        <f t="shared" si="2"/>
        <v/>
      </c>
      <c r="E44" s="14" t="str">
        <f t="shared" si="3"/>
        <v/>
      </c>
      <c r="F44" s="14" t="str">
        <f t="shared" si="4"/>
        <v/>
      </c>
      <c r="G44" s="14" t="str">
        <f t="shared" si="5"/>
        <v/>
      </c>
      <c r="H44" s="14" t="str">
        <f t="shared" si="6"/>
        <v/>
      </c>
      <c r="I44" s="11"/>
      <c r="J44" s="12" t="str">
        <f t="shared" si="7"/>
        <v/>
      </c>
      <c r="K44" s="58"/>
      <c r="L44" s="59"/>
    </row>
    <row r="45" spans="1:12" x14ac:dyDescent="0.25">
      <c r="A45" s="33" t="s">
        <v>160</v>
      </c>
      <c r="B45" s="33" t="str">
        <f>IF('قوائم الخامات والبنود والوحدات'!$A$22="","",'قوائم الخامات والبنود والوحدات'!$A$22&amp;"")</f>
        <v/>
      </c>
      <c r="C45" s="8" t="str">
        <f>IF($B45="","",IF('قوائم الخامات والبنود والوحدات'!$B$22="","م²",'قوائم الخامات والبنود والوحدات'!$B$22))</f>
        <v/>
      </c>
      <c r="D45" s="15" t="str">
        <f t="shared" si="2"/>
        <v/>
      </c>
      <c r="E45" s="14" t="str">
        <f t="shared" si="3"/>
        <v/>
      </c>
      <c r="F45" s="14" t="str">
        <f t="shared" si="4"/>
        <v/>
      </c>
      <c r="G45" s="14" t="str">
        <f t="shared" si="5"/>
        <v/>
      </c>
      <c r="H45" s="14" t="str">
        <f t="shared" si="6"/>
        <v/>
      </c>
      <c r="I45" s="11"/>
      <c r="J45" s="12" t="str">
        <f t="shared" si="7"/>
        <v/>
      </c>
      <c r="K45" s="58"/>
      <c r="L45" s="59"/>
    </row>
    <row r="46" spans="1:12" x14ac:dyDescent="0.25">
      <c r="A46" s="33" t="s">
        <v>160</v>
      </c>
      <c r="B46" s="33" t="str">
        <f>IF('قوائم الخامات والبنود والوحدات'!$A$23="","",'قوائم الخامات والبنود والوحدات'!$A$23&amp;"")</f>
        <v/>
      </c>
      <c r="C46" s="8" t="str">
        <f>IF($B46="","",IF('قوائم الخامات والبنود والوحدات'!$B$23="","م²",'قوائم الخامات والبنود والوحدات'!$B$23))</f>
        <v/>
      </c>
      <c r="D46" s="15" t="str">
        <f t="shared" si="2"/>
        <v/>
      </c>
      <c r="E46" s="14" t="str">
        <f t="shared" si="3"/>
        <v/>
      </c>
      <c r="F46" s="14" t="str">
        <f t="shared" si="4"/>
        <v/>
      </c>
      <c r="G46" s="14" t="str">
        <f t="shared" si="5"/>
        <v/>
      </c>
      <c r="H46" s="14" t="str">
        <f t="shared" si="6"/>
        <v/>
      </c>
      <c r="I46" s="11"/>
      <c r="J46" s="12" t="str">
        <f t="shared" si="7"/>
        <v/>
      </c>
      <c r="K46" s="58"/>
      <c r="L46" s="59"/>
    </row>
    <row r="47" spans="1:12" x14ac:dyDescent="0.25">
      <c r="A47" s="33" t="s">
        <v>160</v>
      </c>
      <c r="B47" s="33" t="str">
        <f>IF('قوائم الخامات والبنود والوحدات'!$A$24="","",'قوائم الخامات والبنود والوحدات'!$A$24&amp;"")</f>
        <v/>
      </c>
      <c r="C47" s="8" t="str">
        <f>IF($B47="","",IF('قوائم الخامات والبنود والوحدات'!$B$24="","م²",'قوائم الخامات والبنود والوحدات'!$B$24))</f>
        <v/>
      </c>
      <c r="D47" s="15" t="str">
        <f t="shared" si="2"/>
        <v/>
      </c>
      <c r="E47" s="14" t="str">
        <f t="shared" si="3"/>
        <v/>
      </c>
      <c r="F47" s="14" t="str">
        <f t="shared" si="4"/>
        <v/>
      </c>
      <c r="G47" s="14" t="str">
        <f t="shared" si="5"/>
        <v/>
      </c>
      <c r="H47" s="14" t="str">
        <f t="shared" si="6"/>
        <v/>
      </c>
      <c r="I47" s="11"/>
      <c r="J47" s="12" t="str">
        <f t="shared" si="7"/>
        <v/>
      </c>
      <c r="K47" s="58"/>
      <c r="L47" s="59"/>
    </row>
    <row r="48" spans="1:12" x14ac:dyDescent="0.25">
      <c r="A48" s="33" t="s">
        <v>160</v>
      </c>
      <c r="B48" s="33" t="str">
        <f>IF('قوائم الخامات والبنود والوحدات'!$A$25="","",'قوائم الخامات والبنود والوحدات'!$A$25&amp;"")</f>
        <v/>
      </c>
      <c r="C48" s="8" t="str">
        <f>IF($B48="","",IF('قوائم الخامات والبنود والوحدات'!$B$25="","م²",'قوائم الخامات والبنود والوحدات'!$B$25))</f>
        <v/>
      </c>
      <c r="D48" s="15" t="str">
        <f t="shared" si="2"/>
        <v/>
      </c>
      <c r="E48" s="14" t="str">
        <f t="shared" si="3"/>
        <v/>
      </c>
      <c r="F48" s="14" t="str">
        <f t="shared" si="4"/>
        <v/>
      </c>
      <c r="G48" s="14" t="str">
        <f t="shared" si="5"/>
        <v/>
      </c>
      <c r="H48" s="14" t="str">
        <f t="shared" si="6"/>
        <v/>
      </c>
      <c r="I48" s="11"/>
      <c r="J48" s="12" t="str">
        <f t="shared" si="7"/>
        <v/>
      </c>
      <c r="K48" s="58"/>
      <c r="L48" s="59"/>
    </row>
    <row r="49" spans="1:12" x14ac:dyDescent="0.25">
      <c r="A49" s="33" t="s">
        <v>160</v>
      </c>
      <c r="B49" s="33" t="str">
        <f>IF('قوائم الخامات والبنود والوحدات'!$A$26="","",'قوائم الخامات والبنود والوحدات'!$A$26&amp;"")</f>
        <v/>
      </c>
      <c r="C49" s="8" t="str">
        <f>IF($B49="","",IF('قوائم الخامات والبنود والوحدات'!$B$26="","م²",'قوائم الخامات والبنود والوحدات'!$B$26))</f>
        <v/>
      </c>
      <c r="D49" s="15" t="str">
        <f t="shared" si="2"/>
        <v/>
      </c>
      <c r="E49" s="14" t="str">
        <f t="shared" si="3"/>
        <v/>
      </c>
      <c r="F49" s="14" t="str">
        <f t="shared" si="4"/>
        <v/>
      </c>
      <c r="G49" s="14" t="str">
        <f t="shared" si="5"/>
        <v/>
      </c>
      <c r="H49" s="14" t="str">
        <f t="shared" si="6"/>
        <v/>
      </c>
      <c r="I49" s="11"/>
      <c r="J49" s="12" t="str">
        <f t="shared" si="7"/>
        <v/>
      </c>
      <c r="K49" s="58"/>
      <c r="L49" s="59"/>
    </row>
    <row r="50" spans="1:12" x14ac:dyDescent="0.25">
      <c r="A50" s="33" t="s">
        <v>160</v>
      </c>
      <c r="B50" s="33" t="str">
        <f>IF('قوائم الخامات والبنود والوحدات'!$A$27="","",'قوائم الخامات والبنود والوحدات'!$A$27&amp;"")</f>
        <v/>
      </c>
      <c r="C50" s="8" t="str">
        <f>IF($B50="","",IF('قوائم الخامات والبنود والوحدات'!$B$27="","م²",'قوائم الخامات والبنود والوحدات'!$B$27))</f>
        <v/>
      </c>
      <c r="D50" s="15" t="str">
        <f t="shared" si="2"/>
        <v/>
      </c>
      <c r="E50" s="14" t="str">
        <f t="shared" si="3"/>
        <v/>
      </c>
      <c r="F50" s="14" t="str">
        <f t="shared" si="4"/>
        <v/>
      </c>
      <c r="G50" s="14" t="str">
        <f t="shared" si="5"/>
        <v/>
      </c>
      <c r="H50" s="14" t="str">
        <f t="shared" si="6"/>
        <v/>
      </c>
      <c r="I50" s="11"/>
      <c r="J50" s="12" t="str">
        <f t="shared" si="7"/>
        <v/>
      </c>
      <c r="K50" s="58"/>
      <c r="L50" s="59"/>
    </row>
    <row r="51" spans="1:12" x14ac:dyDescent="0.25">
      <c r="A51" s="33" t="s">
        <v>160</v>
      </c>
      <c r="B51" s="33" t="str">
        <f>IF('قوائم الخامات والبنود والوحدات'!$A$28="","",'قوائم الخامات والبنود والوحدات'!$A$28&amp;"")</f>
        <v/>
      </c>
      <c r="C51" s="8" t="str">
        <f>IF($B51="","",IF('قوائم الخامات والبنود والوحدات'!$B$28="","م²",'قوائم الخامات والبنود والوحدات'!$B$28))</f>
        <v/>
      </c>
      <c r="D51" s="15" t="str">
        <f t="shared" si="2"/>
        <v/>
      </c>
      <c r="E51" s="14" t="str">
        <f t="shared" si="3"/>
        <v/>
      </c>
      <c r="F51" s="14" t="str">
        <f t="shared" si="4"/>
        <v/>
      </c>
      <c r="G51" s="14" t="str">
        <f t="shared" si="5"/>
        <v/>
      </c>
      <c r="H51" s="14" t="str">
        <f t="shared" si="6"/>
        <v/>
      </c>
      <c r="I51" s="11"/>
      <c r="J51" s="12" t="str">
        <f t="shared" si="7"/>
        <v/>
      </c>
      <c r="K51" s="58"/>
      <c r="L51" s="59"/>
    </row>
    <row r="52" spans="1:12" x14ac:dyDescent="0.25">
      <c r="A52" s="33" t="s">
        <v>161</v>
      </c>
      <c r="B52" s="33" t="str">
        <f>IF('قوائم الخامات والبنود والوحدات'!$C$4="","",'قوائم الخامات والبنود والوحدات'!$C$4&amp;"")</f>
        <v>سيراميك حوائط الحمامات</v>
      </c>
      <c r="C52" s="8" t="str">
        <f>IF($B52="","",IF('قوائم الخامات والبنود والوحدات'!$D$4="","م²",'قوائم الخامات والبنود والوحدات'!$D$4))</f>
        <v>م²</v>
      </c>
      <c r="D52" s="15">
        <f t="shared" ref="D52:D76" si="8">IF($B52="","",COUNTIF(WL_Mat,$B52))</f>
        <v>0</v>
      </c>
      <c r="E52" s="14">
        <f t="shared" ref="E52:E76" si="9">IF($B52="","",SUMIFS(WL_Gross,WL_Mat,$B52))</f>
        <v>0</v>
      </c>
      <c r="F52" s="14">
        <f t="shared" ref="F52:F76" si="10">IF($B52="","",SUMIFS(WL_Ded,WL_Mat,$B52))</f>
        <v>0</v>
      </c>
      <c r="G52" s="14">
        <f t="shared" ref="G52:G76" si="11">IF($B52="","",SUMIFS(WL_Net,WL_Mat,$B52))</f>
        <v>0</v>
      </c>
      <c r="H52" s="14" t="str">
        <f t="shared" ref="H52:H76" si="12">IF(OR($B52="",$B$24=""),"",SUMIFS(WL_Net,WL_Mat,$B52,WL_Space,$B$24))</f>
        <v/>
      </c>
      <c r="I52" s="11"/>
      <c r="J52" s="12" t="str">
        <f t="shared" si="7"/>
        <v/>
      </c>
      <c r="K52" s="58"/>
      <c r="L52" s="59"/>
    </row>
    <row r="53" spans="1:12" x14ac:dyDescent="0.25">
      <c r="A53" s="33" t="s">
        <v>161</v>
      </c>
      <c r="B53" s="33" t="str">
        <f>IF('قوائم الخامات والبنود والوحدات'!$C$5="","",'قوائم الخامات والبنود والوحدات'!$C$5&amp;"")</f>
        <v>سيراميك حوائط المطابخ</v>
      </c>
      <c r="C53" s="8" t="str">
        <f>IF($B53="","",IF('قوائم الخامات والبنود والوحدات'!$D$5="","م²",'قوائم الخامات والبنود والوحدات'!$D$5))</f>
        <v>م²</v>
      </c>
      <c r="D53" s="15">
        <f t="shared" si="8"/>
        <v>0</v>
      </c>
      <c r="E53" s="14">
        <f t="shared" si="9"/>
        <v>0</v>
      </c>
      <c r="F53" s="14">
        <f t="shared" si="10"/>
        <v>0</v>
      </c>
      <c r="G53" s="14">
        <f t="shared" si="11"/>
        <v>0</v>
      </c>
      <c r="H53" s="14" t="str">
        <f t="shared" si="12"/>
        <v/>
      </c>
      <c r="I53" s="11"/>
      <c r="J53" s="12" t="str">
        <f t="shared" si="7"/>
        <v/>
      </c>
      <c r="K53" s="58"/>
      <c r="L53" s="59"/>
    </row>
    <row r="54" spans="1:12" x14ac:dyDescent="0.25">
      <c r="A54" s="33" t="s">
        <v>161</v>
      </c>
      <c r="B54" s="33" t="str">
        <f>IF('قوائم الخامات والبنود والوحدات'!$C$6="","",'قوائم الخامات والبنود والوحدات'!$C$6&amp;"")</f>
        <v>سيراميك حوائط عادي</v>
      </c>
      <c r="C54" s="8" t="str">
        <f>IF($B54="","",IF('قوائم الخامات والبنود والوحدات'!$D$6="","م²",'قوائم الخامات والبنود والوحدات'!$D$6))</f>
        <v>م²</v>
      </c>
      <c r="D54" s="15">
        <f t="shared" si="8"/>
        <v>0</v>
      </c>
      <c r="E54" s="14">
        <f t="shared" si="9"/>
        <v>0</v>
      </c>
      <c r="F54" s="14">
        <f t="shared" si="10"/>
        <v>0</v>
      </c>
      <c r="G54" s="14">
        <f t="shared" si="11"/>
        <v>0</v>
      </c>
      <c r="H54" s="14" t="str">
        <f t="shared" si="12"/>
        <v/>
      </c>
      <c r="I54" s="11"/>
      <c r="J54" s="12" t="str">
        <f t="shared" si="7"/>
        <v/>
      </c>
      <c r="K54" s="58"/>
      <c r="L54" s="59"/>
    </row>
    <row r="55" spans="1:12" x14ac:dyDescent="0.25">
      <c r="A55" s="33" t="s">
        <v>161</v>
      </c>
      <c r="B55" s="33" t="str">
        <f>IF('قوائم الخامات والبنود والوحدات'!$C$7="","",'قوائم الخامات والبنود والوحدات'!$C$7&amp;"")</f>
        <v>سيراميك حوائط ديكوري</v>
      </c>
      <c r="C55" s="8" t="str">
        <f>IF($B55="","",IF('قوائم الخامات والبنود والوحدات'!$D$7="","م²",'قوائم الخامات والبنود والوحدات'!$D$7))</f>
        <v>م²</v>
      </c>
      <c r="D55" s="15">
        <f t="shared" si="8"/>
        <v>0</v>
      </c>
      <c r="E55" s="14">
        <f t="shared" si="9"/>
        <v>0</v>
      </c>
      <c r="F55" s="14">
        <f t="shared" si="10"/>
        <v>0</v>
      </c>
      <c r="G55" s="14">
        <f t="shared" si="11"/>
        <v>0</v>
      </c>
      <c r="H55" s="14" t="str">
        <f t="shared" si="12"/>
        <v/>
      </c>
      <c r="I55" s="11"/>
      <c r="J55" s="12" t="str">
        <f t="shared" si="7"/>
        <v/>
      </c>
      <c r="K55" s="58"/>
      <c r="L55" s="59"/>
    </row>
    <row r="56" spans="1:12" x14ac:dyDescent="0.25">
      <c r="A56" s="33" t="s">
        <v>161</v>
      </c>
      <c r="B56" s="33" t="str">
        <f>IF('قوائم الخامات والبنود والوحدات'!$C$8="","",'قوائم الخامات والبنود والوحدات'!$C$8&amp;"")</f>
        <v>موزايكو حوائط</v>
      </c>
      <c r="C56" s="8" t="str">
        <f>IF($B56="","",IF('قوائم الخامات والبنود والوحدات'!$D$8="","م²",'قوائم الخامات والبنود والوحدات'!$D$8))</f>
        <v>م²</v>
      </c>
      <c r="D56" s="15">
        <f t="shared" si="8"/>
        <v>0</v>
      </c>
      <c r="E56" s="14">
        <f t="shared" si="9"/>
        <v>0</v>
      </c>
      <c r="F56" s="14">
        <f t="shared" si="10"/>
        <v>0</v>
      </c>
      <c r="G56" s="14">
        <f t="shared" si="11"/>
        <v>0</v>
      </c>
      <c r="H56" s="14" t="str">
        <f t="shared" si="12"/>
        <v/>
      </c>
      <c r="I56" s="11"/>
      <c r="J56" s="12" t="str">
        <f t="shared" si="7"/>
        <v/>
      </c>
      <c r="K56" s="58"/>
      <c r="L56" s="59"/>
    </row>
    <row r="57" spans="1:12" x14ac:dyDescent="0.25">
      <c r="A57" s="33" t="s">
        <v>161</v>
      </c>
      <c r="B57" s="33" t="str">
        <f>IF('قوائم الخامات والبنود والوحدات'!$C$9="","",'قوائم الخامات والبنود والوحدات'!$C$9&amp;"")</f>
        <v>رخام حوائط</v>
      </c>
      <c r="C57" s="8" t="str">
        <f>IF($B57="","",IF('قوائم الخامات والبنود والوحدات'!$D$9="","م²",'قوائم الخامات والبنود والوحدات'!$D$9))</f>
        <v>م²</v>
      </c>
      <c r="D57" s="15">
        <f t="shared" si="8"/>
        <v>0</v>
      </c>
      <c r="E57" s="14">
        <f t="shared" si="9"/>
        <v>0</v>
      </c>
      <c r="F57" s="14">
        <f t="shared" si="10"/>
        <v>0</v>
      </c>
      <c r="G57" s="14">
        <f t="shared" si="11"/>
        <v>0</v>
      </c>
      <c r="H57" s="14" t="str">
        <f t="shared" si="12"/>
        <v/>
      </c>
      <c r="I57" s="11"/>
      <c r="J57" s="12" t="str">
        <f t="shared" si="7"/>
        <v/>
      </c>
      <c r="K57" s="58"/>
      <c r="L57" s="59"/>
    </row>
    <row r="58" spans="1:12" x14ac:dyDescent="0.25">
      <c r="A58" s="33" t="s">
        <v>161</v>
      </c>
      <c r="B58" s="33" t="str">
        <f>IF('قوائم الخامات والبنود والوحدات'!$C$10="","",'قوائم الخامات والبنود والوحدات'!$C$10&amp;"")</f>
        <v>جرانيت حوائط</v>
      </c>
      <c r="C58" s="8" t="str">
        <f>IF($B58="","",IF('قوائم الخامات والبنود والوحدات'!$D$10="","م²",'قوائم الخامات والبنود والوحدات'!$D$10))</f>
        <v>م²</v>
      </c>
      <c r="D58" s="15">
        <f t="shared" si="8"/>
        <v>0</v>
      </c>
      <c r="E58" s="14">
        <f t="shared" si="9"/>
        <v>0</v>
      </c>
      <c r="F58" s="14">
        <f t="shared" si="10"/>
        <v>0</v>
      </c>
      <c r="G58" s="14">
        <f t="shared" si="11"/>
        <v>0</v>
      </c>
      <c r="H58" s="14" t="str">
        <f t="shared" si="12"/>
        <v/>
      </c>
      <c r="I58" s="11"/>
      <c r="J58" s="12" t="str">
        <f t="shared" si="7"/>
        <v/>
      </c>
      <c r="K58" s="58"/>
      <c r="L58" s="59"/>
    </row>
    <row r="59" spans="1:12" x14ac:dyDescent="0.25">
      <c r="A59" s="33" t="s">
        <v>161</v>
      </c>
      <c r="B59" s="33" t="str">
        <f>IF('قوائم الخامات والبنود والوحدات'!$C$11="","",'قوائم الخامات والبنود والوحدات'!$C$11&amp;"")</f>
        <v>دهانات</v>
      </c>
      <c r="C59" s="8" t="str">
        <f>IF($B59="","",IF('قوائم الخامات والبنود والوحدات'!$D$11="","م²",'قوائم الخامات والبنود والوحدات'!$D$11))</f>
        <v>م²</v>
      </c>
      <c r="D59" s="15">
        <f t="shared" si="8"/>
        <v>0</v>
      </c>
      <c r="E59" s="14">
        <f t="shared" si="9"/>
        <v>0</v>
      </c>
      <c r="F59" s="14">
        <f t="shared" si="10"/>
        <v>0</v>
      </c>
      <c r="G59" s="14">
        <f t="shared" si="11"/>
        <v>0</v>
      </c>
      <c r="H59" s="14" t="str">
        <f t="shared" si="12"/>
        <v/>
      </c>
      <c r="I59" s="11"/>
      <c r="J59" s="12" t="str">
        <f t="shared" ref="J59:J90" si="13">IF(OR($B59="",I59=""),"",G59*I59)</f>
        <v/>
      </c>
      <c r="K59" s="58"/>
      <c r="L59" s="59"/>
    </row>
    <row r="60" spans="1:12" x14ac:dyDescent="0.25">
      <c r="A60" s="33" t="s">
        <v>161</v>
      </c>
      <c r="B60" s="33" t="str">
        <f>IF('قوائم الخامات والبنود والوحدات'!$C$12="","",'قوائم الخامات والبنود والوحدات'!$C$12&amp;"")</f>
        <v>ورق حائط</v>
      </c>
      <c r="C60" s="8" t="str">
        <f>IF($B60="","",IF('قوائم الخامات والبنود والوحدات'!$D$12="","م²",'قوائم الخامات والبنود والوحدات'!$D$12))</f>
        <v>م²</v>
      </c>
      <c r="D60" s="15">
        <f t="shared" si="8"/>
        <v>0</v>
      </c>
      <c r="E60" s="14">
        <f t="shared" si="9"/>
        <v>0</v>
      </c>
      <c r="F60" s="14">
        <f t="shared" si="10"/>
        <v>0</v>
      </c>
      <c r="G60" s="14">
        <f t="shared" si="11"/>
        <v>0</v>
      </c>
      <c r="H60" s="14" t="str">
        <f t="shared" si="12"/>
        <v/>
      </c>
      <c r="I60" s="11"/>
      <c r="J60" s="12" t="str">
        <f t="shared" si="13"/>
        <v/>
      </c>
      <c r="K60" s="58"/>
      <c r="L60" s="59"/>
    </row>
    <row r="61" spans="1:12" x14ac:dyDescent="0.25">
      <c r="A61" s="33" t="s">
        <v>161</v>
      </c>
      <c r="B61" s="33" t="str">
        <f>IF('قوائم الخامات والبنود والوحدات'!$C$13="","",'قوائم الخامات والبنود والوحدات'!$C$13&amp;"")</f>
        <v>كسوات خشبية</v>
      </c>
      <c r="C61" s="8" t="str">
        <f>IF($B61="","",IF('قوائم الخامات والبنود والوحدات'!$D$13="","م²",'قوائم الخامات والبنود والوحدات'!$D$13))</f>
        <v>م²</v>
      </c>
      <c r="D61" s="15">
        <f t="shared" si="8"/>
        <v>0</v>
      </c>
      <c r="E61" s="14">
        <f t="shared" si="9"/>
        <v>0</v>
      </c>
      <c r="F61" s="14">
        <f t="shared" si="10"/>
        <v>0</v>
      </c>
      <c r="G61" s="14">
        <f t="shared" si="11"/>
        <v>0</v>
      </c>
      <c r="H61" s="14" t="str">
        <f t="shared" si="12"/>
        <v/>
      </c>
      <c r="I61" s="11"/>
      <c r="J61" s="12" t="str">
        <f t="shared" si="13"/>
        <v/>
      </c>
      <c r="K61" s="58"/>
      <c r="L61" s="59"/>
    </row>
    <row r="62" spans="1:12" x14ac:dyDescent="0.25">
      <c r="A62" s="33" t="s">
        <v>161</v>
      </c>
      <c r="B62" s="33" t="str">
        <f>IF('قوائم الخامات والبنود والوحدات'!$C$14="","",'قوائم الخامات والبنود والوحدات'!$C$14&amp;"")</f>
        <v>كسوات حجرية</v>
      </c>
      <c r="C62" s="8" t="str">
        <f>IF($B62="","",IF('قوائم الخامات والبنود والوحدات'!$D$14="","م²",'قوائم الخامات والبنود والوحدات'!$D$14))</f>
        <v>م²</v>
      </c>
      <c r="D62" s="15">
        <f t="shared" si="8"/>
        <v>0</v>
      </c>
      <c r="E62" s="14">
        <f t="shared" si="9"/>
        <v>0</v>
      </c>
      <c r="F62" s="14">
        <f t="shared" si="10"/>
        <v>0</v>
      </c>
      <c r="G62" s="14">
        <f t="shared" si="11"/>
        <v>0</v>
      </c>
      <c r="H62" s="14" t="str">
        <f t="shared" si="12"/>
        <v/>
      </c>
      <c r="I62" s="11"/>
      <c r="J62" s="12" t="str">
        <f t="shared" si="13"/>
        <v/>
      </c>
      <c r="K62" s="58"/>
      <c r="L62" s="59"/>
    </row>
    <row r="63" spans="1:12" x14ac:dyDescent="0.25">
      <c r="A63" s="33" t="s">
        <v>161</v>
      </c>
      <c r="B63" s="33" t="str">
        <f>IF('قوائم الخامات والبنود والوحدات'!$C$15="","",'قوائم الخامات والبنود والوحدات'!$C$15&amp;"")</f>
        <v>ألواح وكسوات أخرى</v>
      </c>
      <c r="C63" s="8" t="str">
        <f>IF($B63="","",IF('قوائم الخامات والبنود والوحدات'!$D$15="","م²",'قوائم الخامات والبنود والوحدات'!$D$15))</f>
        <v>م²</v>
      </c>
      <c r="D63" s="15">
        <f t="shared" si="8"/>
        <v>0</v>
      </c>
      <c r="E63" s="14">
        <f t="shared" si="9"/>
        <v>0</v>
      </c>
      <c r="F63" s="14">
        <f t="shared" si="10"/>
        <v>0</v>
      </c>
      <c r="G63" s="14">
        <f t="shared" si="11"/>
        <v>0</v>
      </c>
      <c r="H63" s="14" t="str">
        <f t="shared" si="12"/>
        <v/>
      </c>
      <c r="I63" s="11"/>
      <c r="J63" s="12" t="str">
        <f t="shared" si="13"/>
        <v/>
      </c>
      <c r="K63" s="58"/>
      <c r="L63" s="59"/>
    </row>
    <row r="64" spans="1:12" x14ac:dyDescent="0.25">
      <c r="A64" s="33" t="s">
        <v>161</v>
      </c>
      <c r="B64" s="33" t="str">
        <f>IF('قوائم الخامات والبنود والوحدات'!$C$16="","",'قوائم الخامات والبنود والوحدات'!$C$16&amp;"")</f>
        <v/>
      </c>
      <c r="C64" s="8" t="str">
        <f>IF($B64="","",IF('قوائم الخامات والبنود والوحدات'!$D$16="","م²",'قوائم الخامات والبنود والوحدات'!$D$16))</f>
        <v/>
      </c>
      <c r="D64" s="15" t="str">
        <f t="shared" si="8"/>
        <v/>
      </c>
      <c r="E64" s="14" t="str">
        <f t="shared" si="9"/>
        <v/>
      </c>
      <c r="F64" s="14" t="str">
        <f t="shared" si="10"/>
        <v/>
      </c>
      <c r="G64" s="14" t="str">
        <f t="shared" si="11"/>
        <v/>
      </c>
      <c r="H64" s="14" t="str">
        <f t="shared" si="12"/>
        <v/>
      </c>
      <c r="I64" s="11"/>
      <c r="J64" s="12" t="str">
        <f t="shared" si="13"/>
        <v/>
      </c>
      <c r="K64" s="58"/>
      <c r="L64" s="59"/>
    </row>
    <row r="65" spans="1:12" x14ac:dyDescent="0.25">
      <c r="A65" s="33" t="s">
        <v>161</v>
      </c>
      <c r="B65" s="33" t="str">
        <f>IF('قوائم الخامات والبنود والوحدات'!$C$17="","",'قوائم الخامات والبنود والوحدات'!$C$17&amp;"")</f>
        <v/>
      </c>
      <c r="C65" s="8" t="str">
        <f>IF($B65="","",IF('قوائم الخامات والبنود والوحدات'!$D$17="","م²",'قوائم الخامات والبنود والوحدات'!$D$17))</f>
        <v/>
      </c>
      <c r="D65" s="15" t="str">
        <f t="shared" si="8"/>
        <v/>
      </c>
      <c r="E65" s="14" t="str">
        <f t="shared" si="9"/>
        <v/>
      </c>
      <c r="F65" s="14" t="str">
        <f t="shared" si="10"/>
        <v/>
      </c>
      <c r="G65" s="14" t="str">
        <f t="shared" si="11"/>
        <v/>
      </c>
      <c r="H65" s="14" t="str">
        <f t="shared" si="12"/>
        <v/>
      </c>
      <c r="I65" s="11"/>
      <c r="J65" s="12" t="str">
        <f t="shared" si="13"/>
        <v/>
      </c>
      <c r="K65" s="58"/>
      <c r="L65" s="59"/>
    </row>
    <row r="66" spans="1:12" x14ac:dyDescent="0.25">
      <c r="A66" s="33" t="s">
        <v>161</v>
      </c>
      <c r="B66" s="33" t="str">
        <f>IF('قوائم الخامات والبنود والوحدات'!$C$18="","",'قوائم الخامات والبنود والوحدات'!$C$18&amp;"")</f>
        <v/>
      </c>
      <c r="C66" s="8" t="str">
        <f>IF($B66="","",IF('قوائم الخامات والبنود والوحدات'!$D$18="","م²",'قوائم الخامات والبنود والوحدات'!$D$18))</f>
        <v/>
      </c>
      <c r="D66" s="15" t="str">
        <f t="shared" si="8"/>
        <v/>
      </c>
      <c r="E66" s="14" t="str">
        <f t="shared" si="9"/>
        <v/>
      </c>
      <c r="F66" s="14" t="str">
        <f t="shared" si="10"/>
        <v/>
      </c>
      <c r="G66" s="14" t="str">
        <f t="shared" si="11"/>
        <v/>
      </c>
      <c r="H66" s="14" t="str">
        <f t="shared" si="12"/>
        <v/>
      </c>
      <c r="I66" s="11"/>
      <c r="J66" s="12" t="str">
        <f t="shared" si="13"/>
        <v/>
      </c>
      <c r="K66" s="58"/>
      <c r="L66" s="59"/>
    </row>
    <row r="67" spans="1:12" x14ac:dyDescent="0.25">
      <c r="A67" s="33" t="s">
        <v>161</v>
      </c>
      <c r="B67" s="33" t="str">
        <f>IF('قوائم الخامات والبنود والوحدات'!$C$19="","",'قوائم الخامات والبنود والوحدات'!$C$19&amp;"")</f>
        <v/>
      </c>
      <c r="C67" s="8" t="str">
        <f>IF($B67="","",IF('قوائم الخامات والبنود والوحدات'!$D$19="","م²",'قوائم الخامات والبنود والوحدات'!$D$19))</f>
        <v/>
      </c>
      <c r="D67" s="15" t="str">
        <f t="shared" si="8"/>
        <v/>
      </c>
      <c r="E67" s="14" t="str">
        <f t="shared" si="9"/>
        <v/>
      </c>
      <c r="F67" s="14" t="str">
        <f t="shared" si="10"/>
        <v/>
      </c>
      <c r="G67" s="14" t="str">
        <f t="shared" si="11"/>
        <v/>
      </c>
      <c r="H67" s="14" t="str">
        <f t="shared" si="12"/>
        <v/>
      </c>
      <c r="I67" s="11"/>
      <c r="J67" s="12" t="str">
        <f t="shared" si="13"/>
        <v/>
      </c>
      <c r="K67" s="58"/>
      <c r="L67" s="59"/>
    </row>
    <row r="68" spans="1:12" x14ac:dyDescent="0.25">
      <c r="A68" s="33" t="s">
        <v>161</v>
      </c>
      <c r="B68" s="33" t="str">
        <f>IF('قوائم الخامات والبنود والوحدات'!$C$20="","",'قوائم الخامات والبنود والوحدات'!$C$20&amp;"")</f>
        <v/>
      </c>
      <c r="C68" s="8" t="str">
        <f>IF($B68="","",IF('قوائم الخامات والبنود والوحدات'!$D$20="","م²",'قوائم الخامات والبنود والوحدات'!$D$20))</f>
        <v/>
      </c>
      <c r="D68" s="15" t="str">
        <f t="shared" si="8"/>
        <v/>
      </c>
      <c r="E68" s="14" t="str">
        <f t="shared" si="9"/>
        <v/>
      </c>
      <c r="F68" s="14" t="str">
        <f t="shared" si="10"/>
        <v/>
      </c>
      <c r="G68" s="14" t="str">
        <f t="shared" si="11"/>
        <v/>
      </c>
      <c r="H68" s="14" t="str">
        <f t="shared" si="12"/>
        <v/>
      </c>
      <c r="I68" s="11"/>
      <c r="J68" s="12" t="str">
        <f t="shared" si="13"/>
        <v/>
      </c>
      <c r="K68" s="58"/>
      <c r="L68" s="59"/>
    </row>
    <row r="69" spans="1:12" x14ac:dyDescent="0.25">
      <c r="A69" s="33" t="s">
        <v>161</v>
      </c>
      <c r="B69" s="33" t="str">
        <f>IF('قوائم الخامات والبنود والوحدات'!$C$21="","",'قوائم الخامات والبنود والوحدات'!$C$21&amp;"")</f>
        <v/>
      </c>
      <c r="C69" s="8" t="str">
        <f>IF($B69="","",IF('قوائم الخامات والبنود والوحدات'!$D$21="","م²",'قوائم الخامات والبنود والوحدات'!$D$21))</f>
        <v/>
      </c>
      <c r="D69" s="15" t="str">
        <f t="shared" si="8"/>
        <v/>
      </c>
      <c r="E69" s="14" t="str">
        <f t="shared" si="9"/>
        <v/>
      </c>
      <c r="F69" s="14" t="str">
        <f t="shared" si="10"/>
        <v/>
      </c>
      <c r="G69" s="14" t="str">
        <f t="shared" si="11"/>
        <v/>
      </c>
      <c r="H69" s="14" t="str">
        <f t="shared" si="12"/>
        <v/>
      </c>
      <c r="I69" s="11"/>
      <c r="J69" s="12" t="str">
        <f t="shared" si="13"/>
        <v/>
      </c>
      <c r="K69" s="58"/>
      <c r="L69" s="59"/>
    </row>
    <row r="70" spans="1:12" x14ac:dyDescent="0.25">
      <c r="A70" s="33" t="s">
        <v>161</v>
      </c>
      <c r="B70" s="33" t="str">
        <f>IF('قوائم الخامات والبنود والوحدات'!$C$22="","",'قوائم الخامات والبنود والوحدات'!$C$22&amp;"")</f>
        <v/>
      </c>
      <c r="C70" s="8" t="str">
        <f>IF($B70="","",IF('قوائم الخامات والبنود والوحدات'!$D$22="","م²",'قوائم الخامات والبنود والوحدات'!$D$22))</f>
        <v/>
      </c>
      <c r="D70" s="15" t="str">
        <f t="shared" si="8"/>
        <v/>
      </c>
      <c r="E70" s="14" t="str">
        <f t="shared" si="9"/>
        <v/>
      </c>
      <c r="F70" s="14" t="str">
        <f t="shared" si="10"/>
        <v/>
      </c>
      <c r="G70" s="14" t="str">
        <f t="shared" si="11"/>
        <v/>
      </c>
      <c r="H70" s="14" t="str">
        <f t="shared" si="12"/>
        <v/>
      </c>
      <c r="I70" s="11"/>
      <c r="J70" s="12" t="str">
        <f t="shared" si="13"/>
        <v/>
      </c>
      <c r="K70" s="58"/>
      <c r="L70" s="59"/>
    </row>
    <row r="71" spans="1:12" x14ac:dyDescent="0.25">
      <c r="A71" s="33" t="s">
        <v>161</v>
      </c>
      <c r="B71" s="33" t="str">
        <f>IF('قوائم الخامات والبنود والوحدات'!$C$23="","",'قوائم الخامات والبنود والوحدات'!$C$23&amp;"")</f>
        <v/>
      </c>
      <c r="C71" s="8" t="str">
        <f>IF($B71="","",IF('قوائم الخامات والبنود والوحدات'!$D$23="","م²",'قوائم الخامات والبنود والوحدات'!$D$23))</f>
        <v/>
      </c>
      <c r="D71" s="15" t="str">
        <f t="shared" si="8"/>
        <v/>
      </c>
      <c r="E71" s="14" t="str">
        <f t="shared" si="9"/>
        <v/>
      </c>
      <c r="F71" s="14" t="str">
        <f t="shared" si="10"/>
        <v/>
      </c>
      <c r="G71" s="14" t="str">
        <f t="shared" si="11"/>
        <v/>
      </c>
      <c r="H71" s="14" t="str">
        <f t="shared" si="12"/>
        <v/>
      </c>
      <c r="I71" s="11"/>
      <c r="J71" s="12" t="str">
        <f t="shared" si="13"/>
        <v/>
      </c>
      <c r="K71" s="58"/>
      <c r="L71" s="59"/>
    </row>
    <row r="72" spans="1:12" x14ac:dyDescent="0.25">
      <c r="A72" s="33" t="s">
        <v>161</v>
      </c>
      <c r="B72" s="33" t="str">
        <f>IF('قوائم الخامات والبنود والوحدات'!$C$24="","",'قوائم الخامات والبنود والوحدات'!$C$24&amp;"")</f>
        <v/>
      </c>
      <c r="C72" s="8" t="str">
        <f>IF($B72="","",IF('قوائم الخامات والبنود والوحدات'!$D$24="","م²",'قوائم الخامات والبنود والوحدات'!$D$24))</f>
        <v/>
      </c>
      <c r="D72" s="15" t="str">
        <f t="shared" si="8"/>
        <v/>
      </c>
      <c r="E72" s="14" t="str">
        <f t="shared" si="9"/>
        <v/>
      </c>
      <c r="F72" s="14" t="str">
        <f t="shared" si="10"/>
        <v/>
      </c>
      <c r="G72" s="14" t="str">
        <f t="shared" si="11"/>
        <v/>
      </c>
      <c r="H72" s="14" t="str">
        <f t="shared" si="12"/>
        <v/>
      </c>
      <c r="I72" s="11"/>
      <c r="J72" s="12" t="str">
        <f t="shared" si="13"/>
        <v/>
      </c>
      <c r="K72" s="58"/>
      <c r="L72" s="59"/>
    </row>
    <row r="73" spans="1:12" x14ac:dyDescent="0.25">
      <c r="A73" s="33" t="s">
        <v>161</v>
      </c>
      <c r="B73" s="33" t="str">
        <f>IF('قوائم الخامات والبنود والوحدات'!$C$25="","",'قوائم الخامات والبنود والوحدات'!$C$25&amp;"")</f>
        <v/>
      </c>
      <c r="C73" s="8" t="str">
        <f>IF($B73="","",IF('قوائم الخامات والبنود والوحدات'!$D$25="","م²",'قوائم الخامات والبنود والوحدات'!$D$25))</f>
        <v/>
      </c>
      <c r="D73" s="15" t="str">
        <f t="shared" si="8"/>
        <v/>
      </c>
      <c r="E73" s="14" t="str">
        <f t="shared" si="9"/>
        <v/>
      </c>
      <c r="F73" s="14" t="str">
        <f t="shared" si="10"/>
        <v/>
      </c>
      <c r="G73" s="14" t="str">
        <f t="shared" si="11"/>
        <v/>
      </c>
      <c r="H73" s="14" t="str">
        <f t="shared" si="12"/>
        <v/>
      </c>
      <c r="I73" s="11"/>
      <c r="J73" s="12" t="str">
        <f t="shared" si="13"/>
        <v/>
      </c>
      <c r="K73" s="58"/>
      <c r="L73" s="59"/>
    </row>
    <row r="74" spans="1:12" x14ac:dyDescent="0.25">
      <c r="A74" s="33" t="s">
        <v>161</v>
      </c>
      <c r="B74" s="33" t="str">
        <f>IF('قوائم الخامات والبنود والوحدات'!$C$26="","",'قوائم الخامات والبنود والوحدات'!$C$26&amp;"")</f>
        <v/>
      </c>
      <c r="C74" s="8" t="str">
        <f>IF($B74="","",IF('قوائم الخامات والبنود والوحدات'!$D$26="","م²",'قوائم الخامات والبنود والوحدات'!$D$26))</f>
        <v/>
      </c>
      <c r="D74" s="15" t="str">
        <f t="shared" si="8"/>
        <v/>
      </c>
      <c r="E74" s="14" t="str">
        <f t="shared" si="9"/>
        <v/>
      </c>
      <c r="F74" s="14" t="str">
        <f t="shared" si="10"/>
        <v/>
      </c>
      <c r="G74" s="14" t="str">
        <f t="shared" si="11"/>
        <v/>
      </c>
      <c r="H74" s="14" t="str">
        <f t="shared" si="12"/>
        <v/>
      </c>
      <c r="I74" s="11"/>
      <c r="J74" s="12" t="str">
        <f t="shared" si="13"/>
        <v/>
      </c>
      <c r="K74" s="58"/>
      <c r="L74" s="59"/>
    </row>
    <row r="75" spans="1:12" x14ac:dyDescent="0.25">
      <c r="A75" s="33" t="s">
        <v>161</v>
      </c>
      <c r="B75" s="33" t="str">
        <f>IF('قوائم الخامات والبنود والوحدات'!$C$27="","",'قوائم الخامات والبنود والوحدات'!$C$27&amp;"")</f>
        <v/>
      </c>
      <c r="C75" s="8" t="str">
        <f>IF($B75="","",IF('قوائم الخامات والبنود والوحدات'!$D$27="","م²",'قوائم الخامات والبنود والوحدات'!$D$27))</f>
        <v/>
      </c>
      <c r="D75" s="15" t="str">
        <f t="shared" si="8"/>
        <v/>
      </c>
      <c r="E75" s="14" t="str">
        <f t="shared" si="9"/>
        <v/>
      </c>
      <c r="F75" s="14" t="str">
        <f t="shared" si="10"/>
        <v/>
      </c>
      <c r="G75" s="14" t="str">
        <f t="shared" si="11"/>
        <v/>
      </c>
      <c r="H75" s="14" t="str">
        <f t="shared" si="12"/>
        <v/>
      </c>
      <c r="I75" s="11"/>
      <c r="J75" s="12" t="str">
        <f t="shared" si="13"/>
        <v/>
      </c>
      <c r="K75" s="58"/>
      <c r="L75" s="59"/>
    </row>
    <row r="76" spans="1:12" x14ac:dyDescent="0.25">
      <c r="A76" s="33" t="s">
        <v>161</v>
      </c>
      <c r="B76" s="33" t="str">
        <f>IF('قوائم الخامات والبنود والوحدات'!$C$28="","",'قوائم الخامات والبنود والوحدات'!$C$28&amp;"")</f>
        <v/>
      </c>
      <c r="C76" s="8" t="str">
        <f>IF($B76="","",IF('قوائم الخامات والبنود والوحدات'!$D$28="","م²",'قوائم الخامات والبنود والوحدات'!$D$28))</f>
        <v/>
      </c>
      <c r="D76" s="15" t="str">
        <f t="shared" si="8"/>
        <v/>
      </c>
      <c r="E76" s="14" t="str">
        <f t="shared" si="9"/>
        <v/>
      </c>
      <c r="F76" s="14" t="str">
        <f t="shared" si="10"/>
        <v/>
      </c>
      <c r="G76" s="14" t="str">
        <f t="shared" si="11"/>
        <v/>
      </c>
      <c r="H76" s="14" t="str">
        <f t="shared" si="12"/>
        <v/>
      </c>
      <c r="I76" s="11"/>
      <c r="J76" s="12" t="str">
        <f t="shared" si="13"/>
        <v/>
      </c>
      <c r="K76" s="58"/>
      <c r="L76" s="59"/>
    </row>
    <row r="77" spans="1:12" x14ac:dyDescent="0.25">
      <c r="A77" s="33" t="s">
        <v>162</v>
      </c>
      <c r="B77" s="33" t="str">
        <f>IF('قوائم الخامات والبنود والوحدات'!$E$4="","",'قوائم الخامات والبنود والوحدات'!$E$4&amp;"")</f>
        <v>وزرات سيراميك</v>
      </c>
      <c r="C77" s="8" t="str">
        <f>IF($B77="","",IF('قوائم الخامات والبنود والوحدات'!$F$4="","م.ط",'قوائم الخامات والبنود والوحدات'!$F$4))</f>
        <v>م.ط</v>
      </c>
      <c r="D77" s="15">
        <f t="shared" ref="D77:D101" si="14">IF($B77="","",COUNTIF(LN_Mat,$B77))</f>
        <v>0</v>
      </c>
      <c r="E77" s="14">
        <f t="shared" ref="E77:E101" si="15">IF($B77="","",SUMIFS(LN_Gross,LN_Mat,$B77))</f>
        <v>0</v>
      </c>
      <c r="F77" s="14">
        <f t="shared" ref="F77:F101" si="16">IF($B77="","",SUMIFS(LN_Ded,LN_Mat,$B77))</f>
        <v>0</v>
      </c>
      <c r="G77" s="14">
        <f t="shared" ref="G77:G101" si="17">IF($B77="","",SUMIFS(LN_Net,LN_Mat,$B77))</f>
        <v>0</v>
      </c>
      <c r="H77" s="14" t="str">
        <f t="shared" ref="H77:H101" si="18">IF(OR($B77="",$B$24=""),"",SUMIFS(LN_Net,LN_Mat,$B77,LN_Space,$B$24))</f>
        <v/>
      </c>
      <c r="I77" s="11"/>
      <c r="J77" s="12" t="str">
        <f t="shared" si="13"/>
        <v/>
      </c>
      <c r="K77" s="58"/>
      <c r="L77" s="59"/>
    </row>
    <row r="78" spans="1:12" x14ac:dyDescent="0.25">
      <c r="A78" s="33" t="s">
        <v>162</v>
      </c>
      <c r="B78" s="33" t="str">
        <f>IF('قوائم الخامات والبنود والوحدات'!$E$5="","",'قوائم الخامات والبنود والوحدات'!$E$5&amp;"")</f>
        <v>وزرات بورسلين</v>
      </c>
      <c r="C78" s="8" t="str">
        <f>IF($B78="","",IF('قوائم الخامات والبنود والوحدات'!$F$5="","م.ط",'قوائم الخامات والبنود والوحدات'!$F$5))</f>
        <v>م.ط</v>
      </c>
      <c r="D78" s="15">
        <f t="shared" si="14"/>
        <v>0</v>
      </c>
      <c r="E78" s="14">
        <f t="shared" si="15"/>
        <v>0</v>
      </c>
      <c r="F78" s="14">
        <f t="shared" si="16"/>
        <v>0</v>
      </c>
      <c r="G78" s="14">
        <f t="shared" si="17"/>
        <v>0</v>
      </c>
      <c r="H78" s="14" t="str">
        <f t="shared" si="18"/>
        <v/>
      </c>
      <c r="I78" s="11"/>
      <c r="J78" s="12" t="str">
        <f t="shared" si="13"/>
        <v/>
      </c>
      <c r="K78" s="58"/>
      <c r="L78" s="59"/>
    </row>
    <row r="79" spans="1:12" x14ac:dyDescent="0.25">
      <c r="A79" s="33" t="s">
        <v>162</v>
      </c>
      <c r="B79" s="33" t="str">
        <f>IF('قوائم الخامات والبنود والوحدات'!$E$6="","",'قوائم الخامات والبنود والوحدات'!$E$6&amp;"")</f>
        <v>وزرات رخام</v>
      </c>
      <c r="C79" s="8" t="str">
        <f>IF($B79="","",IF('قوائم الخامات والبنود والوحدات'!$F$6="","م.ط",'قوائم الخامات والبنود والوحدات'!$F$6))</f>
        <v>م.ط</v>
      </c>
      <c r="D79" s="15">
        <f t="shared" si="14"/>
        <v>0</v>
      </c>
      <c r="E79" s="14">
        <f t="shared" si="15"/>
        <v>0</v>
      </c>
      <c r="F79" s="14">
        <f t="shared" si="16"/>
        <v>0</v>
      </c>
      <c r="G79" s="14">
        <f t="shared" si="17"/>
        <v>0</v>
      </c>
      <c r="H79" s="14" t="str">
        <f t="shared" si="18"/>
        <v/>
      </c>
      <c r="I79" s="11"/>
      <c r="J79" s="12" t="str">
        <f t="shared" si="13"/>
        <v/>
      </c>
      <c r="K79" s="58"/>
      <c r="L79" s="59"/>
    </row>
    <row r="80" spans="1:12" x14ac:dyDescent="0.25">
      <c r="A80" s="33" t="s">
        <v>162</v>
      </c>
      <c r="B80" s="33" t="str">
        <f>IF('قوائم الخامات والبنود والوحدات'!$E$7="","",'قوائم الخامات والبنود والوحدات'!$E$7&amp;"")</f>
        <v>وزرات جرانيت</v>
      </c>
      <c r="C80" s="8" t="str">
        <f>IF($B80="","",IF('قوائم الخامات والبنود والوحدات'!$F$7="","م.ط",'قوائم الخامات والبنود والوحدات'!$F$7))</f>
        <v>م.ط</v>
      </c>
      <c r="D80" s="15">
        <f t="shared" si="14"/>
        <v>0</v>
      </c>
      <c r="E80" s="14">
        <f t="shared" si="15"/>
        <v>0</v>
      </c>
      <c r="F80" s="14">
        <f t="shared" si="16"/>
        <v>0</v>
      </c>
      <c r="G80" s="14">
        <f t="shared" si="17"/>
        <v>0</v>
      </c>
      <c r="H80" s="14" t="str">
        <f t="shared" si="18"/>
        <v/>
      </c>
      <c r="I80" s="11"/>
      <c r="J80" s="12" t="str">
        <f t="shared" si="13"/>
        <v/>
      </c>
      <c r="K80" s="58"/>
      <c r="L80" s="59"/>
    </row>
    <row r="81" spans="1:12" x14ac:dyDescent="0.25">
      <c r="A81" s="33" t="s">
        <v>162</v>
      </c>
      <c r="B81" s="33" t="str">
        <f>IF('قوائم الخامات والبنود والوحدات'!$E$8="","",'قوائم الخامات والبنود والوحدات'!$E$8&amp;"")</f>
        <v>وزرات خشبية</v>
      </c>
      <c r="C81" s="8" t="str">
        <f>IF($B81="","",IF('قوائم الخامات والبنود والوحدات'!$F$8="","م.ط",'قوائم الخامات والبنود والوحدات'!$F$8))</f>
        <v>م.ط</v>
      </c>
      <c r="D81" s="15">
        <f t="shared" si="14"/>
        <v>0</v>
      </c>
      <c r="E81" s="14">
        <f t="shared" si="15"/>
        <v>0</v>
      </c>
      <c r="F81" s="14">
        <f t="shared" si="16"/>
        <v>0</v>
      </c>
      <c r="G81" s="14">
        <f t="shared" si="17"/>
        <v>0</v>
      </c>
      <c r="H81" s="14" t="str">
        <f t="shared" si="18"/>
        <v/>
      </c>
      <c r="I81" s="11"/>
      <c r="J81" s="12" t="str">
        <f t="shared" si="13"/>
        <v/>
      </c>
      <c r="K81" s="58"/>
      <c r="L81" s="59"/>
    </row>
    <row r="82" spans="1:12" x14ac:dyDescent="0.25">
      <c r="A82" s="33" t="s">
        <v>162</v>
      </c>
      <c r="B82" s="33" t="str">
        <f>IF('قوائم الخامات والبنود والوحدات'!$E$9="","",'قوائم الخامات والبنود والوحدات'!$E$9&amp;"")</f>
        <v>نعلات رخام</v>
      </c>
      <c r="C82" s="8" t="str">
        <f>IF($B82="","",IF('قوائم الخامات والبنود والوحدات'!$F$9="","م.ط",'قوائم الخامات والبنود والوحدات'!$F$9))</f>
        <v>م.ط</v>
      </c>
      <c r="D82" s="15">
        <f t="shared" si="14"/>
        <v>0</v>
      </c>
      <c r="E82" s="14">
        <f t="shared" si="15"/>
        <v>0</v>
      </c>
      <c r="F82" s="14">
        <f t="shared" si="16"/>
        <v>0</v>
      </c>
      <c r="G82" s="14">
        <f t="shared" si="17"/>
        <v>0</v>
      </c>
      <c r="H82" s="14" t="str">
        <f t="shared" si="18"/>
        <v/>
      </c>
      <c r="I82" s="11"/>
      <c r="J82" s="12" t="str">
        <f t="shared" si="13"/>
        <v/>
      </c>
      <c r="K82" s="58"/>
      <c r="L82" s="59"/>
    </row>
    <row r="83" spans="1:12" x14ac:dyDescent="0.25">
      <c r="A83" s="33" t="s">
        <v>162</v>
      </c>
      <c r="B83" s="33" t="str">
        <f>IF('قوائم الخامات والبنود والوحدات'!$E$10="","",'قوائم الخامات والبنود والوحدات'!$E$10&amp;"")</f>
        <v>نعلات جرانيت</v>
      </c>
      <c r="C83" s="8" t="str">
        <f>IF($B83="","",IF('قوائم الخامات والبنود والوحدات'!$F$10="","م.ط",'قوائم الخامات والبنود والوحدات'!$F$10))</f>
        <v>م.ط</v>
      </c>
      <c r="D83" s="15">
        <f t="shared" si="14"/>
        <v>0</v>
      </c>
      <c r="E83" s="14">
        <f t="shared" si="15"/>
        <v>0</v>
      </c>
      <c r="F83" s="14">
        <f t="shared" si="16"/>
        <v>0</v>
      </c>
      <c r="G83" s="14">
        <f t="shared" si="17"/>
        <v>0</v>
      </c>
      <c r="H83" s="14" t="str">
        <f t="shared" si="18"/>
        <v/>
      </c>
      <c r="I83" s="11"/>
      <c r="J83" s="12" t="str">
        <f t="shared" si="13"/>
        <v/>
      </c>
      <c r="K83" s="58"/>
      <c r="L83" s="59"/>
    </row>
    <row r="84" spans="1:12" x14ac:dyDescent="0.25">
      <c r="A84" s="33" t="s">
        <v>162</v>
      </c>
      <c r="B84" s="33" t="str">
        <f>IF('قوائم الخامات والبنود والوحدات'!$E$11="","",'قوائم الخامات والبنود والوحدات'!$E$11&amp;"")</f>
        <v>نعلات أخرى</v>
      </c>
      <c r="C84" s="8" t="str">
        <f>IF($B84="","",IF('قوائم الخامات والبنود والوحدات'!$F$11="","م.ط",'قوائم الخامات والبنود والوحدات'!$F$11))</f>
        <v>م.ط</v>
      </c>
      <c r="D84" s="15">
        <f t="shared" si="14"/>
        <v>0</v>
      </c>
      <c r="E84" s="14">
        <f t="shared" si="15"/>
        <v>0</v>
      </c>
      <c r="F84" s="14">
        <f t="shared" si="16"/>
        <v>0</v>
      </c>
      <c r="G84" s="14">
        <f t="shared" si="17"/>
        <v>0</v>
      </c>
      <c r="H84" s="14" t="str">
        <f t="shared" si="18"/>
        <v/>
      </c>
      <c r="I84" s="11"/>
      <c r="J84" s="12" t="str">
        <f t="shared" si="13"/>
        <v/>
      </c>
      <c r="K84" s="58"/>
      <c r="L84" s="59"/>
    </row>
    <row r="85" spans="1:12" x14ac:dyDescent="0.25">
      <c r="A85" s="33" t="s">
        <v>162</v>
      </c>
      <c r="B85" s="33" t="str">
        <f>IF('قوائم الخامات والبنود والوحدات'!$E$12="","",'قوائم الخامات والبنود والوحدات'!$E$12&amp;"")</f>
        <v>رخام كعنصر طولي</v>
      </c>
      <c r="C85" s="8" t="str">
        <f>IF($B85="","",IF('قوائم الخامات والبنود والوحدات'!$F$12="","م.ط",'قوائم الخامات والبنود والوحدات'!$F$12))</f>
        <v>م.ط</v>
      </c>
      <c r="D85" s="15">
        <f t="shared" si="14"/>
        <v>0</v>
      </c>
      <c r="E85" s="14">
        <f t="shared" si="15"/>
        <v>0</v>
      </c>
      <c r="F85" s="14">
        <f t="shared" si="16"/>
        <v>0</v>
      </c>
      <c r="G85" s="14">
        <f t="shared" si="17"/>
        <v>0</v>
      </c>
      <c r="H85" s="14" t="str">
        <f t="shared" si="18"/>
        <v/>
      </c>
      <c r="I85" s="11"/>
      <c r="J85" s="12" t="str">
        <f t="shared" si="13"/>
        <v/>
      </c>
      <c r="K85" s="58"/>
      <c r="L85" s="59"/>
    </row>
    <row r="86" spans="1:12" x14ac:dyDescent="0.25">
      <c r="A86" s="33" t="s">
        <v>162</v>
      </c>
      <c r="B86" s="33" t="str">
        <f>IF('قوائم الخامات والبنود والوحدات'!$E$13="","",'قوائم الخامات والبنود والوحدات'!$E$13&amp;"")</f>
        <v>فواصل انتقال بين الأرضيات</v>
      </c>
      <c r="C86" s="8" t="str">
        <f>IF($B86="","",IF('قوائم الخامات والبنود والوحدات'!$F$13="","م.ط",'قوائم الخامات والبنود والوحدات'!$F$13))</f>
        <v>م.ط</v>
      </c>
      <c r="D86" s="15">
        <f t="shared" si="14"/>
        <v>0</v>
      </c>
      <c r="E86" s="14">
        <f t="shared" si="15"/>
        <v>0</v>
      </c>
      <c r="F86" s="14">
        <f t="shared" si="16"/>
        <v>0</v>
      </c>
      <c r="G86" s="14">
        <f t="shared" si="17"/>
        <v>0</v>
      </c>
      <c r="H86" s="14" t="str">
        <f t="shared" si="18"/>
        <v/>
      </c>
      <c r="I86" s="11"/>
      <c r="J86" s="12" t="str">
        <f t="shared" si="13"/>
        <v/>
      </c>
      <c r="K86" s="58"/>
      <c r="L86" s="59"/>
    </row>
    <row r="87" spans="1:12" x14ac:dyDescent="0.25">
      <c r="A87" s="33" t="s">
        <v>162</v>
      </c>
      <c r="B87" s="33" t="str">
        <f>IF('قوائم الخامات والبنود والوحدات'!$E$14="","",'قوائم الخامات والبنود والوحدات'!$E$14&amp;"")</f>
        <v>شرائح ستانلس ستيل</v>
      </c>
      <c r="C87" s="8" t="str">
        <f>IF($B87="","",IF('قوائم الخامات والبنود والوحدات'!$F$14="","م.ط",'قوائم الخامات والبنود والوحدات'!$F$14))</f>
        <v>م.ط</v>
      </c>
      <c r="D87" s="15">
        <f t="shared" si="14"/>
        <v>0</v>
      </c>
      <c r="E87" s="14">
        <f t="shared" si="15"/>
        <v>0</v>
      </c>
      <c r="F87" s="14">
        <f t="shared" si="16"/>
        <v>0</v>
      </c>
      <c r="G87" s="14">
        <f t="shared" si="17"/>
        <v>0</v>
      </c>
      <c r="H87" s="14" t="str">
        <f t="shared" si="18"/>
        <v/>
      </c>
      <c r="I87" s="11"/>
      <c r="J87" s="12" t="str">
        <f t="shared" si="13"/>
        <v/>
      </c>
      <c r="K87" s="58"/>
      <c r="L87" s="59"/>
    </row>
    <row r="88" spans="1:12" x14ac:dyDescent="0.25">
      <c r="A88" s="33" t="s">
        <v>162</v>
      </c>
      <c r="B88" s="33" t="str">
        <f>IF('قوائم الخامات والبنود والوحدات'!$E$15="","",'قوائم الخامات والبنود والوحدات'!$E$15&amp;"")</f>
        <v>نائمة درج</v>
      </c>
      <c r="C88" s="8" t="str">
        <f>IF($B88="","",IF('قوائم الخامات والبنود والوحدات'!$F$15="","م.ط",'قوائم الخامات والبنود والوحدات'!$F$15))</f>
        <v>م.ط</v>
      </c>
      <c r="D88" s="15">
        <f t="shared" si="14"/>
        <v>0</v>
      </c>
      <c r="E88" s="14">
        <f t="shared" si="15"/>
        <v>0</v>
      </c>
      <c r="F88" s="14">
        <f t="shared" si="16"/>
        <v>0</v>
      </c>
      <c r="G88" s="14">
        <f t="shared" si="17"/>
        <v>0</v>
      </c>
      <c r="H88" s="14" t="str">
        <f t="shared" si="18"/>
        <v/>
      </c>
      <c r="I88" s="11"/>
      <c r="J88" s="12" t="str">
        <f t="shared" si="13"/>
        <v/>
      </c>
      <c r="K88" s="58"/>
      <c r="L88" s="59"/>
    </row>
    <row r="89" spans="1:12" x14ac:dyDescent="0.25">
      <c r="A89" s="33" t="s">
        <v>162</v>
      </c>
      <c r="B89" s="33" t="str">
        <f>IF('قوائم الخامات والبنود والوحدات'!$E$16="","",'قوائم الخامات والبنود والوحدات'!$E$16&amp;"")</f>
        <v>قائمة درج</v>
      </c>
      <c r="C89" s="8" t="str">
        <f>IF($B89="","",IF('قوائم الخامات والبنود والوحدات'!$F$16="","م.ط",'قوائم الخامات والبنود والوحدات'!$F$16))</f>
        <v>م.ط</v>
      </c>
      <c r="D89" s="15">
        <f t="shared" si="14"/>
        <v>0</v>
      </c>
      <c r="E89" s="14">
        <f t="shared" si="15"/>
        <v>0</v>
      </c>
      <c r="F89" s="14">
        <f t="shared" si="16"/>
        <v>0</v>
      </c>
      <c r="G89" s="14">
        <f t="shared" si="17"/>
        <v>0</v>
      </c>
      <c r="H89" s="14" t="str">
        <f t="shared" si="18"/>
        <v/>
      </c>
      <c r="I89" s="11"/>
      <c r="J89" s="12" t="str">
        <f t="shared" si="13"/>
        <v/>
      </c>
      <c r="K89" s="58"/>
      <c r="L89" s="59"/>
    </row>
    <row r="90" spans="1:12" x14ac:dyDescent="0.25">
      <c r="A90" s="33" t="s">
        <v>162</v>
      </c>
      <c r="B90" s="33" t="str">
        <f>IF('قوائم الخامات والبنود والوحدات'!$E$17="","",'قوائم الخامات والبنود والوحدات'!$E$17&amp;"")</f>
        <v>وزرة درج</v>
      </c>
      <c r="C90" s="8" t="str">
        <f>IF($B90="","",IF('قوائم الخامات والبنود والوحدات'!$F$17="","م.ط",'قوائم الخامات والبنود والوحدات'!$F$17))</f>
        <v>م.ط</v>
      </c>
      <c r="D90" s="15">
        <f t="shared" si="14"/>
        <v>0</v>
      </c>
      <c r="E90" s="14">
        <f t="shared" si="15"/>
        <v>0</v>
      </c>
      <c r="F90" s="14">
        <f t="shared" si="16"/>
        <v>0</v>
      </c>
      <c r="G90" s="14">
        <f t="shared" si="17"/>
        <v>0</v>
      </c>
      <c r="H90" s="14" t="str">
        <f t="shared" si="18"/>
        <v/>
      </c>
      <c r="I90" s="11"/>
      <c r="J90" s="12" t="str">
        <f t="shared" si="13"/>
        <v/>
      </c>
      <c r="K90" s="58"/>
      <c r="L90" s="59"/>
    </row>
    <row r="91" spans="1:12" x14ac:dyDescent="0.25">
      <c r="A91" s="33" t="s">
        <v>162</v>
      </c>
      <c r="B91" s="33" t="str">
        <f>IF('قوائم الخامات والبنود والوحدات'!$E$18="","",'قوائم الخامات والبنود والوحدات'!$E$18&amp;"")</f>
        <v>زوايا ستانلس للحوائط</v>
      </c>
      <c r="C91" s="8" t="str">
        <f>IF($B91="","",IF('قوائم الخامات والبنود والوحدات'!$F$18="","م.ط",'قوائم الخامات والبنود والوحدات'!$F$18))</f>
        <v>م.ط</v>
      </c>
      <c r="D91" s="15">
        <f t="shared" si="14"/>
        <v>0</v>
      </c>
      <c r="E91" s="14">
        <f t="shared" si="15"/>
        <v>0</v>
      </c>
      <c r="F91" s="14">
        <f t="shared" si="16"/>
        <v>0</v>
      </c>
      <c r="G91" s="14">
        <f t="shared" si="17"/>
        <v>0</v>
      </c>
      <c r="H91" s="14" t="str">
        <f t="shared" si="18"/>
        <v/>
      </c>
      <c r="I91" s="11"/>
      <c r="J91" s="12" t="str">
        <f t="shared" ref="J91:J122" si="19">IF(OR($B91="",I91=""),"",G91*I91)</f>
        <v/>
      </c>
      <c r="K91" s="58"/>
      <c r="L91" s="59"/>
    </row>
    <row r="92" spans="1:12" x14ac:dyDescent="0.25">
      <c r="A92" s="33" t="s">
        <v>162</v>
      </c>
      <c r="B92" s="33" t="str">
        <f>IF('قوائم الخامات والبنود والوحدات'!$E$19="","",'قوائم الخامات والبنود والوحدات'!$E$19&amp;"")</f>
        <v/>
      </c>
      <c r="C92" s="8" t="str">
        <f>IF($B92="","",IF('قوائم الخامات والبنود والوحدات'!$F$19="","م.ط",'قوائم الخامات والبنود والوحدات'!$F$19))</f>
        <v/>
      </c>
      <c r="D92" s="15" t="str">
        <f t="shared" si="14"/>
        <v/>
      </c>
      <c r="E92" s="14" t="str">
        <f t="shared" si="15"/>
        <v/>
      </c>
      <c r="F92" s="14" t="str">
        <f t="shared" si="16"/>
        <v/>
      </c>
      <c r="G92" s="14" t="str">
        <f t="shared" si="17"/>
        <v/>
      </c>
      <c r="H92" s="14" t="str">
        <f t="shared" si="18"/>
        <v/>
      </c>
      <c r="I92" s="11"/>
      <c r="J92" s="12" t="str">
        <f t="shared" si="19"/>
        <v/>
      </c>
      <c r="K92" s="58"/>
      <c r="L92" s="59"/>
    </row>
    <row r="93" spans="1:12" x14ac:dyDescent="0.25">
      <c r="A93" s="33" t="s">
        <v>162</v>
      </c>
      <c r="B93" s="33" t="str">
        <f>IF('قوائم الخامات والبنود والوحدات'!$E$20="","",'قوائم الخامات والبنود والوحدات'!$E$20&amp;"")</f>
        <v/>
      </c>
      <c r="C93" s="8" t="str">
        <f>IF($B93="","",IF('قوائم الخامات والبنود والوحدات'!$F$20="","م.ط",'قوائم الخامات والبنود والوحدات'!$F$20))</f>
        <v/>
      </c>
      <c r="D93" s="15" t="str">
        <f t="shared" si="14"/>
        <v/>
      </c>
      <c r="E93" s="14" t="str">
        <f t="shared" si="15"/>
        <v/>
      </c>
      <c r="F93" s="14" t="str">
        <f t="shared" si="16"/>
        <v/>
      </c>
      <c r="G93" s="14" t="str">
        <f t="shared" si="17"/>
        <v/>
      </c>
      <c r="H93" s="14" t="str">
        <f t="shared" si="18"/>
        <v/>
      </c>
      <c r="I93" s="11"/>
      <c r="J93" s="12" t="str">
        <f t="shared" si="19"/>
        <v/>
      </c>
      <c r="K93" s="58"/>
      <c r="L93" s="59"/>
    </row>
    <row r="94" spans="1:12" x14ac:dyDescent="0.25">
      <c r="A94" s="33" t="s">
        <v>162</v>
      </c>
      <c r="B94" s="33" t="str">
        <f>IF('قوائم الخامات والبنود والوحدات'!$E$21="","",'قوائم الخامات والبنود والوحدات'!$E$21&amp;"")</f>
        <v/>
      </c>
      <c r="C94" s="8" t="str">
        <f>IF($B94="","",IF('قوائم الخامات والبنود والوحدات'!$F$21="","م.ط",'قوائم الخامات والبنود والوحدات'!$F$21))</f>
        <v/>
      </c>
      <c r="D94" s="15" t="str">
        <f t="shared" si="14"/>
        <v/>
      </c>
      <c r="E94" s="14" t="str">
        <f t="shared" si="15"/>
        <v/>
      </c>
      <c r="F94" s="14" t="str">
        <f t="shared" si="16"/>
        <v/>
      </c>
      <c r="G94" s="14" t="str">
        <f t="shared" si="17"/>
        <v/>
      </c>
      <c r="H94" s="14" t="str">
        <f t="shared" si="18"/>
        <v/>
      </c>
      <c r="I94" s="11"/>
      <c r="J94" s="12" t="str">
        <f t="shared" si="19"/>
        <v/>
      </c>
      <c r="K94" s="58"/>
      <c r="L94" s="59"/>
    </row>
    <row r="95" spans="1:12" x14ac:dyDescent="0.25">
      <c r="A95" s="33" t="s">
        <v>162</v>
      </c>
      <c r="B95" s="33" t="str">
        <f>IF('قوائم الخامات والبنود والوحدات'!$E$22="","",'قوائم الخامات والبنود والوحدات'!$E$22&amp;"")</f>
        <v/>
      </c>
      <c r="C95" s="8" t="str">
        <f>IF($B95="","",IF('قوائم الخامات والبنود والوحدات'!$F$22="","م.ط",'قوائم الخامات والبنود والوحدات'!$F$22))</f>
        <v/>
      </c>
      <c r="D95" s="15" t="str">
        <f t="shared" si="14"/>
        <v/>
      </c>
      <c r="E95" s="14" t="str">
        <f t="shared" si="15"/>
        <v/>
      </c>
      <c r="F95" s="14" t="str">
        <f t="shared" si="16"/>
        <v/>
      </c>
      <c r="G95" s="14" t="str">
        <f t="shared" si="17"/>
        <v/>
      </c>
      <c r="H95" s="14" t="str">
        <f t="shared" si="18"/>
        <v/>
      </c>
      <c r="I95" s="11"/>
      <c r="J95" s="12" t="str">
        <f t="shared" si="19"/>
        <v/>
      </c>
      <c r="K95" s="58"/>
      <c r="L95" s="59"/>
    </row>
    <row r="96" spans="1:12" x14ac:dyDescent="0.25">
      <c r="A96" s="33" t="s">
        <v>162</v>
      </c>
      <c r="B96" s="33" t="str">
        <f>IF('قوائم الخامات والبنود والوحدات'!$E$23="","",'قوائم الخامات والبنود والوحدات'!$E$23&amp;"")</f>
        <v/>
      </c>
      <c r="C96" s="8" t="str">
        <f>IF($B96="","",IF('قوائم الخامات والبنود والوحدات'!$F$23="","م.ط",'قوائم الخامات والبنود والوحدات'!$F$23))</f>
        <v/>
      </c>
      <c r="D96" s="15" t="str">
        <f t="shared" si="14"/>
        <v/>
      </c>
      <c r="E96" s="14" t="str">
        <f t="shared" si="15"/>
        <v/>
      </c>
      <c r="F96" s="14" t="str">
        <f t="shared" si="16"/>
        <v/>
      </c>
      <c r="G96" s="14" t="str">
        <f t="shared" si="17"/>
        <v/>
      </c>
      <c r="H96" s="14" t="str">
        <f t="shared" si="18"/>
        <v/>
      </c>
      <c r="I96" s="11"/>
      <c r="J96" s="12" t="str">
        <f t="shared" si="19"/>
        <v/>
      </c>
      <c r="K96" s="58"/>
      <c r="L96" s="59"/>
    </row>
    <row r="97" spans="1:12" x14ac:dyDescent="0.25">
      <c r="A97" s="33" t="s">
        <v>162</v>
      </c>
      <c r="B97" s="33" t="str">
        <f>IF('قوائم الخامات والبنود والوحدات'!$E$24="","",'قوائم الخامات والبنود والوحدات'!$E$24&amp;"")</f>
        <v/>
      </c>
      <c r="C97" s="8" t="str">
        <f>IF($B97="","",IF('قوائم الخامات والبنود والوحدات'!$F$24="","م.ط",'قوائم الخامات والبنود والوحدات'!$F$24))</f>
        <v/>
      </c>
      <c r="D97" s="15" t="str">
        <f t="shared" si="14"/>
        <v/>
      </c>
      <c r="E97" s="14" t="str">
        <f t="shared" si="15"/>
        <v/>
      </c>
      <c r="F97" s="14" t="str">
        <f t="shared" si="16"/>
        <v/>
      </c>
      <c r="G97" s="14" t="str">
        <f t="shared" si="17"/>
        <v/>
      </c>
      <c r="H97" s="14" t="str">
        <f t="shared" si="18"/>
        <v/>
      </c>
      <c r="I97" s="11"/>
      <c r="J97" s="12" t="str">
        <f t="shared" si="19"/>
        <v/>
      </c>
      <c r="K97" s="58"/>
      <c r="L97" s="59"/>
    </row>
    <row r="98" spans="1:12" x14ac:dyDescent="0.25">
      <c r="A98" s="33" t="s">
        <v>162</v>
      </c>
      <c r="B98" s="33" t="str">
        <f>IF('قوائم الخامات والبنود والوحدات'!$E$25="","",'قوائم الخامات والبنود والوحدات'!$E$25&amp;"")</f>
        <v/>
      </c>
      <c r="C98" s="8" t="str">
        <f>IF($B98="","",IF('قوائم الخامات والبنود والوحدات'!$F$25="","م.ط",'قوائم الخامات والبنود والوحدات'!$F$25))</f>
        <v/>
      </c>
      <c r="D98" s="15" t="str">
        <f t="shared" si="14"/>
        <v/>
      </c>
      <c r="E98" s="14" t="str">
        <f t="shared" si="15"/>
        <v/>
      </c>
      <c r="F98" s="14" t="str">
        <f t="shared" si="16"/>
        <v/>
      </c>
      <c r="G98" s="14" t="str">
        <f t="shared" si="17"/>
        <v/>
      </c>
      <c r="H98" s="14" t="str">
        <f t="shared" si="18"/>
        <v/>
      </c>
      <c r="I98" s="11"/>
      <c r="J98" s="12" t="str">
        <f t="shared" si="19"/>
        <v/>
      </c>
      <c r="K98" s="58"/>
      <c r="L98" s="59"/>
    </row>
    <row r="99" spans="1:12" x14ac:dyDescent="0.25">
      <c r="A99" s="33" t="s">
        <v>162</v>
      </c>
      <c r="B99" s="33" t="str">
        <f>IF('قوائم الخامات والبنود والوحدات'!$E$26="","",'قوائم الخامات والبنود والوحدات'!$E$26&amp;"")</f>
        <v/>
      </c>
      <c r="C99" s="8" t="str">
        <f>IF($B99="","",IF('قوائم الخامات والبنود والوحدات'!$F$26="","م.ط",'قوائم الخامات والبنود والوحدات'!$F$26))</f>
        <v/>
      </c>
      <c r="D99" s="15" t="str">
        <f t="shared" si="14"/>
        <v/>
      </c>
      <c r="E99" s="14" t="str">
        <f t="shared" si="15"/>
        <v/>
      </c>
      <c r="F99" s="14" t="str">
        <f t="shared" si="16"/>
        <v/>
      </c>
      <c r="G99" s="14" t="str">
        <f t="shared" si="17"/>
        <v/>
      </c>
      <c r="H99" s="14" t="str">
        <f t="shared" si="18"/>
        <v/>
      </c>
      <c r="I99" s="11"/>
      <c r="J99" s="12" t="str">
        <f t="shared" si="19"/>
        <v/>
      </c>
      <c r="K99" s="58"/>
      <c r="L99" s="59"/>
    </row>
    <row r="100" spans="1:12" x14ac:dyDescent="0.25">
      <c r="A100" s="33" t="s">
        <v>162</v>
      </c>
      <c r="B100" s="33" t="str">
        <f>IF('قوائم الخامات والبنود والوحدات'!$E$27="","",'قوائم الخامات والبنود والوحدات'!$E$27&amp;"")</f>
        <v/>
      </c>
      <c r="C100" s="8" t="str">
        <f>IF($B100="","",IF('قوائم الخامات والبنود والوحدات'!$F$27="","م.ط",'قوائم الخامات والبنود والوحدات'!$F$27))</f>
        <v/>
      </c>
      <c r="D100" s="15" t="str">
        <f t="shared" si="14"/>
        <v/>
      </c>
      <c r="E100" s="14" t="str">
        <f t="shared" si="15"/>
        <v/>
      </c>
      <c r="F100" s="14" t="str">
        <f t="shared" si="16"/>
        <v/>
      </c>
      <c r="G100" s="14" t="str">
        <f t="shared" si="17"/>
        <v/>
      </c>
      <c r="H100" s="14" t="str">
        <f t="shared" si="18"/>
        <v/>
      </c>
      <c r="I100" s="11"/>
      <c r="J100" s="12" t="str">
        <f t="shared" si="19"/>
        <v/>
      </c>
      <c r="K100" s="58"/>
      <c r="L100" s="59"/>
    </row>
    <row r="101" spans="1:12" x14ac:dyDescent="0.25">
      <c r="A101" s="33" t="s">
        <v>162</v>
      </c>
      <c r="B101" s="33" t="str">
        <f>IF('قوائم الخامات والبنود والوحدات'!$E$28="","",'قوائم الخامات والبنود والوحدات'!$E$28&amp;"")</f>
        <v/>
      </c>
      <c r="C101" s="8" t="str">
        <f>IF($B101="","",IF('قوائم الخامات والبنود والوحدات'!$F$28="","م.ط",'قوائم الخامات والبنود والوحدات'!$F$28))</f>
        <v/>
      </c>
      <c r="D101" s="15" t="str">
        <f t="shared" si="14"/>
        <v/>
      </c>
      <c r="E101" s="14" t="str">
        <f t="shared" si="15"/>
        <v/>
      </c>
      <c r="F101" s="14" t="str">
        <f t="shared" si="16"/>
        <v/>
      </c>
      <c r="G101" s="14" t="str">
        <f t="shared" si="17"/>
        <v/>
      </c>
      <c r="H101" s="14" t="str">
        <f t="shared" si="18"/>
        <v/>
      </c>
      <c r="I101" s="11"/>
      <c r="J101" s="12" t="str">
        <f t="shared" si="19"/>
        <v/>
      </c>
      <c r="K101" s="58"/>
      <c r="L101" s="59"/>
    </row>
    <row r="102" spans="1:12" x14ac:dyDescent="0.25">
      <c r="A102" s="33" t="s">
        <v>163</v>
      </c>
      <c r="B102" s="33" t="str">
        <f>IF('قوائم الخامات والبنود والوحدات'!$G$4="","",'قوائم الخامات والبنود والوحدات'!$G$4&amp;"")</f>
        <v>دهانات أسقف</v>
      </c>
      <c r="C102" s="8" t="str">
        <f>IF($B102="","",IF('قوائم الخامات والبنود والوحدات'!$H$4="","م²",'قوائم الخامات والبنود والوحدات'!$H$4))</f>
        <v>م²</v>
      </c>
      <c r="D102" s="15">
        <f t="shared" ref="D102:D126" si="20">IF($B102="","",COUNTIF(CL_Mat,$B102))</f>
        <v>0</v>
      </c>
      <c r="E102" s="14">
        <f t="shared" ref="E102:E126" si="21">IF($B102="","",SUMIFS(CL_Gross,CL_Mat,$B102))</f>
        <v>0</v>
      </c>
      <c r="F102" s="14">
        <f t="shared" ref="F102:F126" si="22">IF($B102="","",0)</f>
        <v>0</v>
      </c>
      <c r="G102" s="14">
        <f t="shared" ref="G102:G126" si="23">IF($B102="","",SUMIFS(CL_Net,CL_Mat,$B102))</f>
        <v>0</v>
      </c>
      <c r="H102" s="14" t="str">
        <f t="shared" ref="H102:H126" si="24">IF(OR($B102="",$B$24=""),"",SUMIFS(CL_Net,CL_Mat,$B102,CL_Space,$B$24))</f>
        <v/>
      </c>
      <c r="I102" s="11"/>
      <c r="J102" s="12" t="str">
        <f t="shared" si="19"/>
        <v/>
      </c>
      <c r="K102" s="58"/>
      <c r="L102" s="59"/>
    </row>
    <row r="103" spans="1:12" x14ac:dyDescent="0.25">
      <c r="A103" s="33" t="s">
        <v>163</v>
      </c>
      <c r="B103" s="33" t="str">
        <f>IF('قوائم الخامات والبنود والوحدات'!$G$5="","",'قوائم الخامات والبنود والوحدات'!$G$5&amp;"")</f>
        <v>سقف جبس بورد</v>
      </c>
      <c r="C103" s="8" t="str">
        <f>IF($B103="","",IF('قوائم الخامات والبنود والوحدات'!$H$5="","م²",'قوائم الخامات والبنود والوحدات'!$H$5))</f>
        <v>م²</v>
      </c>
      <c r="D103" s="15">
        <f t="shared" si="20"/>
        <v>0</v>
      </c>
      <c r="E103" s="14">
        <f t="shared" si="21"/>
        <v>0</v>
      </c>
      <c r="F103" s="14">
        <f t="shared" si="22"/>
        <v>0</v>
      </c>
      <c r="G103" s="14">
        <f t="shared" si="23"/>
        <v>0</v>
      </c>
      <c r="H103" s="14" t="str">
        <f t="shared" si="24"/>
        <v/>
      </c>
      <c r="I103" s="11"/>
      <c r="J103" s="12" t="str">
        <f t="shared" si="19"/>
        <v/>
      </c>
      <c r="K103" s="58"/>
      <c r="L103" s="59"/>
    </row>
    <row r="104" spans="1:12" x14ac:dyDescent="0.25">
      <c r="A104" s="33" t="s">
        <v>163</v>
      </c>
      <c r="B104" s="33" t="str">
        <f>IF('قوائم الخامات والبنود والوحدات'!$G$6="","",'قوائم الخامات والبنود والوحدات'!$G$6&amp;"")</f>
        <v>سقف جبسي</v>
      </c>
      <c r="C104" s="8" t="str">
        <f>IF($B104="","",IF('قوائم الخامات والبنود والوحدات'!$H$6="","م²",'قوائم الخامات والبنود والوحدات'!$H$6))</f>
        <v>م²</v>
      </c>
      <c r="D104" s="15">
        <f t="shared" si="20"/>
        <v>0</v>
      </c>
      <c r="E104" s="14">
        <f t="shared" si="21"/>
        <v>0</v>
      </c>
      <c r="F104" s="14">
        <f t="shared" si="22"/>
        <v>0</v>
      </c>
      <c r="G104" s="14">
        <f t="shared" si="23"/>
        <v>0</v>
      </c>
      <c r="H104" s="14" t="str">
        <f t="shared" si="24"/>
        <v/>
      </c>
      <c r="I104" s="11"/>
      <c r="J104" s="12" t="str">
        <f t="shared" si="19"/>
        <v/>
      </c>
      <c r="K104" s="58"/>
      <c r="L104" s="59"/>
    </row>
    <row r="105" spans="1:12" x14ac:dyDescent="0.25">
      <c r="A105" s="33" t="s">
        <v>163</v>
      </c>
      <c r="B105" s="33" t="str">
        <f>IF('قوائم الخامات والبنود والوحدات'!$G$7="","",'قوائم الخامات والبنود والوحدات'!$G$7&amp;"")</f>
        <v>بلاطات معلقة</v>
      </c>
      <c r="C105" s="8" t="str">
        <f>IF($B105="","",IF('قوائم الخامات والبنود والوحدات'!$H$7="","م²",'قوائم الخامات والبنود والوحدات'!$H$7))</f>
        <v>م²</v>
      </c>
      <c r="D105" s="15">
        <f t="shared" si="20"/>
        <v>0</v>
      </c>
      <c r="E105" s="14">
        <f t="shared" si="21"/>
        <v>0</v>
      </c>
      <c r="F105" s="14">
        <f t="shared" si="22"/>
        <v>0</v>
      </c>
      <c r="G105" s="14">
        <f t="shared" si="23"/>
        <v>0</v>
      </c>
      <c r="H105" s="14" t="str">
        <f t="shared" si="24"/>
        <v/>
      </c>
      <c r="I105" s="11"/>
      <c r="J105" s="12" t="str">
        <f t="shared" si="19"/>
        <v/>
      </c>
      <c r="K105" s="58"/>
      <c r="L105" s="59"/>
    </row>
    <row r="106" spans="1:12" x14ac:dyDescent="0.25">
      <c r="A106" s="33" t="s">
        <v>163</v>
      </c>
      <c r="B106" s="33" t="str">
        <f>IF('قوائم الخامات والبنود والوحدات'!$G$8="","",'قوائم الخامات والبنود والوحدات'!$G$8&amp;"")</f>
        <v>سقف معدني</v>
      </c>
      <c r="C106" s="8" t="str">
        <f>IF($B106="","",IF('قوائم الخامات والبنود والوحدات'!$H$8="","م²",'قوائم الخامات والبنود والوحدات'!$H$8))</f>
        <v>م²</v>
      </c>
      <c r="D106" s="15">
        <f t="shared" si="20"/>
        <v>0</v>
      </c>
      <c r="E106" s="14">
        <f t="shared" si="21"/>
        <v>0</v>
      </c>
      <c r="F106" s="14">
        <f t="shared" si="22"/>
        <v>0</v>
      </c>
      <c r="G106" s="14">
        <f t="shared" si="23"/>
        <v>0</v>
      </c>
      <c r="H106" s="14" t="str">
        <f t="shared" si="24"/>
        <v/>
      </c>
      <c r="I106" s="11"/>
      <c r="J106" s="12" t="str">
        <f t="shared" si="19"/>
        <v/>
      </c>
      <c r="K106" s="58"/>
      <c r="L106" s="59"/>
    </row>
    <row r="107" spans="1:12" x14ac:dyDescent="0.25">
      <c r="A107" s="33" t="s">
        <v>163</v>
      </c>
      <c r="B107" s="33" t="str">
        <f>IF('قوائم الخامات والبنود والوحدات'!$G$9="","",'قوائم الخامات والبنود والوحدات'!$G$9&amp;"")</f>
        <v>كسوات سقفية أخرى</v>
      </c>
      <c r="C107" s="8" t="str">
        <f>IF($B107="","",IF('قوائم الخامات والبنود والوحدات'!$H$9="","م²",'قوائم الخامات والبنود والوحدات'!$H$9))</f>
        <v>م²</v>
      </c>
      <c r="D107" s="15">
        <f t="shared" si="20"/>
        <v>0</v>
      </c>
      <c r="E107" s="14">
        <f t="shared" si="21"/>
        <v>0</v>
      </c>
      <c r="F107" s="14">
        <f t="shared" si="22"/>
        <v>0</v>
      </c>
      <c r="G107" s="14">
        <f t="shared" si="23"/>
        <v>0</v>
      </c>
      <c r="H107" s="14" t="str">
        <f t="shared" si="24"/>
        <v/>
      </c>
      <c r="I107" s="11"/>
      <c r="J107" s="12" t="str">
        <f t="shared" si="19"/>
        <v/>
      </c>
      <c r="K107" s="58"/>
      <c r="L107" s="59"/>
    </row>
    <row r="108" spans="1:12" x14ac:dyDescent="0.25">
      <c r="A108" s="33" t="s">
        <v>163</v>
      </c>
      <c r="B108" s="33" t="str">
        <f>IF('قوائم الخامات والبنود والوحدات'!$G$10="","",'قوائم الخامات والبنود والوحدات'!$G$10&amp;"")</f>
        <v/>
      </c>
      <c r="C108" s="8" t="str">
        <f>IF($B108="","",IF('قوائم الخامات والبنود والوحدات'!$H$10="","م²",'قوائم الخامات والبنود والوحدات'!$H$10))</f>
        <v/>
      </c>
      <c r="D108" s="15" t="str">
        <f t="shared" si="20"/>
        <v/>
      </c>
      <c r="E108" s="14" t="str">
        <f t="shared" si="21"/>
        <v/>
      </c>
      <c r="F108" s="14" t="str">
        <f t="shared" si="22"/>
        <v/>
      </c>
      <c r="G108" s="14" t="str">
        <f t="shared" si="23"/>
        <v/>
      </c>
      <c r="H108" s="14" t="str">
        <f t="shared" si="24"/>
        <v/>
      </c>
      <c r="I108" s="11"/>
      <c r="J108" s="12" t="str">
        <f t="shared" si="19"/>
        <v/>
      </c>
      <c r="K108" s="58"/>
      <c r="L108" s="59"/>
    </row>
    <row r="109" spans="1:12" x14ac:dyDescent="0.25">
      <c r="A109" s="33" t="s">
        <v>163</v>
      </c>
      <c r="B109" s="33" t="str">
        <f>IF('قوائم الخامات والبنود والوحدات'!$G$11="","",'قوائم الخامات والبنود والوحدات'!$G$11&amp;"")</f>
        <v/>
      </c>
      <c r="C109" s="8" t="str">
        <f>IF($B109="","",IF('قوائم الخامات والبنود والوحدات'!$H$11="","م²",'قوائم الخامات والبنود والوحدات'!$H$11))</f>
        <v/>
      </c>
      <c r="D109" s="15" t="str">
        <f t="shared" si="20"/>
        <v/>
      </c>
      <c r="E109" s="14" t="str">
        <f t="shared" si="21"/>
        <v/>
      </c>
      <c r="F109" s="14" t="str">
        <f t="shared" si="22"/>
        <v/>
      </c>
      <c r="G109" s="14" t="str">
        <f t="shared" si="23"/>
        <v/>
      </c>
      <c r="H109" s="14" t="str">
        <f t="shared" si="24"/>
        <v/>
      </c>
      <c r="I109" s="11"/>
      <c r="J109" s="12" t="str">
        <f t="shared" si="19"/>
        <v/>
      </c>
      <c r="K109" s="58"/>
      <c r="L109" s="59"/>
    </row>
    <row r="110" spans="1:12" x14ac:dyDescent="0.25">
      <c r="A110" s="33" t="s">
        <v>163</v>
      </c>
      <c r="B110" s="33" t="str">
        <f>IF('قوائم الخامات والبنود والوحدات'!$G$12="","",'قوائم الخامات والبنود والوحدات'!$G$12&amp;"")</f>
        <v/>
      </c>
      <c r="C110" s="8" t="str">
        <f>IF($B110="","",IF('قوائم الخامات والبنود والوحدات'!$H$12="","م²",'قوائم الخامات والبنود والوحدات'!$H$12))</f>
        <v/>
      </c>
      <c r="D110" s="15" t="str">
        <f t="shared" si="20"/>
        <v/>
      </c>
      <c r="E110" s="14" t="str">
        <f t="shared" si="21"/>
        <v/>
      </c>
      <c r="F110" s="14" t="str">
        <f t="shared" si="22"/>
        <v/>
      </c>
      <c r="G110" s="14" t="str">
        <f t="shared" si="23"/>
        <v/>
      </c>
      <c r="H110" s="14" t="str">
        <f t="shared" si="24"/>
        <v/>
      </c>
      <c r="I110" s="11"/>
      <c r="J110" s="12" t="str">
        <f t="shared" si="19"/>
        <v/>
      </c>
      <c r="K110" s="58"/>
      <c r="L110" s="59"/>
    </row>
    <row r="111" spans="1:12" x14ac:dyDescent="0.25">
      <c r="A111" s="33" t="s">
        <v>163</v>
      </c>
      <c r="B111" s="33" t="str">
        <f>IF('قوائم الخامات والبنود والوحدات'!$G$13="","",'قوائم الخامات والبنود والوحدات'!$G$13&amp;"")</f>
        <v/>
      </c>
      <c r="C111" s="8" t="str">
        <f>IF($B111="","",IF('قوائم الخامات والبنود والوحدات'!$H$13="","م²",'قوائم الخامات والبنود والوحدات'!$H$13))</f>
        <v/>
      </c>
      <c r="D111" s="15" t="str">
        <f t="shared" si="20"/>
        <v/>
      </c>
      <c r="E111" s="14" t="str">
        <f t="shared" si="21"/>
        <v/>
      </c>
      <c r="F111" s="14" t="str">
        <f t="shared" si="22"/>
        <v/>
      </c>
      <c r="G111" s="14" t="str">
        <f t="shared" si="23"/>
        <v/>
      </c>
      <c r="H111" s="14" t="str">
        <f t="shared" si="24"/>
        <v/>
      </c>
      <c r="I111" s="11"/>
      <c r="J111" s="12" t="str">
        <f t="shared" si="19"/>
        <v/>
      </c>
      <c r="K111" s="58"/>
      <c r="L111" s="59"/>
    </row>
    <row r="112" spans="1:12" x14ac:dyDescent="0.25">
      <c r="A112" s="33" t="s">
        <v>163</v>
      </c>
      <c r="B112" s="33" t="str">
        <f>IF('قوائم الخامات والبنود والوحدات'!$G$14="","",'قوائم الخامات والبنود والوحدات'!$G$14&amp;"")</f>
        <v/>
      </c>
      <c r="C112" s="8" t="str">
        <f>IF($B112="","",IF('قوائم الخامات والبنود والوحدات'!$H$14="","م²",'قوائم الخامات والبنود والوحدات'!$H$14))</f>
        <v/>
      </c>
      <c r="D112" s="15" t="str">
        <f t="shared" si="20"/>
        <v/>
      </c>
      <c r="E112" s="14" t="str">
        <f t="shared" si="21"/>
        <v/>
      </c>
      <c r="F112" s="14" t="str">
        <f t="shared" si="22"/>
        <v/>
      </c>
      <c r="G112" s="14" t="str">
        <f t="shared" si="23"/>
        <v/>
      </c>
      <c r="H112" s="14" t="str">
        <f t="shared" si="24"/>
        <v/>
      </c>
      <c r="I112" s="11"/>
      <c r="J112" s="12" t="str">
        <f t="shared" si="19"/>
        <v/>
      </c>
      <c r="K112" s="58"/>
      <c r="L112" s="59"/>
    </row>
    <row r="113" spans="1:12" x14ac:dyDescent="0.25">
      <c r="A113" s="33" t="s">
        <v>163</v>
      </c>
      <c r="B113" s="33" t="str">
        <f>IF('قوائم الخامات والبنود والوحدات'!$G$15="","",'قوائم الخامات والبنود والوحدات'!$G$15&amp;"")</f>
        <v/>
      </c>
      <c r="C113" s="8" t="str">
        <f>IF($B113="","",IF('قوائم الخامات والبنود والوحدات'!$H$15="","م²",'قوائم الخامات والبنود والوحدات'!$H$15))</f>
        <v/>
      </c>
      <c r="D113" s="15" t="str">
        <f t="shared" si="20"/>
        <v/>
      </c>
      <c r="E113" s="14" t="str">
        <f t="shared" si="21"/>
        <v/>
      </c>
      <c r="F113" s="14" t="str">
        <f t="shared" si="22"/>
        <v/>
      </c>
      <c r="G113" s="14" t="str">
        <f t="shared" si="23"/>
        <v/>
      </c>
      <c r="H113" s="14" t="str">
        <f t="shared" si="24"/>
        <v/>
      </c>
      <c r="I113" s="11"/>
      <c r="J113" s="12" t="str">
        <f t="shared" si="19"/>
        <v/>
      </c>
      <c r="K113" s="58"/>
      <c r="L113" s="59"/>
    </row>
    <row r="114" spans="1:12" x14ac:dyDescent="0.25">
      <c r="A114" s="33" t="s">
        <v>163</v>
      </c>
      <c r="B114" s="33" t="str">
        <f>IF('قوائم الخامات والبنود والوحدات'!$G$16="","",'قوائم الخامات والبنود والوحدات'!$G$16&amp;"")</f>
        <v/>
      </c>
      <c r="C114" s="8" t="str">
        <f>IF($B114="","",IF('قوائم الخامات والبنود والوحدات'!$H$16="","م²",'قوائم الخامات والبنود والوحدات'!$H$16))</f>
        <v/>
      </c>
      <c r="D114" s="15" t="str">
        <f t="shared" si="20"/>
        <v/>
      </c>
      <c r="E114" s="14" t="str">
        <f t="shared" si="21"/>
        <v/>
      </c>
      <c r="F114" s="14" t="str">
        <f t="shared" si="22"/>
        <v/>
      </c>
      <c r="G114" s="14" t="str">
        <f t="shared" si="23"/>
        <v/>
      </c>
      <c r="H114" s="14" t="str">
        <f t="shared" si="24"/>
        <v/>
      </c>
      <c r="I114" s="11"/>
      <c r="J114" s="12" t="str">
        <f t="shared" si="19"/>
        <v/>
      </c>
      <c r="K114" s="58"/>
      <c r="L114" s="59"/>
    </row>
    <row r="115" spans="1:12" x14ac:dyDescent="0.25">
      <c r="A115" s="33" t="s">
        <v>163</v>
      </c>
      <c r="B115" s="33" t="str">
        <f>IF('قوائم الخامات والبنود والوحدات'!$G$17="","",'قوائم الخامات والبنود والوحدات'!$G$17&amp;"")</f>
        <v/>
      </c>
      <c r="C115" s="8" t="str">
        <f>IF($B115="","",IF('قوائم الخامات والبنود والوحدات'!$H$17="","م²",'قوائم الخامات والبنود والوحدات'!$H$17))</f>
        <v/>
      </c>
      <c r="D115" s="15" t="str">
        <f t="shared" si="20"/>
        <v/>
      </c>
      <c r="E115" s="14" t="str">
        <f t="shared" si="21"/>
        <v/>
      </c>
      <c r="F115" s="14" t="str">
        <f t="shared" si="22"/>
        <v/>
      </c>
      <c r="G115" s="14" t="str">
        <f t="shared" si="23"/>
        <v/>
      </c>
      <c r="H115" s="14" t="str">
        <f t="shared" si="24"/>
        <v/>
      </c>
      <c r="I115" s="11"/>
      <c r="J115" s="12" t="str">
        <f t="shared" si="19"/>
        <v/>
      </c>
      <c r="K115" s="58"/>
      <c r="L115" s="59"/>
    </row>
    <row r="116" spans="1:12" x14ac:dyDescent="0.25">
      <c r="A116" s="33" t="s">
        <v>163</v>
      </c>
      <c r="B116" s="33" t="str">
        <f>IF('قوائم الخامات والبنود والوحدات'!$G$18="","",'قوائم الخامات والبنود والوحدات'!$G$18&amp;"")</f>
        <v/>
      </c>
      <c r="C116" s="8" t="str">
        <f>IF($B116="","",IF('قوائم الخامات والبنود والوحدات'!$H$18="","م²",'قوائم الخامات والبنود والوحدات'!$H$18))</f>
        <v/>
      </c>
      <c r="D116" s="15" t="str">
        <f t="shared" si="20"/>
        <v/>
      </c>
      <c r="E116" s="14" t="str">
        <f t="shared" si="21"/>
        <v/>
      </c>
      <c r="F116" s="14" t="str">
        <f t="shared" si="22"/>
        <v/>
      </c>
      <c r="G116" s="14" t="str">
        <f t="shared" si="23"/>
        <v/>
      </c>
      <c r="H116" s="14" t="str">
        <f t="shared" si="24"/>
        <v/>
      </c>
      <c r="I116" s="11"/>
      <c r="J116" s="12" t="str">
        <f t="shared" si="19"/>
        <v/>
      </c>
      <c r="K116" s="58"/>
      <c r="L116" s="59"/>
    </row>
    <row r="117" spans="1:12" x14ac:dyDescent="0.25">
      <c r="A117" s="33" t="s">
        <v>163</v>
      </c>
      <c r="B117" s="33" t="str">
        <f>IF('قوائم الخامات والبنود والوحدات'!$G$19="","",'قوائم الخامات والبنود والوحدات'!$G$19&amp;"")</f>
        <v/>
      </c>
      <c r="C117" s="8" t="str">
        <f>IF($B117="","",IF('قوائم الخامات والبنود والوحدات'!$H$19="","م²",'قوائم الخامات والبنود والوحدات'!$H$19))</f>
        <v/>
      </c>
      <c r="D117" s="15" t="str">
        <f t="shared" si="20"/>
        <v/>
      </c>
      <c r="E117" s="14" t="str">
        <f t="shared" si="21"/>
        <v/>
      </c>
      <c r="F117" s="14" t="str">
        <f t="shared" si="22"/>
        <v/>
      </c>
      <c r="G117" s="14" t="str">
        <f t="shared" si="23"/>
        <v/>
      </c>
      <c r="H117" s="14" t="str">
        <f t="shared" si="24"/>
        <v/>
      </c>
      <c r="I117" s="11"/>
      <c r="J117" s="12" t="str">
        <f t="shared" si="19"/>
        <v/>
      </c>
      <c r="K117" s="58"/>
      <c r="L117" s="59"/>
    </row>
    <row r="118" spans="1:12" x14ac:dyDescent="0.25">
      <c r="A118" s="33" t="s">
        <v>163</v>
      </c>
      <c r="B118" s="33" t="str">
        <f>IF('قوائم الخامات والبنود والوحدات'!$G$20="","",'قوائم الخامات والبنود والوحدات'!$G$20&amp;"")</f>
        <v/>
      </c>
      <c r="C118" s="8" t="str">
        <f>IF($B118="","",IF('قوائم الخامات والبنود والوحدات'!$H$20="","م²",'قوائم الخامات والبنود والوحدات'!$H$20))</f>
        <v/>
      </c>
      <c r="D118" s="15" t="str">
        <f t="shared" si="20"/>
        <v/>
      </c>
      <c r="E118" s="14" t="str">
        <f t="shared" si="21"/>
        <v/>
      </c>
      <c r="F118" s="14" t="str">
        <f t="shared" si="22"/>
        <v/>
      </c>
      <c r="G118" s="14" t="str">
        <f t="shared" si="23"/>
        <v/>
      </c>
      <c r="H118" s="14" t="str">
        <f t="shared" si="24"/>
        <v/>
      </c>
      <c r="I118" s="11"/>
      <c r="J118" s="12" t="str">
        <f t="shared" si="19"/>
        <v/>
      </c>
      <c r="K118" s="58"/>
      <c r="L118" s="59"/>
    </row>
    <row r="119" spans="1:12" x14ac:dyDescent="0.25">
      <c r="A119" s="33" t="s">
        <v>163</v>
      </c>
      <c r="B119" s="33" t="str">
        <f>IF('قوائم الخامات والبنود والوحدات'!$G$21="","",'قوائم الخامات والبنود والوحدات'!$G$21&amp;"")</f>
        <v/>
      </c>
      <c r="C119" s="8" t="str">
        <f>IF($B119="","",IF('قوائم الخامات والبنود والوحدات'!$H$21="","م²",'قوائم الخامات والبنود والوحدات'!$H$21))</f>
        <v/>
      </c>
      <c r="D119" s="15" t="str">
        <f t="shared" si="20"/>
        <v/>
      </c>
      <c r="E119" s="14" t="str">
        <f t="shared" si="21"/>
        <v/>
      </c>
      <c r="F119" s="14" t="str">
        <f t="shared" si="22"/>
        <v/>
      </c>
      <c r="G119" s="14" t="str">
        <f t="shared" si="23"/>
        <v/>
      </c>
      <c r="H119" s="14" t="str">
        <f t="shared" si="24"/>
        <v/>
      </c>
      <c r="I119" s="11"/>
      <c r="J119" s="12" t="str">
        <f t="shared" si="19"/>
        <v/>
      </c>
      <c r="K119" s="58"/>
      <c r="L119" s="59"/>
    </row>
    <row r="120" spans="1:12" x14ac:dyDescent="0.25">
      <c r="A120" s="33" t="s">
        <v>163</v>
      </c>
      <c r="B120" s="33" t="str">
        <f>IF('قوائم الخامات والبنود والوحدات'!$G$22="","",'قوائم الخامات والبنود والوحدات'!$G$22&amp;"")</f>
        <v/>
      </c>
      <c r="C120" s="8" t="str">
        <f>IF($B120="","",IF('قوائم الخامات والبنود والوحدات'!$H$22="","م²",'قوائم الخامات والبنود والوحدات'!$H$22))</f>
        <v/>
      </c>
      <c r="D120" s="15" t="str">
        <f t="shared" si="20"/>
        <v/>
      </c>
      <c r="E120" s="14" t="str">
        <f t="shared" si="21"/>
        <v/>
      </c>
      <c r="F120" s="14" t="str">
        <f t="shared" si="22"/>
        <v/>
      </c>
      <c r="G120" s="14" t="str">
        <f t="shared" si="23"/>
        <v/>
      </c>
      <c r="H120" s="14" t="str">
        <f t="shared" si="24"/>
        <v/>
      </c>
      <c r="I120" s="11"/>
      <c r="J120" s="12" t="str">
        <f t="shared" si="19"/>
        <v/>
      </c>
      <c r="K120" s="58"/>
      <c r="L120" s="59"/>
    </row>
    <row r="121" spans="1:12" x14ac:dyDescent="0.25">
      <c r="A121" s="33" t="s">
        <v>163</v>
      </c>
      <c r="B121" s="33" t="str">
        <f>IF('قوائم الخامات والبنود والوحدات'!$G$23="","",'قوائم الخامات والبنود والوحدات'!$G$23&amp;"")</f>
        <v/>
      </c>
      <c r="C121" s="8" t="str">
        <f>IF($B121="","",IF('قوائم الخامات والبنود والوحدات'!$H$23="","م²",'قوائم الخامات والبنود والوحدات'!$H$23))</f>
        <v/>
      </c>
      <c r="D121" s="15" t="str">
        <f t="shared" si="20"/>
        <v/>
      </c>
      <c r="E121" s="14" t="str">
        <f t="shared" si="21"/>
        <v/>
      </c>
      <c r="F121" s="14" t="str">
        <f t="shared" si="22"/>
        <v/>
      </c>
      <c r="G121" s="14" t="str">
        <f t="shared" si="23"/>
        <v/>
      </c>
      <c r="H121" s="14" t="str">
        <f t="shared" si="24"/>
        <v/>
      </c>
      <c r="I121" s="11"/>
      <c r="J121" s="12" t="str">
        <f t="shared" si="19"/>
        <v/>
      </c>
      <c r="K121" s="58"/>
      <c r="L121" s="59"/>
    </row>
    <row r="122" spans="1:12" x14ac:dyDescent="0.25">
      <c r="A122" s="33" t="s">
        <v>163</v>
      </c>
      <c r="B122" s="33" t="str">
        <f>IF('قوائم الخامات والبنود والوحدات'!$G$24="","",'قوائم الخامات والبنود والوحدات'!$G$24&amp;"")</f>
        <v/>
      </c>
      <c r="C122" s="8" t="str">
        <f>IF($B122="","",IF('قوائم الخامات والبنود والوحدات'!$H$24="","م²",'قوائم الخامات والبنود والوحدات'!$H$24))</f>
        <v/>
      </c>
      <c r="D122" s="15" t="str">
        <f t="shared" si="20"/>
        <v/>
      </c>
      <c r="E122" s="14" t="str">
        <f t="shared" si="21"/>
        <v/>
      </c>
      <c r="F122" s="14" t="str">
        <f t="shared" si="22"/>
        <v/>
      </c>
      <c r="G122" s="14" t="str">
        <f t="shared" si="23"/>
        <v/>
      </c>
      <c r="H122" s="14" t="str">
        <f t="shared" si="24"/>
        <v/>
      </c>
      <c r="I122" s="11"/>
      <c r="J122" s="12" t="str">
        <f t="shared" si="19"/>
        <v/>
      </c>
      <c r="K122" s="58"/>
      <c r="L122" s="59"/>
    </row>
    <row r="123" spans="1:12" x14ac:dyDescent="0.25">
      <c r="A123" s="33" t="s">
        <v>163</v>
      </c>
      <c r="B123" s="33" t="str">
        <f>IF('قوائم الخامات والبنود والوحدات'!$G$25="","",'قوائم الخامات والبنود والوحدات'!$G$25&amp;"")</f>
        <v/>
      </c>
      <c r="C123" s="8" t="str">
        <f>IF($B123="","",IF('قوائم الخامات والبنود والوحدات'!$H$25="","م²",'قوائم الخامات والبنود والوحدات'!$H$25))</f>
        <v/>
      </c>
      <c r="D123" s="15" t="str">
        <f t="shared" si="20"/>
        <v/>
      </c>
      <c r="E123" s="14" t="str">
        <f t="shared" si="21"/>
        <v/>
      </c>
      <c r="F123" s="14" t="str">
        <f t="shared" si="22"/>
        <v/>
      </c>
      <c r="G123" s="14" t="str">
        <f t="shared" si="23"/>
        <v/>
      </c>
      <c r="H123" s="14" t="str">
        <f t="shared" si="24"/>
        <v/>
      </c>
      <c r="I123" s="11"/>
      <c r="J123" s="12" t="str">
        <f t="shared" ref="J123:J154" si="25">IF(OR($B123="",I123=""),"",G123*I123)</f>
        <v/>
      </c>
      <c r="K123" s="58"/>
      <c r="L123" s="59"/>
    </row>
    <row r="124" spans="1:12" x14ac:dyDescent="0.25">
      <c r="A124" s="33" t="s">
        <v>163</v>
      </c>
      <c r="B124" s="33" t="str">
        <f>IF('قوائم الخامات والبنود والوحدات'!$G$26="","",'قوائم الخامات والبنود والوحدات'!$G$26&amp;"")</f>
        <v/>
      </c>
      <c r="C124" s="8" t="str">
        <f>IF($B124="","",IF('قوائم الخامات والبنود والوحدات'!$H$26="","م²",'قوائم الخامات والبنود والوحدات'!$H$26))</f>
        <v/>
      </c>
      <c r="D124" s="15" t="str">
        <f t="shared" si="20"/>
        <v/>
      </c>
      <c r="E124" s="14" t="str">
        <f t="shared" si="21"/>
        <v/>
      </c>
      <c r="F124" s="14" t="str">
        <f t="shared" si="22"/>
        <v/>
      </c>
      <c r="G124" s="14" t="str">
        <f t="shared" si="23"/>
        <v/>
      </c>
      <c r="H124" s="14" t="str">
        <f t="shared" si="24"/>
        <v/>
      </c>
      <c r="I124" s="11"/>
      <c r="J124" s="12" t="str">
        <f t="shared" si="25"/>
        <v/>
      </c>
      <c r="K124" s="58"/>
      <c r="L124" s="59"/>
    </row>
    <row r="125" spans="1:12" x14ac:dyDescent="0.25">
      <c r="A125" s="33" t="s">
        <v>163</v>
      </c>
      <c r="B125" s="33" t="str">
        <f>IF('قوائم الخامات والبنود والوحدات'!$G$27="","",'قوائم الخامات والبنود والوحدات'!$G$27&amp;"")</f>
        <v/>
      </c>
      <c r="C125" s="8" t="str">
        <f>IF($B125="","",IF('قوائم الخامات والبنود والوحدات'!$H$27="","م²",'قوائم الخامات والبنود والوحدات'!$H$27))</f>
        <v/>
      </c>
      <c r="D125" s="15" t="str">
        <f t="shared" si="20"/>
        <v/>
      </c>
      <c r="E125" s="14" t="str">
        <f t="shared" si="21"/>
        <v/>
      </c>
      <c r="F125" s="14" t="str">
        <f t="shared" si="22"/>
        <v/>
      </c>
      <c r="G125" s="14" t="str">
        <f t="shared" si="23"/>
        <v/>
      </c>
      <c r="H125" s="14" t="str">
        <f t="shared" si="24"/>
        <v/>
      </c>
      <c r="I125" s="11"/>
      <c r="J125" s="12" t="str">
        <f t="shared" si="25"/>
        <v/>
      </c>
      <c r="K125" s="58"/>
      <c r="L125" s="59"/>
    </row>
    <row r="126" spans="1:12" x14ac:dyDescent="0.25">
      <c r="A126" s="33" t="s">
        <v>163</v>
      </c>
      <c r="B126" s="33" t="str">
        <f>IF('قوائم الخامات والبنود والوحدات'!$G$28="","",'قوائم الخامات والبنود والوحدات'!$G$28&amp;"")</f>
        <v/>
      </c>
      <c r="C126" s="8" t="str">
        <f>IF($B126="","",IF('قوائم الخامات والبنود والوحدات'!$H$28="","م²",'قوائم الخامات والبنود والوحدات'!$H$28))</f>
        <v/>
      </c>
      <c r="D126" s="15" t="str">
        <f t="shared" si="20"/>
        <v/>
      </c>
      <c r="E126" s="14" t="str">
        <f t="shared" si="21"/>
        <v/>
      </c>
      <c r="F126" s="14" t="str">
        <f t="shared" si="22"/>
        <v/>
      </c>
      <c r="G126" s="14" t="str">
        <f t="shared" si="23"/>
        <v/>
      </c>
      <c r="H126" s="14" t="str">
        <f t="shared" si="24"/>
        <v/>
      </c>
      <c r="I126" s="11"/>
      <c r="J126" s="12" t="str">
        <f t="shared" si="25"/>
        <v/>
      </c>
      <c r="K126" s="58"/>
      <c r="L126" s="59"/>
    </row>
    <row r="127" spans="1:12" x14ac:dyDescent="0.25">
      <c r="A127" s="33" t="s">
        <v>164</v>
      </c>
      <c r="B127" s="33" t="str">
        <f>IF('قوائم الخامات والبنود والوحدات'!$I$4="","",'قوائم الخامات والبنود والوحدات'!$I$4&amp;"")</f>
        <v>لياسة أسمنتية — حوائط داخلية</v>
      </c>
      <c r="C127" s="8" t="str">
        <f>IF($B127="","",IF('قوائم الخامات والبنود والوحدات'!$J$4="","م²",'قوائم الخامات والبنود والوحدات'!$J$4))</f>
        <v>م²</v>
      </c>
      <c r="D127" s="15">
        <f t="shared" ref="D127:D151" si="26">IF($B127="","",COUNTIF(PL_Mat,$B127))</f>
        <v>0</v>
      </c>
      <c r="E127" s="14">
        <f t="shared" ref="E127:E151" si="27">IF($B127="","",SUMIFS(PL_Gross,PL_Mat,$B127))</f>
        <v>0</v>
      </c>
      <c r="F127" s="14">
        <f t="shared" ref="F127:F151" si="28">IF($B127="","",SUMIFS(PL_Ded,PL_Mat,$B127))</f>
        <v>0</v>
      </c>
      <c r="G127" s="14">
        <f t="shared" ref="G127:G151" si="29">IF($B127="","",SUMIFS(PL_Net,PL_Mat,$B127))</f>
        <v>0</v>
      </c>
      <c r="H127" s="14" t="str">
        <f t="shared" ref="H127:H151" si="30">IF(OR($B127="",$B$24=""),"",SUMIFS(PL_Net,PL_Mat,$B127,PL_Space,$B$24))</f>
        <v/>
      </c>
      <c r="I127" s="11"/>
      <c r="J127" s="12" t="str">
        <f t="shared" si="25"/>
        <v/>
      </c>
      <c r="K127" s="58"/>
      <c r="L127" s="59"/>
    </row>
    <row r="128" spans="1:12" x14ac:dyDescent="0.25">
      <c r="A128" s="33" t="s">
        <v>164</v>
      </c>
      <c r="B128" s="33" t="str">
        <f>IF('قوائم الخامات والبنود والوحدات'!$I$5="","",'قوائم الخامات والبنود والوحدات'!$I$5&amp;"")</f>
        <v>لياسة أسمنتية — حوائط خارجية</v>
      </c>
      <c r="C128" s="8" t="str">
        <f>IF($B128="","",IF('قوائم الخامات والبنود والوحدات'!$J$5="","م²",'قوائم الخامات والبنود والوحدات'!$J$5))</f>
        <v>م²</v>
      </c>
      <c r="D128" s="15">
        <f t="shared" si="26"/>
        <v>0</v>
      </c>
      <c r="E128" s="14">
        <f t="shared" si="27"/>
        <v>0</v>
      </c>
      <c r="F128" s="14">
        <f t="shared" si="28"/>
        <v>0</v>
      </c>
      <c r="G128" s="14">
        <f t="shared" si="29"/>
        <v>0</v>
      </c>
      <c r="H128" s="14" t="str">
        <f t="shared" si="30"/>
        <v/>
      </c>
      <c r="I128" s="11"/>
      <c r="J128" s="12" t="str">
        <f t="shared" si="25"/>
        <v/>
      </c>
      <c r="K128" s="58"/>
      <c r="L128" s="59"/>
    </row>
    <row r="129" spans="1:12" x14ac:dyDescent="0.25">
      <c r="A129" s="33" t="s">
        <v>164</v>
      </c>
      <c r="B129" s="33" t="str">
        <f>IF('قوائم الخامات والبنود والوحدات'!$I$6="","",'قوائم الخامات والبنود والوحدات'!$I$6&amp;"")</f>
        <v>محارة جبسية — حوائط</v>
      </c>
      <c r="C129" s="8" t="str">
        <f>IF($B129="","",IF('قوائم الخامات والبنود والوحدات'!$J$6="","م²",'قوائم الخامات والبنود والوحدات'!$J$6))</f>
        <v>م²</v>
      </c>
      <c r="D129" s="15">
        <f t="shared" si="26"/>
        <v>0</v>
      </c>
      <c r="E129" s="14">
        <f t="shared" si="27"/>
        <v>0</v>
      </c>
      <c r="F129" s="14">
        <f t="shared" si="28"/>
        <v>0</v>
      </c>
      <c r="G129" s="14">
        <f t="shared" si="29"/>
        <v>0</v>
      </c>
      <c r="H129" s="14" t="str">
        <f t="shared" si="30"/>
        <v/>
      </c>
      <c r="I129" s="11"/>
      <c r="J129" s="12" t="str">
        <f t="shared" si="25"/>
        <v/>
      </c>
      <c r="K129" s="58"/>
      <c r="L129" s="59"/>
    </row>
    <row r="130" spans="1:12" x14ac:dyDescent="0.25">
      <c r="A130" s="33" t="s">
        <v>164</v>
      </c>
      <c r="B130" s="33" t="str">
        <f>IF('قوائم الخامات والبنود والوحدات'!$I$7="","",'قوائم الخامات والبنود والوحدات'!$I$7&amp;"")</f>
        <v/>
      </c>
      <c r="C130" s="8" t="str">
        <f>IF($B130="","",IF('قوائم الخامات والبنود والوحدات'!$J$7="","م²",'قوائم الخامات والبنود والوحدات'!$J$7))</f>
        <v/>
      </c>
      <c r="D130" s="15" t="str">
        <f t="shared" si="26"/>
        <v/>
      </c>
      <c r="E130" s="14" t="str">
        <f t="shared" si="27"/>
        <v/>
      </c>
      <c r="F130" s="14" t="str">
        <f t="shared" si="28"/>
        <v/>
      </c>
      <c r="G130" s="14" t="str">
        <f t="shared" si="29"/>
        <v/>
      </c>
      <c r="H130" s="14" t="str">
        <f t="shared" si="30"/>
        <v/>
      </c>
      <c r="I130" s="11"/>
      <c r="J130" s="12" t="str">
        <f t="shared" si="25"/>
        <v/>
      </c>
      <c r="K130" s="58"/>
      <c r="L130" s="59"/>
    </row>
    <row r="131" spans="1:12" x14ac:dyDescent="0.25">
      <c r="A131" s="33" t="s">
        <v>164</v>
      </c>
      <c r="B131" s="33" t="str">
        <f>IF('قوائم الخامات والبنود والوحدات'!$I$8="","",'قوائم الخامات والبنود والوحدات'!$I$8&amp;"")</f>
        <v/>
      </c>
      <c r="C131" s="8" t="str">
        <f>IF($B131="","",IF('قوائم الخامات والبنود والوحدات'!$J$8="","م²",'قوائم الخامات والبنود والوحدات'!$J$8))</f>
        <v/>
      </c>
      <c r="D131" s="15" t="str">
        <f t="shared" si="26"/>
        <v/>
      </c>
      <c r="E131" s="14" t="str">
        <f t="shared" si="27"/>
        <v/>
      </c>
      <c r="F131" s="14" t="str">
        <f t="shared" si="28"/>
        <v/>
      </c>
      <c r="G131" s="14" t="str">
        <f t="shared" si="29"/>
        <v/>
      </c>
      <c r="H131" s="14" t="str">
        <f t="shared" si="30"/>
        <v/>
      </c>
      <c r="I131" s="11"/>
      <c r="J131" s="12" t="str">
        <f t="shared" si="25"/>
        <v/>
      </c>
      <c r="K131" s="58"/>
      <c r="L131" s="59"/>
    </row>
    <row r="132" spans="1:12" x14ac:dyDescent="0.25">
      <c r="A132" s="33" t="s">
        <v>164</v>
      </c>
      <c r="B132" s="33" t="str">
        <f>IF('قوائم الخامات والبنود والوحدات'!$I$9="","",'قوائم الخامات والبنود والوحدات'!$I$9&amp;"")</f>
        <v/>
      </c>
      <c r="C132" s="8" t="str">
        <f>IF($B132="","",IF('قوائم الخامات والبنود والوحدات'!$J$9="","م²",'قوائم الخامات والبنود والوحدات'!$J$9))</f>
        <v/>
      </c>
      <c r="D132" s="15" t="str">
        <f t="shared" si="26"/>
        <v/>
      </c>
      <c r="E132" s="14" t="str">
        <f t="shared" si="27"/>
        <v/>
      </c>
      <c r="F132" s="14" t="str">
        <f t="shared" si="28"/>
        <v/>
      </c>
      <c r="G132" s="14" t="str">
        <f t="shared" si="29"/>
        <v/>
      </c>
      <c r="H132" s="14" t="str">
        <f t="shared" si="30"/>
        <v/>
      </c>
      <c r="I132" s="11"/>
      <c r="J132" s="12" t="str">
        <f t="shared" si="25"/>
        <v/>
      </c>
      <c r="K132" s="58"/>
      <c r="L132" s="59"/>
    </row>
    <row r="133" spans="1:12" x14ac:dyDescent="0.25">
      <c r="A133" s="33" t="s">
        <v>164</v>
      </c>
      <c r="B133" s="33" t="str">
        <f>IF('قوائم الخامات والبنود والوحدات'!$I$10="","",'قوائم الخامات والبنود والوحدات'!$I$10&amp;"")</f>
        <v/>
      </c>
      <c r="C133" s="8" t="str">
        <f>IF($B133="","",IF('قوائم الخامات والبنود والوحدات'!$J$10="","م²",'قوائم الخامات والبنود والوحدات'!$J$10))</f>
        <v/>
      </c>
      <c r="D133" s="15" t="str">
        <f t="shared" si="26"/>
        <v/>
      </c>
      <c r="E133" s="14" t="str">
        <f t="shared" si="27"/>
        <v/>
      </c>
      <c r="F133" s="14" t="str">
        <f t="shared" si="28"/>
        <v/>
      </c>
      <c r="G133" s="14" t="str">
        <f t="shared" si="29"/>
        <v/>
      </c>
      <c r="H133" s="14" t="str">
        <f t="shared" si="30"/>
        <v/>
      </c>
      <c r="I133" s="11"/>
      <c r="J133" s="12" t="str">
        <f t="shared" si="25"/>
        <v/>
      </c>
      <c r="K133" s="58"/>
      <c r="L133" s="59"/>
    </row>
    <row r="134" spans="1:12" x14ac:dyDescent="0.25">
      <c r="A134" s="33" t="s">
        <v>164</v>
      </c>
      <c r="B134" s="33" t="str">
        <f>IF('قوائم الخامات والبنود والوحدات'!$I$11="","",'قوائم الخامات والبنود والوحدات'!$I$11&amp;"")</f>
        <v/>
      </c>
      <c r="C134" s="8" t="str">
        <f>IF($B134="","",IF('قوائم الخامات والبنود والوحدات'!$J$11="","م²",'قوائم الخامات والبنود والوحدات'!$J$11))</f>
        <v/>
      </c>
      <c r="D134" s="15" t="str">
        <f t="shared" si="26"/>
        <v/>
      </c>
      <c r="E134" s="14" t="str">
        <f t="shared" si="27"/>
        <v/>
      </c>
      <c r="F134" s="14" t="str">
        <f t="shared" si="28"/>
        <v/>
      </c>
      <c r="G134" s="14" t="str">
        <f t="shared" si="29"/>
        <v/>
      </c>
      <c r="H134" s="14" t="str">
        <f t="shared" si="30"/>
        <v/>
      </c>
      <c r="I134" s="11"/>
      <c r="J134" s="12" t="str">
        <f t="shared" si="25"/>
        <v/>
      </c>
      <c r="K134" s="58"/>
      <c r="L134" s="59"/>
    </row>
    <row r="135" spans="1:12" x14ac:dyDescent="0.25">
      <c r="A135" s="33" t="s">
        <v>164</v>
      </c>
      <c r="B135" s="33" t="str">
        <f>IF('قوائم الخامات والبنود والوحدات'!$I$12="","",'قوائم الخامات والبنود والوحدات'!$I$12&amp;"")</f>
        <v/>
      </c>
      <c r="C135" s="8" t="str">
        <f>IF($B135="","",IF('قوائم الخامات والبنود والوحدات'!$J$12="","م²",'قوائم الخامات والبنود والوحدات'!$J$12))</f>
        <v/>
      </c>
      <c r="D135" s="15" t="str">
        <f t="shared" si="26"/>
        <v/>
      </c>
      <c r="E135" s="14" t="str">
        <f t="shared" si="27"/>
        <v/>
      </c>
      <c r="F135" s="14" t="str">
        <f t="shared" si="28"/>
        <v/>
      </c>
      <c r="G135" s="14" t="str">
        <f t="shared" si="29"/>
        <v/>
      </c>
      <c r="H135" s="14" t="str">
        <f t="shared" si="30"/>
        <v/>
      </c>
      <c r="I135" s="11"/>
      <c r="J135" s="12" t="str">
        <f t="shared" si="25"/>
        <v/>
      </c>
      <c r="K135" s="58"/>
      <c r="L135" s="59"/>
    </row>
    <row r="136" spans="1:12" x14ac:dyDescent="0.25">
      <c r="A136" s="33" t="s">
        <v>164</v>
      </c>
      <c r="B136" s="33" t="str">
        <f>IF('قوائم الخامات والبنود والوحدات'!$I$13="","",'قوائم الخامات والبنود والوحدات'!$I$13&amp;"")</f>
        <v/>
      </c>
      <c r="C136" s="8" t="str">
        <f>IF($B136="","",IF('قوائم الخامات والبنود والوحدات'!$J$13="","م²",'قوائم الخامات والبنود والوحدات'!$J$13))</f>
        <v/>
      </c>
      <c r="D136" s="15" t="str">
        <f t="shared" si="26"/>
        <v/>
      </c>
      <c r="E136" s="14" t="str">
        <f t="shared" si="27"/>
        <v/>
      </c>
      <c r="F136" s="14" t="str">
        <f t="shared" si="28"/>
        <v/>
      </c>
      <c r="G136" s="14" t="str">
        <f t="shared" si="29"/>
        <v/>
      </c>
      <c r="H136" s="14" t="str">
        <f t="shared" si="30"/>
        <v/>
      </c>
      <c r="I136" s="11"/>
      <c r="J136" s="12" t="str">
        <f t="shared" si="25"/>
        <v/>
      </c>
      <c r="K136" s="58"/>
      <c r="L136" s="59"/>
    </row>
    <row r="137" spans="1:12" x14ac:dyDescent="0.25">
      <c r="A137" s="33" t="s">
        <v>164</v>
      </c>
      <c r="B137" s="33" t="str">
        <f>IF('قوائم الخامات والبنود والوحدات'!$I$14="","",'قوائم الخامات والبنود والوحدات'!$I$14&amp;"")</f>
        <v/>
      </c>
      <c r="C137" s="8" t="str">
        <f>IF($B137="","",IF('قوائم الخامات والبنود والوحدات'!$J$14="","م²",'قوائم الخامات والبنود والوحدات'!$J$14))</f>
        <v/>
      </c>
      <c r="D137" s="15" t="str">
        <f t="shared" si="26"/>
        <v/>
      </c>
      <c r="E137" s="14" t="str">
        <f t="shared" si="27"/>
        <v/>
      </c>
      <c r="F137" s="14" t="str">
        <f t="shared" si="28"/>
        <v/>
      </c>
      <c r="G137" s="14" t="str">
        <f t="shared" si="29"/>
        <v/>
      </c>
      <c r="H137" s="14" t="str">
        <f t="shared" si="30"/>
        <v/>
      </c>
      <c r="I137" s="11"/>
      <c r="J137" s="12" t="str">
        <f t="shared" si="25"/>
        <v/>
      </c>
      <c r="K137" s="58"/>
      <c r="L137" s="59"/>
    </row>
    <row r="138" spans="1:12" x14ac:dyDescent="0.25">
      <c r="A138" s="33" t="s">
        <v>164</v>
      </c>
      <c r="B138" s="33" t="str">
        <f>IF('قوائم الخامات والبنود والوحدات'!$I$15="","",'قوائم الخامات والبنود والوحدات'!$I$15&amp;"")</f>
        <v/>
      </c>
      <c r="C138" s="8" t="str">
        <f>IF($B138="","",IF('قوائم الخامات والبنود والوحدات'!$J$15="","م²",'قوائم الخامات والبنود والوحدات'!$J$15))</f>
        <v/>
      </c>
      <c r="D138" s="15" t="str">
        <f t="shared" si="26"/>
        <v/>
      </c>
      <c r="E138" s="14" t="str">
        <f t="shared" si="27"/>
        <v/>
      </c>
      <c r="F138" s="14" t="str">
        <f t="shared" si="28"/>
        <v/>
      </c>
      <c r="G138" s="14" t="str">
        <f t="shared" si="29"/>
        <v/>
      </c>
      <c r="H138" s="14" t="str">
        <f t="shared" si="30"/>
        <v/>
      </c>
      <c r="I138" s="11"/>
      <c r="J138" s="12" t="str">
        <f t="shared" si="25"/>
        <v/>
      </c>
      <c r="K138" s="58"/>
      <c r="L138" s="59"/>
    </row>
    <row r="139" spans="1:12" x14ac:dyDescent="0.25">
      <c r="A139" s="33" t="s">
        <v>164</v>
      </c>
      <c r="B139" s="33" t="str">
        <f>IF('قوائم الخامات والبنود والوحدات'!$I$16="","",'قوائم الخامات والبنود والوحدات'!$I$16&amp;"")</f>
        <v/>
      </c>
      <c r="C139" s="8" t="str">
        <f>IF($B139="","",IF('قوائم الخامات والبنود والوحدات'!$J$16="","م²",'قوائم الخامات والبنود والوحدات'!$J$16))</f>
        <v/>
      </c>
      <c r="D139" s="15" t="str">
        <f t="shared" si="26"/>
        <v/>
      </c>
      <c r="E139" s="14" t="str">
        <f t="shared" si="27"/>
        <v/>
      </c>
      <c r="F139" s="14" t="str">
        <f t="shared" si="28"/>
        <v/>
      </c>
      <c r="G139" s="14" t="str">
        <f t="shared" si="29"/>
        <v/>
      </c>
      <c r="H139" s="14" t="str">
        <f t="shared" si="30"/>
        <v/>
      </c>
      <c r="I139" s="11"/>
      <c r="J139" s="12" t="str">
        <f t="shared" si="25"/>
        <v/>
      </c>
      <c r="K139" s="58"/>
      <c r="L139" s="59"/>
    </row>
    <row r="140" spans="1:12" x14ac:dyDescent="0.25">
      <c r="A140" s="33" t="s">
        <v>164</v>
      </c>
      <c r="B140" s="33" t="str">
        <f>IF('قوائم الخامات والبنود والوحدات'!$I$17="","",'قوائم الخامات والبنود والوحدات'!$I$17&amp;"")</f>
        <v/>
      </c>
      <c r="C140" s="8" t="str">
        <f>IF($B140="","",IF('قوائم الخامات والبنود والوحدات'!$J$17="","م²",'قوائم الخامات والبنود والوحدات'!$J$17))</f>
        <v/>
      </c>
      <c r="D140" s="15" t="str">
        <f t="shared" si="26"/>
        <v/>
      </c>
      <c r="E140" s="14" t="str">
        <f t="shared" si="27"/>
        <v/>
      </c>
      <c r="F140" s="14" t="str">
        <f t="shared" si="28"/>
        <v/>
      </c>
      <c r="G140" s="14" t="str">
        <f t="shared" si="29"/>
        <v/>
      </c>
      <c r="H140" s="14" t="str">
        <f t="shared" si="30"/>
        <v/>
      </c>
      <c r="I140" s="11"/>
      <c r="J140" s="12" t="str">
        <f t="shared" si="25"/>
        <v/>
      </c>
      <c r="K140" s="58"/>
      <c r="L140" s="59"/>
    </row>
    <row r="141" spans="1:12" x14ac:dyDescent="0.25">
      <c r="A141" s="33" t="s">
        <v>164</v>
      </c>
      <c r="B141" s="33" t="str">
        <f>IF('قوائم الخامات والبنود والوحدات'!$I$18="","",'قوائم الخامات والبنود والوحدات'!$I$18&amp;"")</f>
        <v/>
      </c>
      <c r="C141" s="8" t="str">
        <f>IF($B141="","",IF('قوائم الخامات والبنود والوحدات'!$J$18="","م²",'قوائم الخامات والبنود والوحدات'!$J$18))</f>
        <v/>
      </c>
      <c r="D141" s="15" t="str">
        <f t="shared" si="26"/>
        <v/>
      </c>
      <c r="E141" s="14" t="str">
        <f t="shared" si="27"/>
        <v/>
      </c>
      <c r="F141" s="14" t="str">
        <f t="shared" si="28"/>
        <v/>
      </c>
      <c r="G141" s="14" t="str">
        <f t="shared" si="29"/>
        <v/>
      </c>
      <c r="H141" s="14" t="str">
        <f t="shared" si="30"/>
        <v/>
      </c>
      <c r="I141" s="11"/>
      <c r="J141" s="12" t="str">
        <f t="shared" si="25"/>
        <v/>
      </c>
      <c r="K141" s="58"/>
      <c r="L141" s="59"/>
    </row>
    <row r="142" spans="1:12" x14ac:dyDescent="0.25">
      <c r="A142" s="33" t="s">
        <v>164</v>
      </c>
      <c r="B142" s="33" t="str">
        <f>IF('قوائم الخامات والبنود والوحدات'!$I$19="","",'قوائم الخامات والبنود والوحدات'!$I$19&amp;"")</f>
        <v/>
      </c>
      <c r="C142" s="8" t="str">
        <f>IF($B142="","",IF('قوائم الخامات والبنود والوحدات'!$J$19="","م²",'قوائم الخامات والبنود والوحدات'!$J$19))</f>
        <v/>
      </c>
      <c r="D142" s="15" t="str">
        <f t="shared" si="26"/>
        <v/>
      </c>
      <c r="E142" s="14" t="str">
        <f t="shared" si="27"/>
        <v/>
      </c>
      <c r="F142" s="14" t="str">
        <f t="shared" si="28"/>
        <v/>
      </c>
      <c r="G142" s="14" t="str">
        <f t="shared" si="29"/>
        <v/>
      </c>
      <c r="H142" s="14" t="str">
        <f t="shared" si="30"/>
        <v/>
      </c>
      <c r="I142" s="11"/>
      <c r="J142" s="12" t="str">
        <f t="shared" si="25"/>
        <v/>
      </c>
      <c r="K142" s="58"/>
      <c r="L142" s="59"/>
    </row>
    <row r="143" spans="1:12" x14ac:dyDescent="0.25">
      <c r="A143" s="33" t="s">
        <v>164</v>
      </c>
      <c r="B143" s="33" t="str">
        <f>IF('قوائم الخامات والبنود والوحدات'!$I$20="","",'قوائم الخامات والبنود والوحدات'!$I$20&amp;"")</f>
        <v/>
      </c>
      <c r="C143" s="8" t="str">
        <f>IF($B143="","",IF('قوائم الخامات والبنود والوحدات'!$J$20="","م²",'قوائم الخامات والبنود والوحدات'!$J$20))</f>
        <v/>
      </c>
      <c r="D143" s="15" t="str">
        <f t="shared" si="26"/>
        <v/>
      </c>
      <c r="E143" s="14" t="str">
        <f t="shared" si="27"/>
        <v/>
      </c>
      <c r="F143" s="14" t="str">
        <f t="shared" si="28"/>
        <v/>
      </c>
      <c r="G143" s="14" t="str">
        <f t="shared" si="29"/>
        <v/>
      </c>
      <c r="H143" s="14" t="str">
        <f t="shared" si="30"/>
        <v/>
      </c>
      <c r="I143" s="11"/>
      <c r="J143" s="12" t="str">
        <f t="shared" si="25"/>
        <v/>
      </c>
      <c r="K143" s="58"/>
      <c r="L143" s="59"/>
    </row>
    <row r="144" spans="1:12" x14ac:dyDescent="0.25">
      <c r="A144" s="33" t="s">
        <v>164</v>
      </c>
      <c r="B144" s="33" t="str">
        <f>IF('قوائم الخامات والبنود والوحدات'!$I$21="","",'قوائم الخامات والبنود والوحدات'!$I$21&amp;"")</f>
        <v/>
      </c>
      <c r="C144" s="8" t="str">
        <f>IF($B144="","",IF('قوائم الخامات والبنود والوحدات'!$J$21="","م²",'قوائم الخامات والبنود والوحدات'!$J$21))</f>
        <v/>
      </c>
      <c r="D144" s="15" t="str">
        <f t="shared" si="26"/>
        <v/>
      </c>
      <c r="E144" s="14" t="str">
        <f t="shared" si="27"/>
        <v/>
      </c>
      <c r="F144" s="14" t="str">
        <f t="shared" si="28"/>
        <v/>
      </c>
      <c r="G144" s="14" t="str">
        <f t="shared" si="29"/>
        <v/>
      </c>
      <c r="H144" s="14" t="str">
        <f t="shared" si="30"/>
        <v/>
      </c>
      <c r="I144" s="11"/>
      <c r="J144" s="12" t="str">
        <f t="shared" si="25"/>
        <v/>
      </c>
      <c r="K144" s="58"/>
      <c r="L144" s="59"/>
    </row>
    <row r="145" spans="1:12" x14ac:dyDescent="0.25">
      <c r="A145" s="33" t="s">
        <v>164</v>
      </c>
      <c r="B145" s="33" t="str">
        <f>IF('قوائم الخامات والبنود والوحدات'!$I$22="","",'قوائم الخامات والبنود والوحدات'!$I$22&amp;"")</f>
        <v/>
      </c>
      <c r="C145" s="8" t="str">
        <f>IF($B145="","",IF('قوائم الخامات والبنود والوحدات'!$J$22="","م²",'قوائم الخامات والبنود والوحدات'!$J$22))</f>
        <v/>
      </c>
      <c r="D145" s="15" t="str">
        <f t="shared" si="26"/>
        <v/>
      </c>
      <c r="E145" s="14" t="str">
        <f t="shared" si="27"/>
        <v/>
      </c>
      <c r="F145" s="14" t="str">
        <f t="shared" si="28"/>
        <v/>
      </c>
      <c r="G145" s="14" t="str">
        <f t="shared" si="29"/>
        <v/>
      </c>
      <c r="H145" s="14" t="str">
        <f t="shared" si="30"/>
        <v/>
      </c>
      <c r="I145" s="11"/>
      <c r="J145" s="12" t="str">
        <f t="shared" si="25"/>
        <v/>
      </c>
      <c r="K145" s="58"/>
      <c r="L145" s="59"/>
    </row>
    <row r="146" spans="1:12" x14ac:dyDescent="0.25">
      <c r="A146" s="33" t="s">
        <v>164</v>
      </c>
      <c r="B146" s="33" t="str">
        <f>IF('قوائم الخامات والبنود والوحدات'!$I$23="","",'قوائم الخامات والبنود والوحدات'!$I$23&amp;"")</f>
        <v/>
      </c>
      <c r="C146" s="8" t="str">
        <f>IF($B146="","",IF('قوائم الخامات والبنود والوحدات'!$J$23="","م²",'قوائم الخامات والبنود والوحدات'!$J$23))</f>
        <v/>
      </c>
      <c r="D146" s="15" t="str">
        <f t="shared" si="26"/>
        <v/>
      </c>
      <c r="E146" s="14" t="str">
        <f t="shared" si="27"/>
        <v/>
      </c>
      <c r="F146" s="14" t="str">
        <f t="shared" si="28"/>
        <v/>
      </c>
      <c r="G146" s="14" t="str">
        <f t="shared" si="29"/>
        <v/>
      </c>
      <c r="H146" s="14" t="str">
        <f t="shared" si="30"/>
        <v/>
      </c>
      <c r="I146" s="11"/>
      <c r="J146" s="12" t="str">
        <f t="shared" si="25"/>
        <v/>
      </c>
      <c r="K146" s="58"/>
      <c r="L146" s="59"/>
    </row>
    <row r="147" spans="1:12" x14ac:dyDescent="0.25">
      <c r="A147" s="33" t="s">
        <v>164</v>
      </c>
      <c r="B147" s="33" t="str">
        <f>IF('قوائم الخامات والبنود والوحدات'!$I$24="","",'قوائم الخامات والبنود والوحدات'!$I$24&amp;"")</f>
        <v/>
      </c>
      <c r="C147" s="8" t="str">
        <f>IF($B147="","",IF('قوائم الخامات والبنود والوحدات'!$J$24="","م²",'قوائم الخامات والبنود والوحدات'!$J$24))</f>
        <v/>
      </c>
      <c r="D147" s="15" t="str">
        <f t="shared" si="26"/>
        <v/>
      </c>
      <c r="E147" s="14" t="str">
        <f t="shared" si="27"/>
        <v/>
      </c>
      <c r="F147" s="14" t="str">
        <f t="shared" si="28"/>
        <v/>
      </c>
      <c r="G147" s="14" t="str">
        <f t="shared" si="29"/>
        <v/>
      </c>
      <c r="H147" s="14" t="str">
        <f t="shared" si="30"/>
        <v/>
      </c>
      <c r="I147" s="11"/>
      <c r="J147" s="12" t="str">
        <f t="shared" si="25"/>
        <v/>
      </c>
      <c r="K147" s="58"/>
      <c r="L147" s="59"/>
    </row>
    <row r="148" spans="1:12" x14ac:dyDescent="0.25">
      <c r="A148" s="33" t="s">
        <v>164</v>
      </c>
      <c r="B148" s="33" t="str">
        <f>IF('قوائم الخامات والبنود والوحدات'!$I$25="","",'قوائم الخامات والبنود والوحدات'!$I$25&amp;"")</f>
        <v/>
      </c>
      <c r="C148" s="8" t="str">
        <f>IF($B148="","",IF('قوائم الخامات والبنود والوحدات'!$J$25="","م²",'قوائم الخامات والبنود والوحدات'!$J$25))</f>
        <v/>
      </c>
      <c r="D148" s="15" t="str">
        <f t="shared" si="26"/>
        <v/>
      </c>
      <c r="E148" s="14" t="str">
        <f t="shared" si="27"/>
        <v/>
      </c>
      <c r="F148" s="14" t="str">
        <f t="shared" si="28"/>
        <v/>
      </c>
      <c r="G148" s="14" t="str">
        <f t="shared" si="29"/>
        <v/>
      </c>
      <c r="H148" s="14" t="str">
        <f t="shared" si="30"/>
        <v/>
      </c>
      <c r="I148" s="11"/>
      <c r="J148" s="12" t="str">
        <f t="shared" si="25"/>
        <v/>
      </c>
      <c r="K148" s="58"/>
      <c r="L148" s="59"/>
    </row>
    <row r="149" spans="1:12" x14ac:dyDescent="0.25">
      <c r="A149" s="33" t="s">
        <v>164</v>
      </c>
      <c r="B149" s="33" t="str">
        <f>IF('قوائم الخامات والبنود والوحدات'!$I$26="","",'قوائم الخامات والبنود والوحدات'!$I$26&amp;"")</f>
        <v/>
      </c>
      <c r="C149" s="8" t="str">
        <f>IF($B149="","",IF('قوائم الخامات والبنود والوحدات'!$J$26="","م²",'قوائم الخامات والبنود والوحدات'!$J$26))</f>
        <v/>
      </c>
      <c r="D149" s="15" t="str">
        <f t="shared" si="26"/>
        <v/>
      </c>
      <c r="E149" s="14" t="str">
        <f t="shared" si="27"/>
        <v/>
      </c>
      <c r="F149" s="14" t="str">
        <f t="shared" si="28"/>
        <v/>
      </c>
      <c r="G149" s="14" t="str">
        <f t="shared" si="29"/>
        <v/>
      </c>
      <c r="H149" s="14" t="str">
        <f t="shared" si="30"/>
        <v/>
      </c>
      <c r="I149" s="11"/>
      <c r="J149" s="12" t="str">
        <f t="shared" si="25"/>
        <v/>
      </c>
      <c r="K149" s="58"/>
      <c r="L149" s="59"/>
    </row>
    <row r="150" spans="1:12" x14ac:dyDescent="0.25">
      <c r="A150" s="33" t="s">
        <v>164</v>
      </c>
      <c r="B150" s="33" t="str">
        <f>IF('قوائم الخامات والبنود والوحدات'!$I$27="","",'قوائم الخامات والبنود والوحدات'!$I$27&amp;"")</f>
        <v/>
      </c>
      <c r="C150" s="8" t="str">
        <f>IF($B150="","",IF('قوائم الخامات والبنود والوحدات'!$J$27="","م²",'قوائم الخامات والبنود والوحدات'!$J$27))</f>
        <v/>
      </c>
      <c r="D150" s="15" t="str">
        <f t="shared" si="26"/>
        <v/>
      </c>
      <c r="E150" s="14" t="str">
        <f t="shared" si="27"/>
        <v/>
      </c>
      <c r="F150" s="14" t="str">
        <f t="shared" si="28"/>
        <v/>
      </c>
      <c r="G150" s="14" t="str">
        <f t="shared" si="29"/>
        <v/>
      </c>
      <c r="H150" s="14" t="str">
        <f t="shared" si="30"/>
        <v/>
      </c>
      <c r="I150" s="11"/>
      <c r="J150" s="12" t="str">
        <f t="shared" si="25"/>
        <v/>
      </c>
      <c r="K150" s="58"/>
      <c r="L150" s="59"/>
    </row>
    <row r="151" spans="1:12" x14ac:dyDescent="0.25">
      <c r="A151" s="33" t="s">
        <v>164</v>
      </c>
      <c r="B151" s="33" t="str">
        <f>IF('قوائم الخامات والبنود والوحدات'!$I$28="","",'قوائم الخامات والبنود والوحدات'!$I$28&amp;"")</f>
        <v/>
      </c>
      <c r="C151" s="8" t="str">
        <f>IF($B151="","",IF('قوائم الخامات والبنود والوحدات'!$J$28="","م²",'قوائم الخامات والبنود والوحدات'!$J$28))</f>
        <v/>
      </c>
      <c r="D151" s="15" t="str">
        <f t="shared" si="26"/>
        <v/>
      </c>
      <c r="E151" s="14" t="str">
        <f t="shared" si="27"/>
        <v/>
      </c>
      <c r="F151" s="14" t="str">
        <f t="shared" si="28"/>
        <v/>
      </c>
      <c r="G151" s="14" t="str">
        <f t="shared" si="29"/>
        <v/>
      </c>
      <c r="H151" s="14" t="str">
        <f t="shared" si="30"/>
        <v/>
      </c>
      <c r="I151" s="11"/>
      <c r="J151" s="12" t="str">
        <f t="shared" si="25"/>
        <v/>
      </c>
      <c r="K151" s="58"/>
      <c r="L151" s="59"/>
    </row>
  </sheetData>
  <sheetProtection sheet="1" formatCells="0" formatColumns="0" formatRows="0" sort="0" autoFilter="0"/>
  <autoFilter ref="A26:K151"/>
  <mergeCells count="133">
    <mergeCell ref="A1:L1"/>
    <mergeCell ref="K112:L112"/>
    <mergeCell ref="K62:L62"/>
    <mergeCell ref="K87:L87"/>
    <mergeCell ref="K127:L127"/>
    <mergeCell ref="K149:L149"/>
    <mergeCell ref="K102:L102"/>
    <mergeCell ref="K59:L59"/>
    <mergeCell ref="K130:L130"/>
    <mergeCell ref="K77:L77"/>
    <mergeCell ref="K86:L86"/>
    <mergeCell ref="K117:L117"/>
    <mergeCell ref="K151:L151"/>
    <mergeCell ref="K61:L61"/>
    <mergeCell ref="K132:L132"/>
    <mergeCell ref="K70:L70"/>
    <mergeCell ref="K125:L125"/>
    <mergeCell ref="K103:L103"/>
    <mergeCell ref="A2:L2"/>
    <mergeCell ref="K29:L29"/>
    <mergeCell ref="K126:L126"/>
    <mergeCell ref="K109:L109"/>
    <mergeCell ref="K47:L47"/>
    <mergeCell ref="K44:L44"/>
    <mergeCell ref="K150:L150"/>
    <mergeCell ref="K31:L31"/>
    <mergeCell ref="K46:L46"/>
    <mergeCell ref="K40:L40"/>
    <mergeCell ref="K111:L111"/>
    <mergeCell ref="K71:L71"/>
    <mergeCell ref="K136:L136"/>
    <mergeCell ref="K145:L145"/>
    <mergeCell ref="K97:L97"/>
    <mergeCell ref="K73:L73"/>
    <mergeCell ref="K65:L65"/>
    <mergeCell ref="K147:L147"/>
    <mergeCell ref="K57:L57"/>
    <mergeCell ref="K128:L128"/>
    <mergeCell ref="K137:L137"/>
    <mergeCell ref="K121:L121"/>
    <mergeCell ref="K34:L34"/>
    <mergeCell ref="K139:L139"/>
    <mergeCell ref="K148:L148"/>
    <mergeCell ref="K82:L82"/>
    <mergeCell ref="K66:L66"/>
    <mergeCell ref="K146:L146"/>
    <mergeCell ref="K93:L93"/>
    <mergeCell ref="K124:L124"/>
    <mergeCell ref="K74:L74"/>
    <mergeCell ref="K68:L68"/>
    <mergeCell ref="K83:L83"/>
    <mergeCell ref="K108:L108"/>
    <mergeCell ref="K114:L114"/>
    <mergeCell ref="K123:L123"/>
    <mergeCell ref="K110:L110"/>
    <mergeCell ref="K91:L91"/>
    <mergeCell ref="K85:L85"/>
    <mergeCell ref="K100:L100"/>
    <mergeCell ref="K94:L94"/>
    <mergeCell ref="K75:L75"/>
    <mergeCell ref="K84:L84"/>
    <mergeCell ref="K140:L140"/>
    <mergeCell ref="A4:L4"/>
    <mergeCell ref="K56:L56"/>
    <mergeCell ref="K96:L96"/>
    <mergeCell ref="K105:L105"/>
    <mergeCell ref="K43:L43"/>
    <mergeCell ref="K27:L27"/>
    <mergeCell ref="K120:L120"/>
    <mergeCell ref="K98:L98"/>
    <mergeCell ref="K107:L107"/>
    <mergeCell ref="A25:L25"/>
    <mergeCell ref="K45:L45"/>
    <mergeCell ref="K54:L54"/>
    <mergeCell ref="K60:L60"/>
    <mergeCell ref="K36:L36"/>
    <mergeCell ref="K39:L39"/>
    <mergeCell ref="K48:L48"/>
    <mergeCell ref="K38:L38"/>
    <mergeCell ref="K144:L144"/>
    <mergeCell ref="K51:L51"/>
    <mergeCell ref="K122:L122"/>
    <mergeCell ref="K119:L119"/>
    <mergeCell ref="K32:L32"/>
    <mergeCell ref="K63:L63"/>
    <mergeCell ref="K72:L72"/>
    <mergeCell ref="A14:L14"/>
    <mergeCell ref="K41:L41"/>
    <mergeCell ref="K134:L134"/>
    <mergeCell ref="K106:L106"/>
    <mergeCell ref="C24:L24"/>
    <mergeCell ref="K141:L141"/>
    <mergeCell ref="K101:L101"/>
    <mergeCell ref="K116:L116"/>
    <mergeCell ref="K28:L28"/>
    <mergeCell ref="K37:L37"/>
    <mergeCell ref="K69:L69"/>
    <mergeCell ref="K78:L78"/>
    <mergeCell ref="K143:L143"/>
    <mergeCell ref="K118:L118"/>
    <mergeCell ref="K92:L92"/>
    <mergeCell ref="K30:L30"/>
    <mergeCell ref="K133:L133"/>
    <mergeCell ref="K142:L142"/>
    <mergeCell ref="K80:L80"/>
    <mergeCell ref="K55:L55"/>
    <mergeCell ref="K64:L64"/>
    <mergeCell ref="K79:L79"/>
    <mergeCell ref="K135:L135"/>
    <mergeCell ref="K129:L129"/>
    <mergeCell ref="K138:L138"/>
    <mergeCell ref="K81:L81"/>
    <mergeCell ref="K76:L76"/>
    <mergeCell ref="A23:L23"/>
    <mergeCell ref="K50:L50"/>
    <mergeCell ref="K90:L90"/>
    <mergeCell ref="K99:L99"/>
    <mergeCell ref="K131:L131"/>
    <mergeCell ref="K58:L58"/>
    <mergeCell ref="K52:L52"/>
    <mergeCell ref="K67:L67"/>
    <mergeCell ref="K115:L115"/>
    <mergeCell ref="K42:L42"/>
    <mergeCell ref="K53:L53"/>
    <mergeCell ref="K49:L49"/>
    <mergeCell ref="K95:L95"/>
    <mergeCell ref="K33:L33"/>
    <mergeCell ref="K89:L89"/>
    <mergeCell ref="K104:L104"/>
    <mergeCell ref="K113:L113"/>
    <mergeCell ref="K88:L88"/>
    <mergeCell ref="K26:L26"/>
    <mergeCell ref="K35:L35"/>
  </mergeCells>
  <conditionalFormatting sqref="J6:K12">
    <cfRule type="expression" dxfId="11" priority="1">
      <formula>N(J6)&gt;0</formula>
    </cfRule>
  </conditionalFormatting>
  <conditionalFormatting sqref="D16:D21">
    <cfRule type="expression" dxfId="10" priority="2" stopIfTrue="1">
      <formula>LEFT(D16,1)="✓"</formula>
    </cfRule>
    <cfRule type="expression" dxfId="9" priority="3" stopIfTrue="1">
      <formula>LEFT(D16,1)="✗"</formula>
    </cfRule>
  </conditionalFormatting>
  <dataValidations count="2">
    <dataValidation type="list" errorStyle="warning" allowBlank="1" showErrorMessage="1" errorTitle="قيمة غير موجودة بالقائمة" error="هذا الكود غير موجود في «سجل الفراغات». يفضل تسجيل الفراغ أولًا." sqref="B24">
      <formula1>SpaceCodes</formula1>
    </dataValidation>
    <dataValidation type="decimal" operator="greaterThanOrEqual" allowBlank="1" showErrorMessage="1" errorTitle="قيمة غير صحيحة" error="أدخل رقمًا موجبًا فقط (بالمتر)." sqref="I27:I151">
      <formula1>0</formula1>
    </dataValidation>
  </dataValidations>
  <pageMargins left="0.4" right="0.4" top="0.5" bottom="0.5" header="0.5" footer="0.5"/>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S126"/>
  <sheetViews>
    <sheetView showGridLines="0" rightToLeft="1" workbookViewId="0">
      <pane ySplit="3" topLeftCell="A4" activePane="bottomLeft" state="frozen"/>
      <selection pane="bottomLeft"/>
    </sheetView>
  </sheetViews>
  <sheetFormatPr defaultRowHeight="15" x14ac:dyDescent="0.25"/>
  <cols>
    <col min="1" max="1" width="24" style="34" customWidth="1"/>
    <col min="2" max="7" width="13" style="34" customWidth="1"/>
    <col min="8" max="8" width="12" style="34" customWidth="1"/>
    <col min="9" max="9" width="13" style="34" customWidth="1"/>
    <col min="13" max="19" width="13" style="34" hidden="1" customWidth="1"/>
  </cols>
  <sheetData>
    <row r="1" spans="1:19" ht="38.1" customHeight="1" x14ac:dyDescent="0.25">
      <c r="A1" s="84" t="s">
        <v>189</v>
      </c>
      <c r="B1" s="51"/>
      <c r="C1" s="51"/>
      <c r="D1" s="51"/>
      <c r="E1" s="51"/>
      <c r="F1" s="51"/>
      <c r="G1" s="51"/>
      <c r="H1" s="51"/>
      <c r="I1" s="51"/>
    </row>
    <row r="2" spans="1:19" ht="26.1" customHeight="1" x14ac:dyDescent="0.25">
      <c r="A2" s="72" t="str">
        <f>IF($B$3="","اختر الدور من الخانة الصفراء","الدور: "&amp;$B$3)</f>
        <v>اختر الدور من الخانة الصفراء</v>
      </c>
      <c r="B2" s="51"/>
      <c r="C2" s="51"/>
      <c r="D2" s="51"/>
      <c r="E2" s="51"/>
      <c r="F2" s="51"/>
      <c r="G2" s="51"/>
      <c r="H2" s="51"/>
      <c r="I2" s="51"/>
      <c r="M2" t="s">
        <v>160</v>
      </c>
      <c r="N2" t="str">
        <f>'ملخص الكميات حسب البند والخامة'!$B$27&amp;""</f>
        <v>سيراميك أرضيات</v>
      </c>
      <c r="O2" t="str">
        <f>'ملخص الكميات حسب البند والخامة'!$C$27&amp;""</f>
        <v>م²</v>
      </c>
      <c r="P2">
        <f t="shared" ref="P2:P26" si="0">IF(OR(N2="",$B$3=""),0,SUMPRODUCT(SUMIFS(FL_Gross,FL_Mat,N2,FL_Space,SpaceCodes)*(SpaceLevels=$B$3)))</f>
        <v>0</v>
      </c>
      <c r="Q2">
        <f>0</f>
        <v>0</v>
      </c>
      <c r="R2">
        <f t="shared" ref="R2:R26" si="1">IF(OR(N2="",$B$3=""),0,SUMPRODUCT(SUMIFS(FL_Net,FL_Mat,N2,FL_Space,SpaceCodes)*(SpaceLevels=$B$3)))</f>
        <v>0</v>
      </c>
      <c r="S2">
        <v>1</v>
      </c>
    </row>
    <row r="3" spans="1:19" ht="21.95" customHeight="1" x14ac:dyDescent="0.25">
      <c r="A3" s="37" t="s">
        <v>190</v>
      </c>
      <c r="B3" s="38"/>
      <c r="C3" s="74" t="s">
        <v>191</v>
      </c>
      <c r="D3" s="51"/>
      <c r="E3" s="51"/>
      <c r="F3" s="51"/>
      <c r="G3" s="51"/>
      <c r="H3" s="51"/>
      <c r="I3" s="51"/>
      <c r="M3" t="s">
        <v>160</v>
      </c>
      <c r="N3" t="str">
        <f>'ملخص الكميات حسب البند والخامة'!$B$28&amp;""</f>
        <v>بورسلين</v>
      </c>
      <c r="O3" t="str">
        <f>'ملخص الكميات حسب البند والخامة'!$C$28&amp;""</f>
        <v>م²</v>
      </c>
      <c r="P3">
        <f t="shared" si="0"/>
        <v>0</v>
      </c>
      <c r="Q3">
        <f>0</f>
        <v>0</v>
      </c>
      <c r="R3">
        <f t="shared" si="1"/>
        <v>0</v>
      </c>
      <c r="S3">
        <v>2</v>
      </c>
    </row>
    <row r="4" spans="1:19" x14ac:dyDescent="0.25">
      <c r="M4" t="s">
        <v>160</v>
      </c>
      <c r="N4" t="str">
        <f>'ملخص الكميات حسب البند والخامة'!$B$29&amp;""</f>
        <v>رخام</v>
      </c>
      <c r="O4" t="str">
        <f>'ملخص الكميات حسب البند والخامة'!$C$29&amp;""</f>
        <v>م²</v>
      </c>
      <c r="P4">
        <f t="shared" si="0"/>
        <v>0</v>
      </c>
      <c r="Q4">
        <f>0</f>
        <v>0</v>
      </c>
      <c r="R4">
        <f t="shared" si="1"/>
        <v>0</v>
      </c>
      <c r="S4">
        <v>3</v>
      </c>
    </row>
    <row r="5" spans="1:19" ht="24" customHeight="1" x14ac:dyDescent="0.25">
      <c r="A5" s="39" t="s">
        <v>192</v>
      </c>
      <c r="B5" s="79" t="str">
        <f>'بيانات المشروع'!$B$3&amp;""</f>
        <v/>
      </c>
      <c r="C5" s="80"/>
      <c r="D5" s="39" t="s">
        <v>44</v>
      </c>
      <c r="E5" s="79" t="str">
        <f>'بيانات المشروع'!$B$5&amp;""</f>
        <v/>
      </c>
      <c r="F5" s="80"/>
      <c r="G5" s="39" t="s">
        <v>46</v>
      </c>
      <c r="H5" s="79" t="str">
        <f>'بيانات المشروع'!$B$7&amp;""</f>
        <v/>
      </c>
      <c r="I5" s="80"/>
      <c r="M5" t="s">
        <v>160</v>
      </c>
      <c r="N5" t="str">
        <f>'ملخص الكميات حسب البند والخامة'!$B$30&amp;""</f>
        <v>جرانيت</v>
      </c>
      <c r="O5" t="str">
        <f>'ملخص الكميات حسب البند والخامة'!$C$30&amp;""</f>
        <v>م²</v>
      </c>
      <c r="P5">
        <f t="shared" si="0"/>
        <v>0</v>
      </c>
      <c r="Q5">
        <f>0</f>
        <v>0</v>
      </c>
      <c r="R5">
        <f t="shared" si="1"/>
        <v>0</v>
      </c>
      <c r="S5">
        <v>4</v>
      </c>
    </row>
    <row r="6" spans="1:19" ht="24" customHeight="1" x14ac:dyDescent="0.25">
      <c r="A6" s="39" t="s">
        <v>45</v>
      </c>
      <c r="B6" s="79" t="str">
        <f>IF('بيانات المشروع'!$B$6="","",TEXT('بيانات المشروع'!$B$6,"yyyy-mm-dd"))</f>
        <v/>
      </c>
      <c r="C6" s="80"/>
      <c r="D6" s="39" t="s">
        <v>193</v>
      </c>
      <c r="E6" s="79" t="str">
        <f>IF($B$3="","",COUNTIF(SpaceLevels,$B$3))</f>
        <v/>
      </c>
      <c r="F6" s="80"/>
      <c r="G6" s="39" t="s">
        <v>194</v>
      </c>
      <c r="H6" s="79" t="str">
        <f>IF($B$3="","",IF(SUMIFS('ملخص الكميات حسب الفراغ'!$R$4:$R$153,'ملخص الكميات حسب الفراغ'!$D$4:$D$153,$B$3)&gt;0,"مبدئي — "&amp;SUMIFS('ملخص الكميات حسب الفراغ'!$R$4:$R$153,'ملخص الكميات حسب الفراغ'!$D$4:$D$153,$B$3)&amp;" بنود تُراجع","نهائي"))</f>
        <v/>
      </c>
      <c r="I6" s="80"/>
      <c r="M6" t="s">
        <v>160</v>
      </c>
      <c r="N6" t="str">
        <f>'ملخص الكميات حسب البند والخامة'!$B$31&amp;""</f>
        <v>موزايكو</v>
      </c>
      <c r="O6" t="str">
        <f>'ملخص الكميات حسب البند والخامة'!$C$31&amp;""</f>
        <v>م²</v>
      </c>
      <c r="P6">
        <f t="shared" si="0"/>
        <v>0</v>
      </c>
      <c r="Q6">
        <f>0</f>
        <v>0</v>
      </c>
      <c r="R6">
        <f t="shared" si="1"/>
        <v>0</v>
      </c>
      <c r="S6">
        <v>5</v>
      </c>
    </row>
    <row r="7" spans="1:19" x14ac:dyDescent="0.25">
      <c r="M7" t="s">
        <v>160</v>
      </c>
      <c r="N7" t="str">
        <f>'ملخص الكميات حسب البند والخامة'!$B$32&amp;""</f>
        <v>تيرازو</v>
      </c>
      <c r="O7" t="str">
        <f>'ملخص الكميات حسب البند والخامة'!$C$32&amp;""</f>
        <v>م²</v>
      </c>
      <c r="P7">
        <f t="shared" si="0"/>
        <v>0</v>
      </c>
      <c r="Q7">
        <f>0</f>
        <v>0</v>
      </c>
      <c r="R7">
        <f t="shared" si="1"/>
        <v>0</v>
      </c>
      <c r="S7">
        <v>6</v>
      </c>
    </row>
    <row r="8" spans="1:19" ht="24" customHeight="1" x14ac:dyDescent="0.25">
      <c r="A8" s="81" t="s">
        <v>195</v>
      </c>
      <c r="B8" s="82"/>
      <c r="C8" s="82"/>
      <c r="D8" s="82"/>
      <c r="E8" s="82"/>
      <c r="F8" s="82"/>
      <c r="G8" s="82"/>
      <c r="H8" s="82"/>
      <c r="I8" s="82"/>
      <c r="M8" t="s">
        <v>160</v>
      </c>
      <c r="N8" t="str">
        <f>'ملخص الكميات حسب البند والخامة'!$B$33&amp;""</f>
        <v>باركيه</v>
      </c>
      <c r="O8" t="str">
        <f>'ملخص الكميات حسب البند والخامة'!$C$33&amp;""</f>
        <v>م²</v>
      </c>
      <c r="P8">
        <f t="shared" si="0"/>
        <v>0</v>
      </c>
      <c r="Q8">
        <f>0</f>
        <v>0</v>
      </c>
      <c r="R8">
        <f t="shared" si="1"/>
        <v>0</v>
      </c>
      <c r="S8">
        <v>7</v>
      </c>
    </row>
    <row r="9" spans="1:19" ht="24" customHeight="1" x14ac:dyDescent="0.25">
      <c r="A9" s="70" t="s">
        <v>148</v>
      </c>
      <c r="B9" s="71"/>
      <c r="C9" s="40" t="s">
        <v>70</v>
      </c>
      <c r="D9" s="70" t="s">
        <v>183</v>
      </c>
      <c r="E9" s="71"/>
      <c r="F9" s="70" t="s">
        <v>184</v>
      </c>
      <c r="G9" s="71"/>
      <c r="H9" s="70" t="s">
        <v>185</v>
      </c>
      <c r="I9" s="71"/>
      <c r="M9" t="s">
        <v>160</v>
      </c>
      <c r="N9" t="str">
        <f>'ملخص الكميات حسب البند والخامة'!$B$34&amp;""</f>
        <v>فينيل</v>
      </c>
      <c r="O9" t="str">
        <f>'ملخص الكميات حسب البند والخامة'!$C$34&amp;""</f>
        <v>م²</v>
      </c>
      <c r="P9">
        <f t="shared" si="0"/>
        <v>0</v>
      </c>
      <c r="Q9">
        <f>0</f>
        <v>0</v>
      </c>
      <c r="R9">
        <f t="shared" si="1"/>
        <v>0</v>
      </c>
      <c r="S9">
        <v>8</v>
      </c>
    </row>
    <row r="10" spans="1:19" ht="20.100000000000001" customHeight="1" x14ac:dyDescent="0.25">
      <c r="A10" s="83" t="s">
        <v>160</v>
      </c>
      <c r="B10" s="67"/>
      <c r="C10" s="41" t="s">
        <v>196</v>
      </c>
      <c r="D10" s="77">
        <f>SUMIFS('ملخص الكميات حسب الفراغ'!$E$4:$E$153,'ملخص الكميات حسب الفراغ'!$D$4:$D$153,$B$3)</f>
        <v>0</v>
      </c>
      <c r="E10" s="67"/>
      <c r="F10" s="77">
        <f>0</f>
        <v>0</v>
      </c>
      <c r="G10" s="67"/>
      <c r="H10" s="66">
        <f>SUMIFS('ملخص الكميات حسب الفراغ'!$E$4:$E$153,'ملخص الكميات حسب الفراغ'!$D$4:$D$153,$B$3)</f>
        <v>0</v>
      </c>
      <c r="I10" s="67"/>
      <c r="M10" t="s">
        <v>160</v>
      </c>
      <c r="N10" t="str">
        <f>'ملخص الكميات حسب البند والخامة'!$B$35&amp;""</f>
        <v>موكيت</v>
      </c>
      <c r="O10" t="str">
        <f>'ملخص الكميات حسب البند والخامة'!$C$35&amp;""</f>
        <v>م²</v>
      </c>
      <c r="P10">
        <f t="shared" si="0"/>
        <v>0</v>
      </c>
      <c r="Q10">
        <f>0</f>
        <v>0</v>
      </c>
      <c r="R10">
        <f t="shared" si="1"/>
        <v>0</v>
      </c>
      <c r="S10">
        <v>9</v>
      </c>
    </row>
    <row r="11" spans="1:19" ht="20.100000000000001" customHeight="1" x14ac:dyDescent="0.25">
      <c r="A11" s="78" t="s">
        <v>161</v>
      </c>
      <c r="B11" s="67"/>
      <c r="C11" s="42" t="s">
        <v>196</v>
      </c>
      <c r="D11" s="75">
        <f>SUMIFS('ملخص الكميات حسب الفراغ'!$F$4:$F$153,'ملخص الكميات حسب الفراغ'!$D$4:$D$153,$B$3)</f>
        <v>0</v>
      </c>
      <c r="E11" s="67"/>
      <c r="F11" s="75">
        <f>SUMIFS('ملخص الكميات حسب الفراغ'!$G$4:$G$153,'ملخص الكميات حسب الفراغ'!$D$4:$D$153,$B$3)</f>
        <v>0</v>
      </c>
      <c r="G11" s="67"/>
      <c r="H11" s="76">
        <f>SUMIFS('ملخص الكميات حسب الفراغ'!$H$4:$H$153,'ملخص الكميات حسب الفراغ'!$D$4:$D$153,$B$3)</f>
        <v>0</v>
      </c>
      <c r="I11" s="67"/>
      <c r="M11" t="s">
        <v>160</v>
      </c>
      <c r="N11" t="str">
        <f>'ملخص الكميات حسب البند والخامة'!$B$36&amp;""</f>
        <v>أرضيات إيبوكسي</v>
      </c>
      <c r="O11" t="str">
        <f>'ملخص الكميات حسب البند والخامة'!$C$36&amp;""</f>
        <v>م²</v>
      </c>
      <c r="P11">
        <f t="shared" si="0"/>
        <v>0</v>
      </c>
      <c r="Q11">
        <f>0</f>
        <v>0</v>
      </c>
      <c r="R11">
        <f t="shared" si="1"/>
        <v>0</v>
      </c>
      <c r="S11">
        <v>10</v>
      </c>
    </row>
    <row r="12" spans="1:19" ht="20.100000000000001" customHeight="1" x14ac:dyDescent="0.25">
      <c r="A12" s="83" t="s">
        <v>163</v>
      </c>
      <c r="B12" s="67"/>
      <c r="C12" s="41" t="s">
        <v>196</v>
      </c>
      <c r="D12" s="77">
        <f>SUMIFS('ملخص الكميات حسب الفراغ'!$I$4:$I$153,'ملخص الكميات حسب الفراغ'!$D$4:$D$153,$B$3)</f>
        <v>0</v>
      </c>
      <c r="E12" s="67"/>
      <c r="F12" s="77">
        <f>0</f>
        <v>0</v>
      </c>
      <c r="G12" s="67"/>
      <c r="H12" s="66">
        <f>SUMIFS('ملخص الكميات حسب الفراغ'!$I$4:$I$153,'ملخص الكميات حسب الفراغ'!$D$4:$D$153,$B$3)</f>
        <v>0</v>
      </c>
      <c r="I12" s="67"/>
      <c r="M12" t="s">
        <v>160</v>
      </c>
      <c r="N12" t="str">
        <f>'ملخص الكميات حسب البند والخامة'!$B$37&amp;""</f>
        <v/>
      </c>
      <c r="O12" t="str">
        <f>'ملخص الكميات حسب البند والخامة'!$C$37&amp;""</f>
        <v/>
      </c>
      <c r="P12">
        <f t="shared" si="0"/>
        <v>0</v>
      </c>
      <c r="Q12">
        <f>0</f>
        <v>0</v>
      </c>
      <c r="R12">
        <f t="shared" si="1"/>
        <v>0</v>
      </c>
      <c r="S12">
        <v>11</v>
      </c>
    </row>
    <row r="13" spans="1:19" ht="20.100000000000001" customHeight="1" x14ac:dyDescent="0.25">
      <c r="A13" s="78" t="s">
        <v>164</v>
      </c>
      <c r="B13" s="67"/>
      <c r="C13" s="42" t="s">
        <v>196</v>
      </c>
      <c r="D13" s="75">
        <f>SUMIFS('ملخص الكميات حسب الفراغ'!$J$4:$J$153,'ملخص الكميات حسب الفراغ'!$D$4:$D$153,$B$3)</f>
        <v>0</v>
      </c>
      <c r="E13" s="67"/>
      <c r="F13" s="75">
        <f>SUMIFS('ملخص الكميات حسب الفراغ'!$K$4:$K$153,'ملخص الكميات حسب الفراغ'!$D$4:$D$153,$B$3)</f>
        <v>0</v>
      </c>
      <c r="G13" s="67"/>
      <c r="H13" s="76">
        <f>SUMIFS('ملخص الكميات حسب الفراغ'!$L$4:$L$153,'ملخص الكميات حسب الفراغ'!$D$4:$D$153,$B$3)</f>
        <v>0</v>
      </c>
      <c r="I13" s="67"/>
      <c r="M13" t="s">
        <v>160</v>
      </c>
      <c r="N13" t="str">
        <f>'ملخص الكميات حسب البند والخامة'!$B$38&amp;""</f>
        <v/>
      </c>
      <c r="O13" t="str">
        <f>'ملخص الكميات حسب البند والخامة'!$C$38&amp;""</f>
        <v/>
      </c>
      <c r="P13">
        <f t="shared" si="0"/>
        <v>0</v>
      </c>
      <c r="Q13">
        <f>0</f>
        <v>0</v>
      </c>
      <c r="R13">
        <f t="shared" si="1"/>
        <v>0</v>
      </c>
      <c r="S13">
        <v>12</v>
      </c>
    </row>
    <row r="14" spans="1:19" ht="20.100000000000001" customHeight="1" x14ac:dyDescent="0.25">
      <c r="A14" s="83" t="s">
        <v>162</v>
      </c>
      <c r="B14" s="67"/>
      <c r="C14" s="41" t="s">
        <v>197</v>
      </c>
      <c r="D14" s="77">
        <f>SUMIFS('ملخص الكميات حسب الفراغ'!$M$4:$M$153,'ملخص الكميات حسب الفراغ'!$D$4:$D$153,$B$3)</f>
        <v>0</v>
      </c>
      <c r="E14" s="67"/>
      <c r="F14" s="77">
        <f>SUMIFS('ملخص الكميات حسب الفراغ'!$N$4:$N$153,'ملخص الكميات حسب الفراغ'!$D$4:$D$153,$B$3)</f>
        <v>0</v>
      </c>
      <c r="G14" s="67"/>
      <c r="H14" s="66">
        <f>SUMIFS('ملخص الكميات حسب الفراغ'!$O$4:$O$153,'ملخص الكميات حسب الفراغ'!$D$4:$D$153,$B$3)</f>
        <v>0</v>
      </c>
      <c r="I14" s="67"/>
      <c r="M14" t="s">
        <v>160</v>
      </c>
      <c r="N14" t="str">
        <f>'ملخص الكميات حسب البند والخامة'!$B$39&amp;""</f>
        <v/>
      </c>
      <c r="O14" t="str">
        <f>'ملخص الكميات حسب البند والخامة'!$C$39&amp;""</f>
        <v/>
      </c>
      <c r="P14">
        <f t="shared" si="0"/>
        <v>0</v>
      </c>
      <c r="Q14">
        <f>0</f>
        <v>0</v>
      </c>
      <c r="R14">
        <f t="shared" si="1"/>
        <v>0</v>
      </c>
      <c r="S14">
        <v>13</v>
      </c>
    </row>
    <row r="15" spans="1:19" ht="24" customHeight="1" x14ac:dyDescent="0.25">
      <c r="A15" s="81" t="s">
        <v>198</v>
      </c>
      <c r="B15" s="82"/>
      <c r="C15" s="82"/>
      <c r="D15" s="82"/>
      <c r="E15" s="82"/>
      <c r="F15" s="82"/>
      <c r="G15" s="82"/>
      <c r="H15" s="82"/>
      <c r="I15" s="82"/>
      <c r="M15" t="s">
        <v>160</v>
      </c>
      <c r="N15" t="str">
        <f>'ملخص الكميات حسب البند والخامة'!$B$40&amp;""</f>
        <v/>
      </c>
      <c r="O15" t="str">
        <f>'ملخص الكميات حسب البند والخامة'!$C$40&amp;""</f>
        <v/>
      </c>
      <c r="P15">
        <f t="shared" si="0"/>
        <v>0</v>
      </c>
      <c r="Q15">
        <f>0</f>
        <v>0</v>
      </c>
      <c r="R15">
        <f t="shared" si="1"/>
        <v>0</v>
      </c>
      <c r="S15">
        <v>14</v>
      </c>
    </row>
    <row r="16" spans="1:19" ht="24" customHeight="1" x14ac:dyDescent="0.25">
      <c r="A16" s="40" t="s">
        <v>148</v>
      </c>
      <c r="B16" s="70" t="s">
        <v>182</v>
      </c>
      <c r="C16" s="71"/>
      <c r="D16" s="71"/>
      <c r="E16" s="40" t="s">
        <v>70</v>
      </c>
      <c r="F16" s="40" t="s">
        <v>183</v>
      </c>
      <c r="G16" s="40" t="s">
        <v>184</v>
      </c>
      <c r="H16" s="70" t="s">
        <v>185</v>
      </c>
      <c r="I16" s="71"/>
      <c r="M16" t="s">
        <v>160</v>
      </c>
      <c r="N16" t="str">
        <f>'ملخص الكميات حسب البند والخامة'!$B$41&amp;""</f>
        <v/>
      </c>
      <c r="O16" t="str">
        <f>'ملخص الكميات حسب البند والخامة'!$C$41&amp;""</f>
        <v/>
      </c>
      <c r="P16">
        <f t="shared" si="0"/>
        <v>0</v>
      </c>
      <c r="Q16">
        <f>0</f>
        <v>0</v>
      </c>
      <c r="R16">
        <f t="shared" si="1"/>
        <v>0</v>
      </c>
      <c r="S16">
        <v>15</v>
      </c>
    </row>
    <row r="17" spans="1:19" ht="18.95" customHeight="1" x14ac:dyDescent="0.25">
      <c r="A17" s="43" t="str">
        <f>IFERROR(INDEX($M$2:$M$126,_xlfn.AGGREGATE(15,6,$S$2:$S$126/($P$2:$P$126&gt;0),1)),"")</f>
        <v/>
      </c>
      <c r="B17" s="64" t="str">
        <f>IF($A17="","",INDEX($N$2:$N$126,_xlfn.AGGREGATE(15,6,$S$2:$S$126/($P$2:$P$126&gt;0),1)))</f>
        <v/>
      </c>
      <c r="C17" s="51"/>
      <c r="D17" s="51"/>
      <c r="E17" s="44" t="str">
        <f>IF($A17="","",INDEX($O$2:$O$126,_xlfn.AGGREGATE(15,6,$S$2:$S$126/($P$2:$P$126&gt;0),1)))</f>
        <v/>
      </c>
      <c r="F17" s="45" t="str">
        <f>IF($A17="","",INDEX($P$2:$P$126,_xlfn.AGGREGATE(15,6,$S$2:$S$126/($P$2:$P$126&gt;0),1)))</f>
        <v/>
      </c>
      <c r="G17" s="45" t="str">
        <f>IF($A17="","",INDEX($Q$2:$Q$126,_xlfn.AGGREGATE(15,6,$S$2:$S$126/($P$2:$P$126&gt;0),1)))</f>
        <v/>
      </c>
      <c r="H17" s="65" t="str">
        <f>IF($A17="","",INDEX($R$2:$R$126,_xlfn.AGGREGATE(15,6,$S$2:$S$126/($P$2:$P$126&gt;0),1)))</f>
        <v/>
      </c>
      <c r="I17" s="51"/>
      <c r="M17" t="s">
        <v>160</v>
      </c>
      <c r="N17" t="str">
        <f>'ملخص الكميات حسب البند والخامة'!$B$42&amp;""</f>
        <v/>
      </c>
      <c r="O17" t="str">
        <f>'ملخص الكميات حسب البند والخامة'!$C$42&amp;""</f>
        <v/>
      </c>
      <c r="P17">
        <f t="shared" si="0"/>
        <v>0</v>
      </c>
      <c r="Q17">
        <f>0</f>
        <v>0</v>
      </c>
      <c r="R17">
        <f t="shared" si="1"/>
        <v>0</v>
      </c>
      <c r="S17">
        <v>16</v>
      </c>
    </row>
    <row r="18" spans="1:19" ht="18.95" customHeight="1" x14ac:dyDescent="0.25">
      <c r="A18" s="43" t="str">
        <f>IFERROR(INDEX($M$2:$M$126,_xlfn.AGGREGATE(15,6,$S$2:$S$126/($P$2:$P$126&gt;0),2)),"")</f>
        <v/>
      </c>
      <c r="B18" s="64" t="str">
        <f>IF($A18="","",INDEX($N$2:$N$126,_xlfn.AGGREGATE(15,6,$S$2:$S$126/($P$2:$P$126&gt;0),2)))</f>
        <v/>
      </c>
      <c r="C18" s="51"/>
      <c r="D18" s="51"/>
      <c r="E18" s="44" t="str">
        <f>IF($A18="","",INDEX($O$2:$O$126,_xlfn.AGGREGATE(15,6,$S$2:$S$126/($P$2:$P$126&gt;0),2)))</f>
        <v/>
      </c>
      <c r="F18" s="45" t="str">
        <f>IF($A18="","",INDEX($P$2:$P$126,_xlfn.AGGREGATE(15,6,$S$2:$S$126/($P$2:$P$126&gt;0),2)))</f>
        <v/>
      </c>
      <c r="G18" s="45" t="str">
        <f>IF($A18="","",INDEX($Q$2:$Q$126,_xlfn.AGGREGATE(15,6,$S$2:$S$126/($P$2:$P$126&gt;0),2)))</f>
        <v/>
      </c>
      <c r="H18" s="65" t="str">
        <f>IF($A18="","",INDEX($R$2:$R$126,_xlfn.AGGREGATE(15,6,$S$2:$S$126/($P$2:$P$126&gt;0),2)))</f>
        <v/>
      </c>
      <c r="I18" s="51"/>
      <c r="M18" t="s">
        <v>160</v>
      </c>
      <c r="N18" t="str">
        <f>'ملخص الكميات حسب البند والخامة'!$B$43&amp;""</f>
        <v/>
      </c>
      <c r="O18" t="str">
        <f>'ملخص الكميات حسب البند والخامة'!$C$43&amp;""</f>
        <v/>
      </c>
      <c r="P18">
        <f t="shared" si="0"/>
        <v>0</v>
      </c>
      <c r="Q18">
        <f>0</f>
        <v>0</v>
      </c>
      <c r="R18">
        <f t="shared" si="1"/>
        <v>0</v>
      </c>
      <c r="S18">
        <v>17</v>
      </c>
    </row>
    <row r="19" spans="1:19" ht="18.95" customHeight="1" x14ac:dyDescent="0.25">
      <c r="A19" s="43" t="str">
        <f>IFERROR(INDEX($M$2:$M$126,_xlfn.AGGREGATE(15,6,$S$2:$S$126/($P$2:$P$126&gt;0),3)),"")</f>
        <v/>
      </c>
      <c r="B19" s="64" t="str">
        <f>IF($A19="","",INDEX($N$2:$N$126,_xlfn.AGGREGATE(15,6,$S$2:$S$126/($P$2:$P$126&gt;0),3)))</f>
        <v/>
      </c>
      <c r="C19" s="51"/>
      <c r="D19" s="51"/>
      <c r="E19" s="44" t="str">
        <f>IF($A19="","",INDEX($O$2:$O$126,_xlfn.AGGREGATE(15,6,$S$2:$S$126/($P$2:$P$126&gt;0),3)))</f>
        <v/>
      </c>
      <c r="F19" s="45" t="str">
        <f>IF($A19="","",INDEX($P$2:$P$126,_xlfn.AGGREGATE(15,6,$S$2:$S$126/($P$2:$P$126&gt;0),3)))</f>
        <v/>
      </c>
      <c r="G19" s="45" t="str">
        <f>IF($A19="","",INDEX($Q$2:$Q$126,_xlfn.AGGREGATE(15,6,$S$2:$S$126/($P$2:$P$126&gt;0),3)))</f>
        <v/>
      </c>
      <c r="H19" s="65" t="str">
        <f>IF($A19="","",INDEX($R$2:$R$126,_xlfn.AGGREGATE(15,6,$S$2:$S$126/($P$2:$P$126&gt;0),3)))</f>
        <v/>
      </c>
      <c r="I19" s="51"/>
      <c r="M19" t="s">
        <v>160</v>
      </c>
      <c r="N19" t="str">
        <f>'ملخص الكميات حسب البند والخامة'!$B$44&amp;""</f>
        <v/>
      </c>
      <c r="O19" t="str">
        <f>'ملخص الكميات حسب البند والخامة'!$C$44&amp;""</f>
        <v/>
      </c>
      <c r="P19">
        <f t="shared" si="0"/>
        <v>0</v>
      </c>
      <c r="Q19">
        <f>0</f>
        <v>0</v>
      </c>
      <c r="R19">
        <f t="shared" si="1"/>
        <v>0</v>
      </c>
      <c r="S19">
        <v>18</v>
      </c>
    </row>
    <row r="20" spans="1:19" ht="18.95" customHeight="1" x14ac:dyDescent="0.25">
      <c r="A20" s="43" t="str">
        <f>IFERROR(INDEX($M$2:$M$126,_xlfn.AGGREGATE(15,6,$S$2:$S$126/($P$2:$P$126&gt;0),4)),"")</f>
        <v/>
      </c>
      <c r="B20" s="64" t="str">
        <f>IF($A20="","",INDEX($N$2:$N$126,_xlfn.AGGREGATE(15,6,$S$2:$S$126/($P$2:$P$126&gt;0),4)))</f>
        <v/>
      </c>
      <c r="C20" s="51"/>
      <c r="D20" s="51"/>
      <c r="E20" s="44" t="str">
        <f>IF($A20="","",INDEX($O$2:$O$126,_xlfn.AGGREGATE(15,6,$S$2:$S$126/($P$2:$P$126&gt;0),4)))</f>
        <v/>
      </c>
      <c r="F20" s="45" t="str">
        <f>IF($A20="","",INDEX($P$2:$P$126,_xlfn.AGGREGATE(15,6,$S$2:$S$126/($P$2:$P$126&gt;0),4)))</f>
        <v/>
      </c>
      <c r="G20" s="45" t="str">
        <f>IF($A20="","",INDEX($Q$2:$Q$126,_xlfn.AGGREGATE(15,6,$S$2:$S$126/($P$2:$P$126&gt;0),4)))</f>
        <v/>
      </c>
      <c r="H20" s="65" t="str">
        <f>IF($A20="","",INDEX($R$2:$R$126,_xlfn.AGGREGATE(15,6,$S$2:$S$126/($P$2:$P$126&gt;0),4)))</f>
        <v/>
      </c>
      <c r="I20" s="51"/>
      <c r="M20" t="s">
        <v>160</v>
      </c>
      <c r="N20" t="str">
        <f>'ملخص الكميات حسب البند والخامة'!$B$45&amp;""</f>
        <v/>
      </c>
      <c r="O20" t="str">
        <f>'ملخص الكميات حسب البند والخامة'!$C$45&amp;""</f>
        <v/>
      </c>
      <c r="P20">
        <f t="shared" si="0"/>
        <v>0</v>
      </c>
      <c r="Q20">
        <f>0</f>
        <v>0</v>
      </c>
      <c r="R20">
        <f t="shared" si="1"/>
        <v>0</v>
      </c>
      <c r="S20">
        <v>19</v>
      </c>
    </row>
    <row r="21" spans="1:19" ht="18.95" customHeight="1" x14ac:dyDescent="0.25">
      <c r="A21" s="43" t="str">
        <f>IFERROR(INDEX($M$2:$M$126,_xlfn.AGGREGATE(15,6,$S$2:$S$126/($P$2:$P$126&gt;0),5)),"")</f>
        <v/>
      </c>
      <c r="B21" s="64" t="str">
        <f>IF($A21="","",INDEX($N$2:$N$126,_xlfn.AGGREGATE(15,6,$S$2:$S$126/($P$2:$P$126&gt;0),5)))</f>
        <v/>
      </c>
      <c r="C21" s="51"/>
      <c r="D21" s="51"/>
      <c r="E21" s="44" t="str">
        <f>IF($A21="","",INDEX($O$2:$O$126,_xlfn.AGGREGATE(15,6,$S$2:$S$126/($P$2:$P$126&gt;0),5)))</f>
        <v/>
      </c>
      <c r="F21" s="45" t="str">
        <f>IF($A21="","",INDEX($P$2:$P$126,_xlfn.AGGREGATE(15,6,$S$2:$S$126/($P$2:$P$126&gt;0),5)))</f>
        <v/>
      </c>
      <c r="G21" s="45" t="str">
        <f>IF($A21="","",INDEX($Q$2:$Q$126,_xlfn.AGGREGATE(15,6,$S$2:$S$126/($P$2:$P$126&gt;0),5)))</f>
        <v/>
      </c>
      <c r="H21" s="65" t="str">
        <f>IF($A21="","",INDEX($R$2:$R$126,_xlfn.AGGREGATE(15,6,$S$2:$S$126/($P$2:$P$126&gt;0),5)))</f>
        <v/>
      </c>
      <c r="I21" s="51"/>
      <c r="M21" t="s">
        <v>160</v>
      </c>
      <c r="N21" t="str">
        <f>'ملخص الكميات حسب البند والخامة'!$B$46&amp;""</f>
        <v/>
      </c>
      <c r="O21" t="str">
        <f>'ملخص الكميات حسب البند والخامة'!$C$46&amp;""</f>
        <v/>
      </c>
      <c r="P21">
        <f t="shared" si="0"/>
        <v>0</v>
      </c>
      <c r="Q21">
        <f>0</f>
        <v>0</v>
      </c>
      <c r="R21">
        <f t="shared" si="1"/>
        <v>0</v>
      </c>
      <c r="S21">
        <v>20</v>
      </c>
    </row>
    <row r="22" spans="1:19" ht="18.95" customHeight="1" x14ac:dyDescent="0.25">
      <c r="A22" s="43" t="str">
        <f>IFERROR(INDEX($M$2:$M$126,_xlfn.AGGREGATE(15,6,$S$2:$S$126/($P$2:$P$126&gt;0),6)),"")</f>
        <v/>
      </c>
      <c r="B22" s="64" t="str">
        <f>IF($A22="","",INDEX($N$2:$N$126,_xlfn.AGGREGATE(15,6,$S$2:$S$126/($P$2:$P$126&gt;0),6)))</f>
        <v/>
      </c>
      <c r="C22" s="51"/>
      <c r="D22" s="51"/>
      <c r="E22" s="44" t="str">
        <f>IF($A22="","",INDEX($O$2:$O$126,_xlfn.AGGREGATE(15,6,$S$2:$S$126/($P$2:$P$126&gt;0),6)))</f>
        <v/>
      </c>
      <c r="F22" s="45" t="str">
        <f>IF($A22="","",INDEX($P$2:$P$126,_xlfn.AGGREGATE(15,6,$S$2:$S$126/($P$2:$P$126&gt;0),6)))</f>
        <v/>
      </c>
      <c r="G22" s="45" t="str">
        <f>IF($A22="","",INDEX($Q$2:$Q$126,_xlfn.AGGREGATE(15,6,$S$2:$S$126/($P$2:$P$126&gt;0),6)))</f>
        <v/>
      </c>
      <c r="H22" s="65" t="str">
        <f>IF($A22="","",INDEX($R$2:$R$126,_xlfn.AGGREGATE(15,6,$S$2:$S$126/($P$2:$P$126&gt;0),6)))</f>
        <v/>
      </c>
      <c r="I22" s="51"/>
      <c r="M22" t="s">
        <v>160</v>
      </c>
      <c r="N22" t="str">
        <f>'ملخص الكميات حسب البند والخامة'!$B$47&amp;""</f>
        <v/>
      </c>
      <c r="O22" t="str">
        <f>'ملخص الكميات حسب البند والخامة'!$C$47&amp;""</f>
        <v/>
      </c>
      <c r="P22">
        <f t="shared" si="0"/>
        <v>0</v>
      </c>
      <c r="Q22">
        <f>0</f>
        <v>0</v>
      </c>
      <c r="R22">
        <f t="shared" si="1"/>
        <v>0</v>
      </c>
      <c r="S22">
        <v>21</v>
      </c>
    </row>
    <row r="23" spans="1:19" ht="18.95" customHeight="1" x14ac:dyDescent="0.25">
      <c r="A23" s="43" t="str">
        <f>IFERROR(INDEX($M$2:$M$126,_xlfn.AGGREGATE(15,6,$S$2:$S$126/($P$2:$P$126&gt;0),7)),"")</f>
        <v/>
      </c>
      <c r="B23" s="64" t="str">
        <f>IF($A23="","",INDEX($N$2:$N$126,_xlfn.AGGREGATE(15,6,$S$2:$S$126/($P$2:$P$126&gt;0),7)))</f>
        <v/>
      </c>
      <c r="C23" s="51"/>
      <c r="D23" s="51"/>
      <c r="E23" s="44" t="str">
        <f>IF($A23="","",INDEX($O$2:$O$126,_xlfn.AGGREGATE(15,6,$S$2:$S$126/($P$2:$P$126&gt;0),7)))</f>
        <v/>
      </c>
      <c r="F23" s="45" t="str">
        <f>IF($A23="","",INDEX($P$2:$P$126,_xlfn.AGGREGATE(15,6,$S$2:$S$126/($P$2:$P$126&gt;0),7)))</f>
        <v/>
      </c>
      <c r="G23" s="45" t="str">
        <f>IF($A23="","",INDEX($Q$2:$Q$126,_xlfn.AGGREGATE(15,6,$S$2:$S$126/($P$2:$P$126&gt;0),7)))</f>
        <v/>
      </c>
      <c r="H23" s="65" t="str">
        <f>IF($A23="","",INDEX($R$2:$R$126,_xlfn.AGGREGATE(15,6,$S$2:$S$126/($P$2:$P$126&gt;0),7)))</f>
        <v/>
      </c>
      <c r="I23" s="51"/>
      <c r="M23" t="s">
        <v>160</v>
      </c>
      <c r="N23" t="str">
        <f>'ملخص الكميات حسب البند والخامة'!$B$48&amp;""</f>
        <v/>
      </c>
      <c r="O23" t="str">
        <f>'ملخص الكميات حسب البند والخامة'!$C$48&amp;""</f>
        <v/>
      </c>
      <c r="P23">
        <f t="shared" si="0"/>
        <v>0</v>
      </c>
      <c r="Q23">
        <f>0</f>
        <v>0</v>
      </c>
      <c r="R23">
        <f t="shared" si="1"/>
        <v>0</v>
      </c>
      <c r="S23">
        <v>22</v>
      </c>
    </row>
    <row r="24" spans="1:19" ht="18.95" customHeight="1" x14ac:dyDescent="0.25">
      <c r="A24" s="43" t="str">
        <f>IFERROR(INDEX($M$2:$M$126,_xlfn.AGGREGATE(15,6,$S$2:$S$126/($P$2:$P$126&gt;0),8)),"")</f>
        <v/>
      </c>
      <c r="B24" s="64" t="str">
        <f>IF($A24="","",INDEX($N$2:$N$126,_xlfn.AGGREGATE(15,6,$S$2:$S$126/($P$2:$P$126&gt;0),8)))</f>
        <v/>
      </c>
      <c r="C24" s="51"/>
      <c r="D24" s="51"/>
      <c r="E24" s="44" t="str">
        <f>IF($A24="","",INDEX($O$2:$O$126,_xlfn.AGGREGATE(15,6,$S$2:$S$126/($P$2:$P$126&gt;0),8)))</f>
        <v/>
      </c>
      <c r="F24" s="45" t="str">
        <f>IF($A24="","",INDEX($P$2:$P$126,_xlfn.AGGREGATE(15,6,$S$2:$S$126/($P$2:$P$126&gt;0),8)))</f>
        <v/>
      </c>
      <c r="G24" s="45" t="str">
        <f>IF($A24="","",INDEX($Q$2:$Q$126,_xlfn.AGGREGATE(15,6,$S$2:$S$126/($P$2:$P$126&gt;0),8)))</f>
        <v/>
      </c>
      <c r="H24" s="65" t="str">
        <f>IF($A24="","",INDEX($R$2:$R$126,_xlfn.AGGREGATE(15,6,$S$2:$S$126/($P$2:$P$126&gt;0),8)))</f>
        <v/>
      </c>
      <c r="I24" s="51"/>
      <c r="M24" t="s">
        <v>160</v>
      </c>
      <c r="N24" t="str">
        <f>'ملخص الكميات حسب البند والخامة'!$B$49&amp;""</f>
        <v/>
      </c>
      <c r="O24" t="str">
        <f>'ملخص الكميات حسب البند والخامة'!$C$49&amp;""</f>
        <v/>
      </c>
      <c r="P24">
        <f t="shared" si="0"/>
        <v>0</v>
      </c>
      <c r="Q24">
        <f>0</f>
        <v>0</v>
      </c>
      <c r="R24">
        <f t="shared" si="1"/>
        <v>0</v>
      </c>
      <c r="S24">
        <v>23</v>
      </c>
    </row>
    <row r="25" spans="1:19" ht="18.95" customHeight="1" x14ac:dyDescent="0.25">
      <c r="A25" s="43" t="str">
        <f>IFERROR(INDEX($M$2:$M$126,_xlfn.AGGREGATE(15,6,$S$2:$S$126/($P$2:$P$126&gt;0),9)),"")</f>
        <v/>
      </c>
      <c r="B25" s="64" t="str">
        <f>IF($A25="","",INDEX($N$2:$N$126,_xlfn.AGGREGATE(15,6,$S$2:$S$126/($P$2:$P$126&gt;0),9)))</f>
        <v/>
      </c>
      <c r="C25" s="51"/>
      <c r="D25" s="51"/>
      <c r="E25" s="44" t="str">
        <f>IF($A25="","",INDEX($O$2:$O$126,_xlfn.AGGREGATE(15,6,$S$2:$S$126/($P$2:$P$126&gt;0),9)))</f>
        <v/>
      </c>
      <c r="F25" s="45" t="str">
        <f>IF($A25="","",INDEX($P$2:$P$126,_xlfn.AGGREGATE(15,6,$S$2:$S$126/($P$2:$P$126&gt;0),9)))</f>
        <v/>
      </c>
      <c r="G25" s="45" t="str">
        <f>IF($A25="","",INDEX($Q$2:$Q$126,_xlfn.AGGREGATE(15,6,$S$2:$S$126/($P$2:$P$126&gt;0),9)))</f>
        <v/>
      </c>
      <c r="H25" s="65" t="str">
        <f>IF($A25="","",INDEX($R$2:$R$126,_xlfn.AGGREGATE(15,6,$S$2:$S$126/($P$2:$P$126&gt;0),9)))</f>
        <v/>
      </c>
      <c r="I25" s="51"/>
      <c r="M25" t="s">
        <v>160</v>
      </c>
      <c r="N25" t="str">
        <f>'ملخص الكميات حسب البند والخامة'!$B$50&amp;""</f>
        <v/>
      </c>
      <c r="O25" t="str">
        <f>'ملخص الكميات حسب البند والخامة'!$C$50&amp;""</f>
        <v/>
      </c>
      <c r="P25">
        <f t="shared" si="0"/>
        <v>0</v>
      </c>
      <c r="Q25">
        <f>0</f>
        <v>0</v>
      </c>
      <c r="R25">
        <f t="shared" si="1"/>
        <v>0</v>
      </c>
      <c r="S25">
        <v>24</v>
      </c>
    </row>
    <row r="26" spans="1:19" ht="18.95" customHeight="1" x14ac:dyDescent="0.25">
      <c r="A26" s="43" t="str">
        <f>IFERROR(INDEX($M$2:$M$126,_xlfn.AGGREGATE(15,6,$S$2:$S$126/($P$2:$P$126&gt;0),10)),"")</f>
        <v/>
      </c>
      <c r="B26" s="64" t="str">
        <f>IF($A26="","",INDEX($N$2:$N$126,_xlfn.AGGREGATE(15,6,$S$2:$S$126/($P$2:$P$126&gt;0),10)))</f>
        <v/>
      </c>
      <c r="C26" s="51"/>
      <c r="D26" s="51"/>
      <c r="E26" s="44" t="str">
        <f>IF($A26="","",INDEX($O$2:$O$126,_xlfn.AGGREGATE(15,6,$S$2:$S$126/($P$2:$P$126&gt;0),10)))</f>
        <v/>
      </c>
      <c r="F26" s="45" t="str">
        <f>IF($A26="","",INDEX($P$2:$P$126,_xlfn.AGGREGATE(15,6,$S$2:$S$126/($P$2:$P$126&gt;0),10)))</f>
        <v/>
      </c>
      <c r="G26" s="45" t="str">
        <f>IF($A26="","",INDEX($Q$2:$Q$126,_xlfn.AGGREGATE(15,6,$S$2:$S$126/($P$2:$P$126&gt;0),10)))</f>
        <v/>
      </c>
      <c r="H26" s="65" t="str">
        <f>IF($A26="","",INDEX($R$2:$R$126,_xlfn.AGGREGATE(15,6,$S$2:$S$126/($P$2:$P$126&gt;0),10)))</f>
        <v/>
      </c>
      <c r="I26" s="51"/>
      <c r="M26" t="s">
        <v>160</v>
      </c>
      <c r="N26" t="str">
        <f>'ملخص الكميات حسب البند والخامة'!$B$51&amp;""</f>
        <v/>
      </c>
      <c r="O26" t="str">
        <f>'ملخص الكميات حسب البند والخامة'!$C$51&amp;""</f>
        <v/>
      </c>
      <c r="P26">
        <f t="shared" si="0"/>
        <v>0</v>
      </c>
      <c r="Q26">
        <f>0</f>
        <v>0</v>
      </c>
      <c r="R26">
        <f t="shared" si="1"/>
        <v>0</v>
      </c>
      <c r="S26">
        <v>25</v>
      </c>
    </row>
    <row r="27" spans="1:19" ht="18.95" customHeight="1" x14ac:dyDescent="0.25">
      <c r="A27" s="43" t="str">
        <f>IFERROR(INDEX($M$2:$M$126,_xlfn.AGGREGATE(15,6,$S$2:$S$126/($P$2:$P$126&gt;0),11)),"")</f>
        <v/>
      </c>
      <c r="B27" s="64" t="str">
        <f>IF($A27="","",INDEX($N$2:$N$126,_xlfn.AGGREGATE(15,6,$S$2:$S$126/($P$2:$P$126&gt;0),11)))</f>
        <v/>
      </c>
      <c r="C27" s="51"/>
      <c r="D27" s="51"/>
      <c r="E27" s="44" t="str">
        <f>IF($A27="","",INDEX($O$2:$O$126,_xlfn.AGGREGATE(15,6,$S$2:$S$126/($P$2:$P$126&gt;0),11)))</f>
        <v/>
      </c>
      <c r="F27" s="45" t="str">
        <f>IF($A27="","",INDEX($P$2:$P$126,_xlfn.AGGREGATE(15,6,$S$2:$S$126/($P$2:$P$126&gt;0),11)))</f>
        <v/>
      </c>
      <c r="G27" s="45" t="str">
        <f>IF($A27="","",INDEX($Q$2:$Q$126,_xlfn.AGGREGATE(15,6,$S$2:$S$126/($P$2:$P$126&gt;0),11)))</f>
        <v/>
      </c>
      <c r="H27" s="65" t="str">
        <f>IF($A27="","",INDEX($R$2:$R$126,_xlfn.AGGREGATE(15,6,$S$2:$S$126/($P$2:$P$126&gt;0),11)))</f>
        <v/>
      </c>
      <c r="I27" s="51"/>
      <c r="M27" t="s">
        <v>161</v>
      </c>
      <c r="N27" t="str">
        <f>'ملخص الكميات حسب البند والخامة'!$B$52&amp;""</f>
        <v>سيراميك حوائط الحمامات</v>
      </c>
      <c r="O27" t="str">
        <f>'ملخص الكميات حسب البند والخامة'!$C$52&amp;""</f>
        <v>م²</v>
      </c>
      <c r="P27">
        <f t="shared" ref="P27:P51" si="2">IF(OR(N27="",$B$3=""),0,SUMPRODUCT(SUMIFS(WL_Gross,WL_Mat,N27,WL_Space,SpaceCodes)*(SpaceLevels=$B$3)))</f>
        <v>0</v>
      </c>
      <c r="Q27">
        <f t="shared" ref="Q27:Q51" si="3">IF(OR(N27="",$B$3=""),0,SUMPRODUCT(SUMIFS(WL_Ded,WL_Mat,N27,WL_Space,SpaceCodes)*(SpaceLevels=$B$3)))</f>
        <v>0</v>
      </c>
      <c r="R27">
        <f t="shared" ref="R27:R51" si="4">IF(OR(N27="",$B$3=""),0,SUMPRODUCT(SUMIFS(WL_Net,WL_Mat,N27,WL_Space,SpaceCodes)*(SpaceLevels=$B$3)))</f>
        <v>0</v>
      </c>
      <c r="S27">
        <v>26</v>
      </c>
    </row>
    <row r="28" spans="1:19" ht="18.95" customHeight="1" x14ac:dyDescent="0.25">
      <c r="A28" s="43" t="str">
        <f>IFERROR(INDEX($M$2:$M$126,_xlfn.AGGREGATE(15,6,$S$2:$S$126/($P$2:$P$126&gt;0),12)),"")</f>
        <v/>
      </c>
      <c r="B28" s="64" t="str">
        <f>IF($A28="","",INDEX($N$2:$N$126,_xlfn.AGGREGATE(15,6,$S$2:$S$126/($P$2:$P$126&gt;0),12)))</f>
        <v/>
      </c>
      <c r="C28" s="51"/>
      <c r="D28" s="51"/>
      <c r="E28" s="44" t="str">
        <f>IF($A28="","",INDEX($O$2:$O$126,_xlfn.AGGREGATE(15,6,$S$2:$S$126/($P$2:$P$126&gt;0),12)))</f>
        <v/>
      </c>
      <c r="F28" s="45" t="str">
        <f>IF($A28="","",INDEX($P$2:$P$126,_xlfn.AGGREGATE(15,6,$S$2:$S$126/($P$2:$P$126&gt;0),12)))</f>
        <v/>
      </c>
      <c r="G28" s="45" t="str">
        <f>IF($A28="","",INDEX($Q$2:$Q$126,_xlfn.AGGREGATE(15,6,$S$2:$S$126/($P$2:$P$126&gt;0),12)))</f>
        <v/>
      </c>
      <c r="H28" s="65" t="str">
        <f>IF($A28="","",INDEX($R$2:$R$126,_xlfn.AGGREGATE(15,6,$S$2:$S$126/($P$2:$P$126&gt;0),12)))</f>
        <v/>
      </c>
      <c r="I28" s="51"/>
      <c r="M28" t="s">
        <v>161</v>
      </c>
      <c r="N28" t="str">
        <f>'ملخص الكميات حسب البند والخامة'!$B$53&amp;""</f>
        <v>سيراميك حوائط المطابخ</v>
      </c>
      <c r="O28" t="str">
        <f>'ملخص الكميات حسب البند والخامة'!$C$53&amp;""</f>
        <v>م²</v>
      </c>
      <c r="P28">
        <f t="shared" si="2"/>
        <v>0</v>
      </c>
      <c r="Q28">
        <f t="shared" si="3"/>
        <v>0</v>
      </c>
      <c r="R28">
        <f t="shared" si="4"/>
        <v>0</v>
      </c>
      <c r="S28">
        <v>27</v>
      </c>
    </row>
    <row r="29" spans="1:19" ht="18.95" customHeight="1" x14ac:dyDescent="0.25">
      <c r="A29" s="43" t="str">
        <f>IFERROR(INDEX($M$2:$M$126,_xlfn.AGGREGATE(15,6,$S$2:$S$126/($P$2:$P$126&gt;0),13)),"")</f>
        <v/>
      </c>
      <c r="B29" s="64" t="str">
        <f>IF($A29="","",INDEX($N$2:$N$126,_xlfn.AGGREGATE(15,6,$S$2:$S$126/($P$2:$P$126&gt;0),13)))</f>
        <v/>
      </c>
      <c r="C29" s="51"/>
      <c r="D29" s="51"/>
      <c r="E29" s="44" t="str">
        <f>IF($A29="","",INDEX($O$2:$O$126,_xlfn.AGGREGATE(15,6,$S$2:$S$126/($P$2:$P$126&gt;0),13)))</f>
        <v/>
      </c>
      <c r="F29" s="45" t="str">
        <f>IF($A29="","",INDEX($P$2:$P$126,_xlfn.AGGREGATE(15,6,$S$2:$S$126/($P$2:$P$126&gt;0),13)))</f>
        <v/>
      </c>
      <c r="G29" s="45" t="str">
        <f>IF($A29="","",INDEX($Q$2:$Q$126,_xlfn.AGGREGATE(15,6,$S$2:$S$126/($P$2:$P$126&gt;0),13)))</f>
        <v/>
      </c>
      <c r="H29" s="65" t="str">
        <f>IF($A29="","",INDEX($R$2:$R$126,_xlfn.AGGREGATE(15,6,$S$2:$S$126/($P$2:$P$126&gt;0),13)))</f>
        <v/>
      </c>
      <c r="I29" s="51"/>
      <c r="M29" t="s">
        <v>161</v>
      </c>
      <c r="N29" t="str">
        <f>'ملخص الكميات حسب البند والخامة'!$B$54&amp;""</f>
        <v>سيراميك حوائط عادي</v>
      </c>
      <c r="O29" t="str">
        <f>'ملخص الكميات حسب البند والخامة'!$C$54&amp;""</f>
        <v>م²</v>
      </c>
      <c r="P29">
        <f t="shared" si="2"/>
        <v>0</v>
      </c>
      <c r="Q29">
        <f t="shared" si="3"/>
        <v>0</v>
      </c>
      <c r="R29">
        <f t="shared" si="4"/>
        <v>0</v>
      </c>
      <c r="S29">
        <v>28</v>
      </c>
    </row>
    <row r="30" spans="1:19" ht="18.95" customHeight="1" x14ac:dyDescent="0.25">
      <c r="A30" s="43" t="str">
        <f>IFERROR(INDEX($M$2:$M$126,_xlfn.AGGREGATE(15,6,$S$2:$S$126/($P$2:$P$126&gt;0),14)),"")</f>
        <v/>
      </c>
      <c r="B30" s="64" t="str">
        <f>IF($A30="","",INDEX($N$2:$N$126,_xlfn.AGGREGATE(15,6,$S$2:$S$126/($P$2:$P$126&gt;0),14)))</f>
        <v/>
      </c>
      <c r="C30" s="51"/>
      <c r="D30" s="51"/>
      <c r="E30" s="44" t="str">
        <f>IF($A30="","",INDEX($O$2:$O$126,_xlfn.AGGREGATE(15,6,$S$2:$S$126/($P$2:$P$126&gt;0),14)))</f>
        <v/>
      </c>
      <c r="F30" s="45" t="str">
        <f>IF($A30="","",INDEX($P$2:$P$126,_xlfn.AGGREGATE(15,6,$S$2:$S$126/($P$2:$P$126&gt;0),14)))</f>
        <v/>
      </c>
      <c r="G30" s="45" t="str">
        <f>IF($A30="","",INDEX($Q$2:$Q$126,_xlfn.AGGREGATE(15,6,$S$2:$S$126/($P$2:$P$126&gt;0),14)))</f>
        <v/>
      </c>
      <c r="H30" s="65" t="str">
        <f>IF($A30="","",INDEX($R$2:$R$126,_xlfn.AGGREGATE(15,6,$S$2:$S$126/($P$2:$P$126&gt;0),14)))</f>
        <v/>
      </c>
      <c r="I30" s="51"/>
      <c r="M30" t="s">
        <v>161</v>
      </c>
      <c r="N30" t="str">
        <f>'ملخص الكميات حسب البند والخامة'!$B$55&amp;""</f>
        <v>سيراميك حوائط ديكوري</v>
      </c>
      <c r="O30" t="str">
        <f>'ملخص الكميات حسب البند والخامة'!$C$55&amp;""</f>
        <v>م²</v>
      </c>
      <c r="P30">
        <f t="shared" si="2"/>
        <v>0</v>
      </c>
      <c r="Q30">
        <f t="shared" si="3"/>
        <v>0</v>
      </c>
      <c r="R30">
        <f t="shared" si="4"/>
        <v>0</v>
      </c>
      <c r="S30">
        <v>29</v>
      </c>
    </row>
    <row r="31" spans="1:19" ht="18.95" customHeight="1" x14ac:dyDescent="0.25">
      <c r="A31" s="43" t="str">
        <f>IFERROR(INDEX($M$2:$M$126,_xlfn.AGGREGATE(15,6,$S$2:$S$126/($P$2:$P$126&gt;0),15)),"")</f>
        <v/>
      </c>
      <c r="B31" s="64" t="str">
        <f>IF($A31="","",INDEX($N$2:$N$126,_xlfn.AGGREGATE(15,6,$S$2:$S$126/($P$2:$P$126&gt;0),15)))</f>
        <v/>
      </c>
      <c r="C31" s="51"/>
      <c r="D31" s="51"/>
      <c r="E31" s="44" t="str">
        <f>IF($A31="","",INDEX($O$2:$O$126,_xlfn.AGGREGATE(15,6,$S$2:$S$126/($P$2:$P$126&gt;0),15)))</f>
        <v/>
      </c>
      <c r="F31" s="45" t="str">
        <f>IF($A31="","",INDEX($P$2:$P$126,_xlfn.AGGREGATE(15,6,$S$2:$S$126/($P$2:$P$126&gt;0),15)))</f>
        <v/>
      </c>
      <c r="G31" s="45" t="str">
        <f>IF($A31="","",INDEX($Q$2:$Q$126,_xlfn.AGGREGATE(15,6,$S$2:$S$126/($P$2:$P$126&gt;0),15)))</f>
        <v/>
      </c>
      <c r="H31" s="65" t="str">
        <f>IF($A31="","",INDEX($R$2:$R$126,_xlfn.AGGREGATE(15,6,$S$2:$S$126/($P$2:$P$126&gt;0),15)))</f>
        <v/>
      </c>
      <c r="I31" s="51"/>
      <c r="M31" t="s">
        <v>161</v>
      </c>
      <c r="N31" t="str">
        <f>'ملخص الكميات حسب البند والخامة'!$B$56&amp;""</f>
        <v>موزايكو حوائط</v>
      </c>
      <c r="O31" t="str">
        <f>'ملخص الكميات حسب البند والخامة'!$C$56&amp;""</f>
        <v>م²</v>
      </c>
      <c r="P31">
        <f t="shared" si="2"/>
        <v>0</v>
      </c>
      <c r="Q31">
        <f t="shared" si="3"/>
        <v>0</v>
      </c>
      <c r="R31">
        <f t="shared" si="4"/>
        <v>0</v>
      </c>
      <c r="S31">
        <v>30</v>
      </c>
    </row>
    <row r="32" spans="1:19" ht="18.95" customHeight="1" x14ac:dyDescent="0.25">
      <c r="A32" s="43" t="str">
        <f>IFERROR(INDEX($M$2:$M$126,_xlfn.AGGREGATE(15,6,$S$2:$S$126/($P$2:$P$126&gt;0),16)),"")</f>
        <v/>
      </c>
      <c r="B32" s="64" t="str">
        <f>IF($A32="","",INDEX($N$2:$N$126,_xlfn.AGGREGATE(15,6,$S$2:$S$126/($P$2:$P$126&gt;0),16)))</f>
        <v/>
      </c>
      <c r="C32" s="51"/>
      <c r="D32" s="51"/>
      <c r="E32" s="44" t="str">
        <f>IF($A32="","",INDEX($O$2:$O$126,_xlfn.AGGREGATE(15,6,$S$2:$S$126/($P$2:$P$126&gt;0),16)))</f>
        <v/>
      </c>
      <c r="F32" s="45" t="str">
        <f>IF($A32="","",INDEX($P$2:$P$126,_xlfn.AGGREGATE(15,6,$S$2:$S$126/($P$2:$P$126&gt;0),16)))</f>
        <v/>
      </c>
      <c r="G32" s="45" t="str">
        <f>IF($A32="","",INDEX($Q$2:$Q$126,_xlfn.AGGREGATE(15,6,$S$2:$S$126/($P$2:$P$126&gt;0),16)))</f>
        <v/>
      </c>
      <c r="H32" s="65" t="str">
        <f>IF($A32="","",INDEX($R$2:$R$126,_xlfn.AGGREGATE(15,6,$S$2:$S$126/($P$2:$P$126&gt;0),16)))</f>
        <v/>
      </c>
      <c r="I32" s="51"/>
      <c r="M32" t="s">
        <v>161</v>
      </c>
      <c r="N32" t="str">
        <f>'ملخص الكميات حسب البند والخامة'!$B$57&amp;""</f>
        <v>رخام حوائط</v>
      </c>
      <c r="O32" t="str">
        <f>'ملخص الكميات حسب البند والخامة'!$C$57&amp;""</f>
        <v>م²</v>
      </c>
      <c r="P32">
        <f t="shared" si="2"/>
        <v>0</v>
      </c>
      <c r="Q32">
        <f t="shared" si="3"/>
        <v>0</v>
      </c>
      <c r="R32">
        <f t="shared" si="4"/>
        <v>0</v>
      </c>
      <c r="S32">
        <v>31</v>
      </c>
    </row>
    <row r="33" spans="1:19" ht="18.95" customHeight="1" x14ac:dyDescent="0.25">
      <c r="A33" s="43" t="str">
        <f>IFERROR(INDEX($M$2:$M$126,_xlfn.AGGREGATE(15,6,$S$2:$S$126/($P$2:$P$126&gt;0),17)),"")</f>
        <v/>
      </c>
      <c r="B33" s="64" t="str">
        <f>IF($A33="","",INDEX($N$2:$N$126,_xlfn.AGGREGATE(15,6,$S$2:$S$126/($P$2:$P$126&gt;0),17)))</f>
        <v/>
      </c>
      <c r="C33" s="51"/>
      <c r="D33" s="51"/>
      <c r="E33" s="44" t="str">
        <f>IF($A33="","",INDEX($O$2:$O$126,_xlfn.AGGREGATE(15,6,$S$2:$S$126/($P$2:$P$126&gt;0),17)))</f>
        <v/>
      </c>
      <c r="F33" s="45" t="str">
        <f>IF($A33="","",INDEX($P$2:$P$126,_xlfn.AGGREGATE(15,6,$S$2:$S$126/($P$2:$P$126&gt;0),17)))</f>
        <v/>
      </c>
      <c r="G33" s="45" t="str">
        <f>IF($A33="","",INDEX($Q$2:$Q$126,_xlfn.AGGREGATE(15,6,$S$2:$S$126/($P$2:$P$126&gt;0),17)))</f>
        <v/>
      </c>
      <c r="H33" s="65" t="str">
        <f>IF($A33="","",INDEX($R$2:$R$126,_xlfn.AGGREGATE(15,6,$S$2:$S$126/($P$2:$P$126&gt;0),17)))</f>
        <v/>
      </c>
      <c r="I33" s="51"/>
      <c r="M33" t="s">
        <v>161</v>
      </c>
      <c r="N33" t="str">
        <f>'ملخص الكميات حسب البند والخامة'!$B$58&amp;""</f>
        <v>جرانيت حوائط</v>
      </c>
      <c r="O33" t="str">
        <f>'ملخص الكميات حسب البند والخامة'!$C$58&amp;""</f>
        <v>م²</v>
      </c>
      <c r="P33">
        <f t="shared" si="2"/>
        <v>0</v>
      </c>
      <c r="Q33">
        <f t="shared" si="3"/>
        <v>0</v>
      </c>
      <c r="R33">
        <f t="shared" si="4"/>
        <v>0</v>
      </c>
      <c r="S33">
        <v>32</v>
      </c>
    </row>
    <row r="34" spans="1:19" ht="18.95" customHeight="1" x14ac:dyDescent="0.25">
      <c r="A34" s="43" t="str">
        <f>IFERROR(INDEX($M$2:$M$126,_xlfn.AGGREGATE(15,6,$S$2:$S$126/($P$2:$P$126&gt;0),18)),"")</f>
        <v/>
      </c>
      <c r="B34" s="64" t="str">
        <f>IF($A34="","",INDEX($N$2:$N$126,_xlfn.AGGREGATE(15,6,$S$2:$S$126/($P$2:$P$126&gt;0),18)))</f>
        <v/>
      </c>
      <c r="C34" s="51"/>
      <c r="D34" s="51"/>
      <c r="E34" s="44" t="str">
        <f>IF($A34="","",INDEX($O$2:$O$126,_xlfn.AGGREGATE(15,6,$S$2:$S$126/($P$2:$P$126&gt;0),18)))</f>
        <v/>
      </c>
      <c r="F34" s="45" t="str">
        <f>IF($A34="","",INDEX($P$2:$P$126,_xlfn.AGGREGATE(15,6,$S$2:$S$126/($P$2:$P$126&gt;0),18)))</f>
        <v/>
      </c>
      <c r="G34" s="45" t="str">
        <f>IF($A34="","",INDEX($Q$2:$Q$126,_xlfn.AGGREGATE(15,6,$S$2:$S$126/($P$2:$P$126&gt;0),18)))</f>
        <v/>
      </c>
      <c r="H34" s="65" t="str">
        <f>IF($A34="","",INDEX($R$2:$R$126,_xlfn.AGGREGATE(15,6,$S$2:$S$126/($P$2:$P$126&gt;0),18)))</f>
        <v/>
      </c>
      <c r="I34" s="51"/>
      <c r="M34" t="s">
        <v>161</v>
      </c>
      <c r="N34" t="str">
        <f>'ملخص الكميات حسب البند والخامة'!$B$59&amp;""</f>
        <v>دهانات</v>
      </c>
      <c r="O34" t="str">
        <f>'ملخص الكميات حسب البند والخامة'!$C$59&amp;""</f>
        <v>م²</v>
      </c>
      <c r="P34">
        <f t="shared" si="2"/>
        <v>0</v>
      </c>
      <c r="Q34">
        <f t="shared" si="3"/>
        <v>0</v>
      </c>
      <c r="R34">
        <f t="shared" si="4"/>
        <v>0</v>
      </c>
      <c r="S34">
        <v>33</v>
      </c>
    </row>
    <row r="35" spans="1:19" ht="18.95" customHeight="1" x14ac:dyDescent="0.25">
      <c r="A35" s="43" t="str">
        <f>IFERROR(INDEX($M$2:$M$126,_xlfn.AGGREGATE(15,6,$S$2:$S$126/($P$2:$P$126&gt;0),19)),"")</f>
        <v/>
      </c>
      <c r="B35" s="64" t="str">
        <f>IF($A35="","",INDEX($N$2:$N$126,_xlfn.AGGREGATE(15,6,$S$2:$S$126/($P$2:$P$126&gt;0),19)))</f>
        <v/>
      </c>
      <c r="C35" s="51"/>
      <c r="D35" s="51"/>
      <c r="E35" s="44" t="str">
        <f>IF($A35="","",INDEX($O$2:$O$126,_xlfn.AGGREGATE(15,6,$S$2:$S$126/($P$2:$P$126&gt;0),19)))</f>
        <v/>
      </c>
      <c r="F35" s="45" t="str">
        <f>IF($A35="","",INDEX($P$2:$P$126,_xlfn.AGGREGATE(15,6,$S$2:$S$126/($P$2:$P$126&gt;0),19)))</f>
        <v/>
      </c>
      <c r="G35" s="45" t="str">
        <f>IF($A35="","",INDEX($Q$2:$Q$126,_xlfn.AGGREGATE(15,6,$S$2:$S$126/($P$2:$P$126&gt;0),19)))</f>
        <v/>
      </c>
      <c r="H35" s="65" t="str">
        <f>IF($A35="","",INDEX($R$2:$R$126,_xlfn.AGGREGATE(15,6,$S$2:$S$126/($P$2:$P$126&gt;0),19)))</f>
        <v/>
      </c>
      <c r="I35" s="51"/>
      <c r="M35" t="s">
        <v>161</v>
      </c>
      <c r="N35" t="str">
        <f>'ملخص الكميات حسب البند والخامة'!$B$60&amp;""</f>
        <v>ورق حائط</v>
      </c>
      <c r="O35" t="str">
        <f>'ملخص الكميات حسب البند والخامة'!$C$60&amp;""</f>
        <v>م²</v>
      </c>
      <c r="P35">
        <f t="shared" si="2"/>
        <v>0</v>
      </c>
      <c r="Q35">
        <f t="shared" si="3"/>
        <v>0</v>
      </c>
      <c r="R35">
        <f t="shared" si="4"/>
        <v>0</v>
      </c>
      <c r="S35">
        <v>34</v>
      </c>
    </row>
    <row r="36" spans="1:19" ht="18.95" customHeight="1" x14ac:dyDescent="0.25">
      <c r="A36" s="43" t="str">
        <f>IFERROR(INDEX($M$2:$M$126,_xlfn.AGGREGATE(15,6,$S$2:$S$126/($P$2:$P$126&gt;0),20)),"")</f>
        <v/>
      </c>
      <c r="B36" s="64" t="str">
        <f>IF($A36="","",INDEX($N$2:$N$126,_xlfn.AGGREGATE(15,6,$S$2:$S$126/($P$2:$P$126&gt;0),20)))</f>
        <v/>
      </c>
      <c r="C36" s="51"/>
      <c r="D36" s="51"/>
      <c r="E36" s="44" t="str">
        <f>IF($A36="","",INDEX($O$2:$O$126,_xlfn.AGGREGATE(15,6,$S$2:$S$126/($P$2:$P$126&gt;0),20)))</f>
        <v/>
      </c>
      <c r="F36" s="45" t="str">
        <f>IF($A36="","",INDEX($P$2:$P$126,_xlfn.AGGREGATE(15,6,$S$2:$S$126/($P$2:$P$126&gt;0),20)))</f>
        <v/>
      </c>
      <c r="G36" s="45" t="str">
        <f>IF($A36="","",INDEX($Q$2:$Q$126,_xlfn.AGGREGATE(15,6,$S$2:$S$126/($P$2:$P$126&gt;0),20)))</f>
        <v/>
      </c>
      <c r="H36" s="65" t="str">
        <f>IF($A36="","",INDEX($R$2:$R$126,_xlfn.AGGREGATE(15,6,$S$2:$S$126/($P$2:$P$126&gt;0),20)))</f>
        <v/>
      </c>
      <c r="I36" s="51"/>
      <c r="M36" t="s">
        <v>161</v>
      </c>
      <c r="N36" t="str">
        <f>'ملخص الكميات حسب البند والخامة'!$B$61&amp;""</f>
        <v>كسوات خشبية</v>
      </c>
      <c r="O36" t="str">
        <f>'ملخص الكميات حسب البند والخامة'!$C$61&amp;""</f>
        <v>م²</v>
      </c>
      <c r="P36">
        <f t="shared" si="2"/>
        <v>0</v>
      </c>
      <c r="Q36">
        <f t="shared" si="3"/>
        <v>0</v>
      </c>
      <c r="R36">
        <f t="shared" si="4"/>
        <v>0</v>
      </c>
      <c r="S36">
        <v>35</v>
      </c>
    </row>
    <row r="37" spans="1:19" ht="18.95" customHeight="1" x14ac:dyDescent="0.25">
      <c r="A37" s="43" t="str">
        <f>IFERROR(INDEX($M$2:$M$126,_xlfn.AGGREGATE(15,6,$S$2:$S$126/($P$2:$P$126&gt;0),21)),"")</f>
        <v/>
      </c>
      <c r="B37" s="64" t="str">
        <f>IF($A37="","",INDEX($N$2:$N$126,_xlfn.AGGREGATE(15,6,$S$2:$S$126/($P$2:$P$126&gt;0),21)))</f>
        <v/>
      </c>
      <c r="C37" s="51"/>
      <c r="D37" s="51"/>
      <c r="E37" s="44" t="str">
        <f>IF($A37="","",INDEX($O$2:$O$126,_xlfn.AGGREGATE(15,6,$S$2:$S$126/($P$2:$P$126&gt;0),21)))</f>
        <v/>
      </c>
      <c r="F37" s="45" t="str">
        <f>IF($A37="","",INDEX($P$2:$P$126,_xlfn.AGGREGATE(15,6,$S$2:$S$126/($P$2:$P$126&gt;0),21)))</f>
        <v/>
      </c>
      <c r="G37" s="45" t="str">
        <f>IF($A37="","",INDEX($Q$2:$Q$126,_xlfn.AGGREGATE(15,6,$S$2:$S$126/($P$2:$P$126&gt;0),21)))</f>
        <v/>
      </c>
      <c r="H37" s="65" t="str">
        <f>IF($A37="","",INDEX($R$2:$R$126,_xlfn.AGGREGATE(15,6,$S$2:$S$126/($P$2:$P$126&gt;0),21)))</f>
        <v/>
      </c>
      <c r="I37" s="51"/>
      <c r="M37" t="s">
        <v>161</v>
      </c>
      <c r="N37" t="str">
        <f>'ملخص الكميات حسب البند والخامة'!$B$62&amp;""</f>
        <v>كسوات حجرية</v>
      </c>
      <c r="O37" t="str">
        <f>'ملخص الكميات حسب البند والخامة'!$C$62&amp;""</f>
        <v>م²</v>
      </c>
      <c r="P37">
        <f t="shared" si="2"/>
        <v>0</v>
      </c>
      <c r="Q37">
        <f t="shared" si="3"/>
        <v>0</v>
      </c>
      <c r="R37">
        <f t="shared" si="4"/>
        <v>0</v>
      </c>
      <c r="S37">
        <v>36</v>
      </c>
    </row>
    <row r="38" spans="1:19" ht="18.95" customHeight="1" x14ac:dyDescent="0.25">
      <c r="A38" s="43" t="str">
        <f>IFERROR(INDEX($M$2:$M$126,_xlfn.AGGREGATE(15,6,$S$2:$S$126/($P$2:$P$126&gt;0),22)),"")</f>
        <v/>
      </c>
      <c r="B38" s="64" t="str">
        <f>IF($A38="","",INDEX($N$2:$N$126,_xlfn.AGGREGATE(15,6,$S$2:$S$126/($P$2:$P$126&gt;0),22)))</f>
        <v/>
      </c>
      <c r="C38" s="51"/>
      <c r="D38" s="51"/>
      <c r="E38" s="44" t="str">
        <f>IF($A38="","",INDEX($O$2:$O$126,_xlfn.AGGREGATE(15,6,$S$2:$S$126/($P$2:$P$126&gt;0),22)))</f>
        <v/>
      </c>
      <c r="F38" s="45" t="str">
        <f>IF($A38="","",INDEX($P$2:$P$126,_xlfn.AGGREGATE(15,6,$S$2:$S$126/($P$2:$P$126&gt;0),22)))</f>
        <v/>
      </c>
      <c r="G38" s="45" t="str">
        <f>IF($A38="","",INDEX($Q$2:$Q$126,_xlfn.AGGREGATE(15,6,$S$2:$S$126/($P$2:$P$126&gt;0),22)))</f>
        <v/>
      </c>
      <c r="H38" s="65" t="str">
        <f>IF($A38="","",INDEX($R$2:$R$126,_xlfn.AGGREGATE(15,6,$S$2:$S$126/($P$2:$P$126&gt;0),22)))</f>
        <v/>
      </c>
      <c r="I38" s="51"/>
      <c r="M38" t="s">
        <v>161</v>
      </c>
      <c r="N38" t="str">
        <f>'ملخص الكميات حسب البند والخامة'!$B$63&amp;""</f>
        <v>ألواح وكسوات أخرى</v>
      </c>
      <c r="O38" t="str">
        <f>'ملخص الكميات حسب البند والخامة'!$C$63&amp;""</f>
        <v>م²</v>
      </c>
      <c r="P38">
        <f t="shared" si="2"/>
        <v>0</v>
      </c>
      <c r="Q38">
        <f t="shared" si="3"/>
        <v>0</v>
      </c>
      <c r="R38">
        <f t="shared" si="4"/>
        <v>0</v>
      </c>
      <c r="S38">
        <v>37</v>
      </c>
    </row>
    <row r="39" spans="1:19" ht="18.95" customHeight="1" x14ac:dyDescent="0.25">
      <c r="A39" s="43" t="str">
        <f>IFERROR(INDEX($M$2:$M$126,_xlfn.AGGREGATE(15,6,$S$2:$S$126/($P$2:$P$126&gt;0),23)),"")</f>
        <v/>
      </c>
      <c r="B39" s="64" t="str">
        <f>IF($A39="","",INDEX($N$2:$N$126,_xlfn.AGGREGATE(15,6,$S$2:$S$126/($P$2:$P$126&gt;0),23)))</f>
        <v/>
      </c>
      <c r="C39" s="51"/>
      <c r="D39" s="51"/>
      <c r="E39" s="44" t="str">
        <f>IF($A39="","",INDEX($O$2:$O$126,_xlfn.AGGREGATE(15,6,$S$2:$S$126/($P$2:$P$126&gt;0),23)))</f>
        <v/>
      </c>
      <c r="F39" s="45" t="str">
        <f>IF($A39="","",INDEX($P$2:$P$126,_xlfn.AGGREGATE(15,6,$S$2:$S$126/($P$2:$P$126&gt;0),23)))</f>
        <v/>
      </c>
      <c r="G39" s="45" t="str">
        <f>IF($A39="","",INDEX($Q$2:$Q$126,_xlfn.AGGREGATE(15,6,$S$2:$S$126/($P$2:$P$126&gt;0),23)))</f>
        <v/>
      </c>
      <c r="H39" s="65" t="str">
        <f>IF($A39="","",INDEX($R$2:$R$126,_xlfn.AGGREGATE(15,6,$S$2:$S$126/($P$2:$P$126&gt;0),23)))</f>
        <v/>
      </c>
      <c r="I39" s="51"/>
      <c r="M39" t="s">
        <v>161</v>
      </c>
      <c r="N39" t="str">
        <f>'ملخص الكميات حسب البند والخامة'!$B$64&amp;""</f>
        <v/>
      </c>
      <c r="O39" t="str">
        <f>'ملخص الكميات حسب البند والخامة'!$C$64&amp;""</f>
        <v/>
      </c>
      <c r="P39">
        <f t="shared" si="2"/>
        <v>0</v>
      </c>
      <c r="Q39">
        <f t="shared" si="3"/>
        <v>0</v>
      </c>
      <c r="R39">
        <f t="shared" si="4"/>
        <v>0</v>
      </c>
      <c r="S39">
        <v>38</v>
      </c>
    </row>
    <row r="40" spans="1:19" ht="18.95" customHeight="1" x14ac:dyDescent="0.25">
      <c r="A40" s="43" t="str">
        <f>IFERROR(INDEX($M$2:$M$126,_xlfn.AGGREGATE(15,6,$S$2:$S$126/($P$2:$P$126&gt;0),24)),"")</f>
        <v/>
      </c>
      <c r="B40" s="64" t="str">
        <f>IF($A40="","",INDEX($N$2:$N$126,_xlfn.AGGREGATE(15,6,$S$2:$S$126/($P$2:$P$126&gt;0),24)))</f>
        <v/>
      </c>
      <c r="C40" s="51"/>
      <c r="D40" s="51"/>
      <c r="E40" s="44" t="str">
        <f>IF($A40="","",INDEX($O$2:$O$126,_xlfn.AGGREGATE(15,6,$S$2:$S$126/($P$2:$P$126&gt;0),24)))</f>
        <v/>
      </c>
      <c r="F40" s="45" t="str">
        <f>IF($A40="","",INDEX($P$2:$P$126,_xlfn.AGGREGATE(15,6,$S$2:$S$126/($P$2:$P$126&gt;0),24)))</f>
        <v/>
      </c>
      <c r="G40" s="45" t="str">
        <f>IF($A40="","",INDEX($Q$2:$Q$126,_xlfn.AGGREGATE(15,6,$S$2:$S$126/($P$2:$P$126&gt;0),24)))</f>
        <v/>
      </c>
      <c r="H40" s="65" t="str">
        <f>IF($A40="","",INDEX($R$2:$R$126,_xlfn.AGGREGATE(15,6,$S$2:$S$126/($P$2:$P$126&gt;0),24)))</f>
        <v/>
      </c>
      <c r="I40" s="51"/>
      <c r="M40" t="s">
        <v>161</v>
      </c>
      <c r="N40" t="str">
        <f>'ملخص الكميات حسب البند والخامة'!$B$65&amp;""</f>
        <v/>
      </c>
      <c r="O40" t="str">
        <f>'ملخص الكميات حسب البند والخامة'!$C$65&amp;""</f>
        <v/>
      </c>
      <c r="P40">
        <f t="shared" si="2"/>
        <v>0</v>
      </c>
      <c r="Q40">
        <f t="shared" si="3"/>
        <v>0</v>
      </c>
      <c r="R40">
        <f t="shared" si="4"/>
        <v>0</v>
      </c>
      <c r="S40">
        <v>39</v>
      </c>
    </row>
    <row r="41" spans="1:19" ht="18.95" customHeight="1" x14ac:dyDescent="0.25">
      <c r="A41" s="43" t="str">
        <f>IFERROR(INDEX($M$2:$M$126,_xlfn.AGGREGATE(15,6,$S$2:$S$126/($P$2:$P$126&gt;0),25)),"")</f>
        <v/>
      </c>
      <c r="B41" s="64" t="str">
        <f>IF($A41="","",INDEX($N$2:$N$126,_xlfn.AGGREGATE(15,6,$S$2:$S$126/($P$2:$P$126&gt;0),25)))</f>
        <v/>
      </c>
      <c r="C41" s="51"/>
      <c r="D41" s="51"/>
      <c r="E41" s="44" t="str">
        <f>IF($A41="","",INDEX($O$2:$O$126,_xlfn.AGGREGATE(15,6,$S$2:$S$126/($P$2:$P$126&gt;0),25)))</f>
        <v/>
      </c>
      <c r="F41" s="45" t="str">
        <f>IF($A41="","",INDEX($P$2:$P$126,_xlfn.AGGREGATE(15,6,$S$2:$S$126/($P$2:$P$126&gt;0),25)))</f>
        <v/>
      </c>
      <c r="G41" s="45" t="str">
        <f>IF($A41="","",INDEX($Q$2:$Q$126,_xlfn.AGGREGATE(15,6,$S$2:$S$126/($P$2:$P$126&gt;0),25)))</f>
        <v/>
      </c>
      <c r="H41" s="65" t="str">
        <f>IF($A41="","",INDEX($R$2:$R$126,_xlfn.AGGREGATE(15,6,$S$2:$S$126/($P$2:$P$126&gt;0),25)))</f>
        <v/>
      </c>
      <c r="I41" s="51"/>
      <c r="M41" t="s">
        <v>161</v>
      </c>
      <c r="N41" t="str">
        <f>'ملخص الكميات حسب البند والخامة'!$B$66&amp;""</f>
        <v/>
      </c>
      <c r="O41" t="str">
        <f>'ملخص الكميات حسب البند والخامة'!$C$66&amp;""</f>
        <v/>
      </c>
      <c r="P41">
        <f t="shared" si="2"/>
        <v>0</v>
      </c>
      <c r="Q41">
        <f t="shared" si="3"/>
        <v>0</v>
      </c>
      <c r="R41">
        <f t="shared" si="4"/>
        <v>0</v>
      </c>
      <c r="S41">
        <v>40</v>
      </c>
    </row>
    <row r="42" spans="1:19" ht="18.95" customHeight="1" x14ac:dyDescent="0.25">
      <c r="A42" s="43" t="str">
        <f>IFERROR(INDEX($M$2:$M$126,_xlfn.AGGREGATE(15,6,$S$2:$S$126/($P$2:$P$126&gt;0),26)),"")</f>
        <v/>
      </c>
      <c r="B42" s="64" t="str">
        <f>IF($A42="","",INDEX($N$2:$N$126,_xlfn.AGGREGATE(15,6,$S$2:$S$126/($P$2:$P$126&gt;0),26)))</f>
        <v/>
      </c>
      <c r="C42" s="51"/>
      <c r="D42" s="51"/>
      <c r="E42" s="44" t="str">
        <f>IF($A42="","",INDEX($O$2:$O$126,_xlfn.AGGREGATE(15,6,$S$2:$S$126/($P$2:$P$126&gt;0),26)))</f>
        <v/>
      </c>
      <c r="F42" s="45" t="str">
        <f>IF($A42="","",INDEX($P$2:$P$126,_xlfn.AGGREGATE(15,6,$S$2:$S$126/($P$2:$P$126&gt;0),26)))</f>
        <v/>
      </c>
      <c r="G42" s="45" t="str">
        <f>IF($A42="","",INDEX($Q$2:$Q$126,_xlfn.AGGREGATE(15,6,$S$2:$S$126/($P$2:$P$126&gt;0),26)))</f>
        <v/>
      </c>
      <c r="H42" s="65" t="str">
        <f>IF($A42="","",INDEX($R$2:$R$126,_xlfn.AGGREGATE(15,6,$S$2:$S$126/($P$2:$P$126&gt;0),26)))</f>
        <v/>
      </c>
      <c r="I42" s="51"/>
      <c r="M42" t="s">
        <v>161</v>
      </c>
      <c r="N42" t="str">
        <f>'ملخص الكميات حسب البند والخامة'!$B$67&amp;""</f>
        <v/>
      </c>
      <c r="O42" t="str">
        <f>'ملخص الكميات حسب البند والخامة'!$C$67&amp;""</f>
        <v/>
      </c>
      <c r="P42">
        <f t="shared" si="2"/>
        <v>0</v>
      </c>
      <c r="Q42">
        <f t="shared" si="3"/>
        <v>0</v>
      </c>
      <c r="R42">
        <f t="shared" si="4"/>
        <v>0</v>
      </c>
      <c r="S42">
        <v>41</v>
      </c>
    </row>
    <row r="43" spans="1:19" ht="18.95" customHeight="1" x14ac:dyDescent="0.25">
      <c r="A43" s="43" t="str">
        <f>IFERROR(INDEX($M$2:$M$126,_xlfn.AGGREGATE(15,6,$S$2:$S$126/($P$2:$P$126&gt;0),27)),"")</f>
        <v/>
      </c>
      <c r="B43" s="64" t="str">
        <f>IF($A43="","",INDEX($N$2:$N$126,_xlfn.AGGREGATE(15,6,$S$2:$S$126/($P$2:$P$126&gt;0),27)))</f>
        <v/>
      </c>
      <c r="C43" s="51"/>
      <c r="D43" s="51"/>
      <c r="E43" s="44" t="str">
        <f>IF($A43="","",INDEX($O$2:$O$126,_xlfn.AGGREGATE(15,6,$S$2:$S$126/($P$2:$P$126&gt;0),27)))</f>
        <v/>
      </c>
      <c r="F43" s="45" t="str">
        <f>IF($A43="","",INDEX($P$2:$P$126,_xlfn.AGGREGATE(15,6,$S$2:$S$126/($P$2:$P$126&gt;0),27)))</f>
        <v/>
      </c>
      <c r="G43" s="45" t="str">
        <f>IF($A43="","",INDEX($Q$2:$Q$126,_xlfn.AGGREGATE(15,6,$S$2:$S$126/($P$2:$P$126&gt;0),27)))</f>
        <v/>
      </c>
      <c r="H43" s="65" t="str">
        <f>IF($A43="","",INDEX($R$2:$R$126,_xlfn.AGGREGATE(15,6,$S$2:$S$126/($P$2:$P$126&gt;0),27)))</f>
        <v/>
      </c>
      <c r="I43" s="51"/>
      <c r="M43" t="s">
        <v>161</v>
      </c>
      <c r="N43" t="str">
        <f>'ملخص الكميات حسب البند والخامة'!$B$68&amp;""</f>
        <v/>
      </c>
      <c r="O43" t="str">
        <f>'ملخص الكميات حسب البند والخامة'!$C$68&amp;""</f>
        <v/>
      </c>
      <c r="P43">
        <f t="shared" si="2"/>
        <v>0</v>
      </c>
      <c r="Q43">
        <f t="shared" si="3"/>
        <v>0</v>
      </c>
      <c r="R43">
        <f t="shared" si="4"/>
        <v>0</v>
      </c>
      <c r="S43">
        <v>42</v>
      </c>
    </row>
    <row r="44" spans="1:19" ht="18.95" customHeight="1" x14ac:dyDescent="0.25">
      <c r="A44" s="43" t="str">
        <f>IFERROR(INDEX($M$2:$M$126,_xlfn.AGGREGATE(15,6,$S$2:$S$126/($P$2:$P$126&gt;0),28)),"")</f>
        <v/>
      </c>
      <c r="B44" s="64" t="str">
        <f>IF($A44="","",INDEX($N$2:$N$126,_xlfn.AGGREGATE(15,6,$S$2:$S$126/($P$2:$P$126&gt;0),28)))</f>
        <v/>
      </c>
      <c r="C44" s="51"/>
      <c r="D44" s="51"/>
      <c r="E44" s="44" t="str">
        <f>IF($A44="","",INDEX($O$2:$O$126,_xlfn.AGGREGATE(15,6,$S$2:$S$126/($P$2:$P$126&gt;0),28)))</f>
        <v/>
      </c>
      <c r="F44" s="45" t="str">
        <f>IF($A44="","",INDEX($P$2:$P$126,_xlfn.AGGREGATE(15,6,$S$2:$S$126/($P$2:$P$126&gt;0),28)))</f>
        <v/>
      </c>
      <c r="G44" s="45" t="str">
        <f>IF($A44="","",INDEX($Q$2:$Q$126,_xlfn.AGGREGATE(15,6,$S$2:$S$126/($P$2:$P$126&gt;0),28)))</f>
        <v/>
      </c>
      <c r="H44" s="65" t="str">
        <f>IF($A44="","",INDEX($R$2:$R$126,_xlfn.AGGREGATE(15,6,$S$2:$S$126/($P$2:$P$126&gt;0),28)))</f>
        <v/>
      </c>
      <c r="I44" s="51"/>
      <c r="M44" t="s">
        <v>161</v>
      </c>
      <c r="N44" t="str">
        <f>'ملخص الكميات حسب البند والخامة'!$B$69&amp;""</f>
        <v/>
      </c>
      <c r="O44" t="str">
        <f>'ملخص الكميات حسب البند والخامة'!$C$69&amp;""</f>
        <v/>
      </c>
      <c r="P44">
        <f t="shared" si="2"/>
        <v>0</v>
      </c>
      <c r="Q44">
        <f t="shared" si="3"/>
        <v>0</v>
      </c>
      <c r="R44">
        <f t="shared" si="4"/>
        <v>0</v>
      </c>
      <c r="S44">
        <v>43</v>
      </c>
    </row>
    <row r="45" spans="1:19" ht="18.95" customHeight="1" x14ac:dyDescent="0.25">
      <c r="A45" s="43" t="str">
        <f>IFERROR(INDEX($M$2:$M$126,_xlfn.AGGREGATE(15,6,$S$2:$S$126/($P$2:$P$126&gt;0),29)),"")</f>
        <v/>
      </c>
      <c r="B45" s="64" t="str">
        <f>IF($A45="","",INDEX($N$2:$N$126,_xlfn.AGGREGATE(15,6,$S$2:$S$126/($P$2:$P$126&gt;0),29)))</f>
        <v/>
      </c>
      <c r="C45" s="51"/>
      <c r="D45" s="51"/>
      <c r="E45" s="44" t="str">
        <f>IF($A45="","",INDEX($O$2:$O$126,_xlfn.AGGREGATE(15,6,$S$2:$S$126/($P$2:$P$126&gt;0),29)))</f>
        <v/>
      </c>
      <c r="F45" s="45" t="str">
        <f>IF($A45="","",INDEX($P$2:$P$126,_xlfn.AGGREGATE(15,6,$S$2:$S$126/($P$2:$P$126&gt;0),29)))</f>
        <v/>
      </c>
      <c r="G45" s="45" t="str">
        <f>IF($A45="","",INDEX($Q$2:$Q$126,_xlfn.AGGREGATE(15,6,$S$2:$S$126/($P$2:$P$126&gt;0),29)))</f>
        <v/>
      </c>
      <c r="H45" s="65" t="str">
        <f>IF($A45="","",INDEX($R$2:$R$126,_xlfn.AGGREGATE(15,6,$S$2:$S$126/($P$2:$P$126&gt;0),29)))</f>
        <v/>
      </c>
      <c r="I45" s="51"/>
      <c r="M45" t="s">
        <v>161</v>
      </c>
      <c r="N45" t="str">
        <f>'ملخص الكميات حسب البند والخامة'!$B$70&amp;""</f>
        <v/>
      </c>
      <c r="O45" t="str">
        <f>'ملخص الكميات حسب البند والخامة'!$C$70&amp;""</f>
        <v/>
      </c>
      <c r="P45">
        <f t="shared" si="2"/>
        <v>0</v>
      </c>
      <c r="Q45">
        <f t="shared" si="3"/>
        <v>0</v>
      </c>
      <c r="R45">
        <f t="shared" si="4"/>
        <v>0</v>
      </c>
      <c r="S45">
        <v>44</v>
      </c>
    </row>
    <row r="46" spans="1:19" ht="18.95" customHeight="1" x14ac:dyDescent="0.25">
      <c r="A46" s="43" t="str">
        <f>IFERROR(INDEX($M$2:$M$126,_xlfn.AGGREGATE(15,6,$S$2:$S$126/($P$2:$P$126&gt;0),30)),"")</f>
        <v/>
      </c>
      <c r="B46" s="64" t="str">
        <f>IF($A46="","",INDEX($N$2:$N$126,_xlfn.AGGREGATE(15,6,$S$2:$S$126/($P$2:$P$126&gt;0),30)))</f>
        <v/>
      </c>
      <c r="C46" s="51"/>
      <c r="D46" s="51"/>
      <c r="E46" s="44" t="str">
        <f>IF($A46="","",INDEX($O$2:$O$126,_xlfn.AGGREGATE(15,6,$S$2:$S$126/($P$2:$P$126&gt;0),30)))</f>
        <v/>
      </c>
      <c r="F46" s="45" t="str">
        <f>IF($A46="","",INDEX($P$2:$P$126,_xlfn.AGGREGATE(15,6,$S$2:$S$126/($P$2:$P$126&gt;0),30)))</f>
        <v/>
      </c>
      <c r="G46" s="45" t="str">
        <f>IF($A46="","",INDEX($Q$2:$Q$126,_xlfn.AGGREGATE(15,6,$S$2:$S$126/($P$2:$P$126&gt;0),30)))</f>
        <v/>
      </c>
      <c r="H46" s="65" t="str">
        <f>IF($A46="","",INDEX($R$2:$R$126,_xlfn.AGGREGATE(15,6,$S$2:$S$126/($P$2:$P$126&gt;0),30)))</f>
        <v/>
      </c>
      <c r="I46" s="51"/>
      <c r="M46" t="s">
        <v>161</v>
      </c>
      <c r="N46" t="str">
        <f>'ملخص الكميات حسب البند والخامة'!$B$71&amp;""</f>
        <v/>
      </c>
      <c r="O46" t="str">
        <f>'ملخص الكميات حسب البند والخامة'!$C$71&amp;""</f>
        <v/>
      </c>
      <c r="P46">
        <f t="shared" si="2"/>
        <v>0</v>
      </c>
      <c r="Q46">
        <f t="shared" si="3"/>
        <v>0</v>
      </c>
      <c r="R46">
        <f t="shared" si="4"/>
        <v>0</v>
      </c>
      <c r="S46">
        <v>45</v>
      </c>
    </row>
    <row r="47" spans="1:19" ht="18.95" customHeight="1" x14ac:dyDescent="0.25">
      <c r="A47" s="43" t="str">
        <f>IFERROR(INDEX($M$2:$M$126,_xlfn.AGGREGATE(15,6,$S$2:$S$126/($P$2:$P$126&gt;0),31)),"")</f>
        <v/>
      </c>
      <c r="B47" s="64" t="str">
        <f>IF($A47="","",INDEX($N$2:$N$126,_xlfn.AGGREGATE(15,6,$S$2:$S$126/($P$2:$P$126&gt;0),31)))</f>
        <v/>
      </c>
      <c r="C47" s="51"/>
      <c r="D47" s="51"/>
      <c r="E47" s="44" t="str">
        <f>IF($A47="","",INDEX($O$2:$O$126,_xlfn.AGGREGATE(15,6,$S$2:$S$126/($P$2:$P$126&gt;0),31)))</f>
        <v/>
      </c>
      <c r="F47" s="45" t="str">
        <f>IF($A47="","",INDEX($P$2:$P$126,_xlfn.AGGREGATE(15,6,$S$2:$S$126/($P$2:$P$126&gt;0),31)))</f>
        <v/>
      </c>
      <c r="G47" s="45" t="str">
        <f>IF($A47="","",INDEX($Q$2:$Q$126,_xlfn.AGGREGATE(15,6,$S$2:$S$126/($P$2:$P$126&gt;0),31)))</f>
        <v/>
      </c>
      <c r="H47" s="65" t="str">
        <f>IF($A47="","",INDEX($R$2:$R$126,_xlfn.AGGREGATE(15,6,$S$2:$S$126/($P$2:$P$126&gt;0),31)))</f>
        <v/>
      </c>
      <c r="I47" s="51"/>
      <c r="M47" t="s">
        <v>161</v>
      </c>
      <c r="N47" t="str">
        <f>'ملخص الكميات حسب البند والخامة'!$B$72&amp;""</f>
        <v/>
      </c>
      <c r="O47" t="str">
        <f>'ملخص الكميات حسب البند والخامة'!$C$72&amp;""</f>
        <v/>
      </c>
      <c r="P47">
        <f t="shared" si="2"/>
        <v>0</v>
      </c>
      <c r="Q47">
        <f t="shared" si="3"/>
        <v>0</v>
      </c>
      <c r="R47">
        <f t="shared" si="4"/>
        <v>0</v>
      </c>
      <c r="S47">
        <v>46</v>
      </c>
    </row>
    <row r="48" spans="1:19" ht="18.95" customHeight="1" x14ac:dyDescent="0.25">
      <c r="A48" s="43" t="str">
        <f>IFERROR(INDEX($M$2:$M$126,_xlfn.AGGREGATE(15,6,$S$2:$S$126/($P$2:$P$126&gt;0),32)),"")</f>
        <v/>
      </c>
      <c r="B48" s="64" t="str">
        <f>IF($A48="","",INDEX($N$2:$N$126,_xlfn.AGGREGATE(15,6,$S$2:$S$126/($P$2:$P$126&gt;0),32)))</f>
        <v/>
      </c>
      <c r="C48" s="51"/>
      <c r="D48" s="51"/>
      <c r="E48" s="44" t="str">
        <f>IF($A48="","",INDEX($O$2:$O$126,_xlfn.AGGREGATE(15,6,$S$2:$S$126/($P$2:$P$126&gt;0),32)))</f>
        <v/>
      </c>
      <c r="F48" s="45" t="str">
        <f>IF($A48="","",INDEX($P$2:$P$126,_xlfn.AGGREGATE(15,6,$S$2:$S$126/($P$2:$P$126&gt;0),32)))</f>
        <v/>
      </c>
      <c r="G48" s="45" t="str">
        <f>IF($A48="","",INDEX($Q$2:$Q$126,_xlfn.AGGREGATE(15,6,$S$2:$S$126/($P$2:$P$126&gt;0),32)))</f>
        <v/>
      </c>
      <c r="H48" s="65" t="str">
        <f>IF($A48="","",INDEX($R$2:$R$126,_xlfn.AGGREGATE(15,6,$S$2:$S$126/($P$2:$P$126&gt;0),32)))</f>
        <v/>
      </c>
      <c r="I48" s="51"/>
      <c r="M48" t="s">
        <v>161</v>
      </c>
      <c r="N48" t="str">
        <f>'ملخص الكميات حسب البند والخامة'!$B$73&amp;""</f>
        <v/>
      </c>
      <c r="O48" t="str">
        <f>'ملخص الكميات حسب البند والخامة'!$C$73&amp;""</f>
        <v/>
      </c>
      <c r="P48">
        <f t="shared" si="2"/>
        <v>0</v>
      </c>
      <c r="Q48">
        <f t="shared" si="3"/>
        <v>0</v>
      </c>
      <c r="R48">
        <f t="shared" si="4"/>
        <v>0</v>
      </c>
      <c r="S48">
        <v>47</v>
      </c>
    </row>
    <row r="49" spans="1:19" ht="18.95" customHeight="1" x14ac:dyDescent="0.25">
      <c r="A49" s="43" t="str">
        <f>IFERROR(INDEX($M$2:$M$126,_xlfn.AGGREGATE(15,6,$S$2:$S$126/($P$2:$P$126&gt;0),33)),"")</f>
        <v/>
      </c>
      <c r="B49" s="64" t="str">
        <f>IF($A49="","",INDEX($N$2:$N$126,_xlfn.AGGREGATE(15,6,$S$2:$S$126/($P$2:$P$126&gt;0),33)))</f>
        <v/>
      </c>
      <c r="C49" s="51"/>
      <c r="D49" s="51"/>
      <c r="E49" s="44" t="str">
        <f>IF($A49="","",INDEX($O$2:$O$126,_xlfn.AGGREGATE(15,6,$S$2:$S$126/($P$2:$P$126&gt;0),33)))</f>
        <v/>
      </c>
      <c r="F49" s="45" t="str">
        <f>IF($A49="","",INDEX($P$2:$P$126,_xlfn.AGGREGATE(15,6,$S$2:$S$126/($P$2:$P$126&gt;0),33)))</f>
        <v/>
      </c>
      <c r="G49" s="45" t="str">
        <f>IF($A49="","",INDEX($Q$2:$Q$126,_xlfn.AGGREGATE(15,6,$S$2:$S$126/($P$2:$P$126&gt;0),33)))</f>
        <v/>
      </c>
      <c r="H49" s="65" t="str">
        <f>IF($A49="","",INDEX($R$2:$R$126,_xlfn.AGGREGATE(15,6,$S$2:$S$126/($P$2:$P$126&gt;0),33)))</f>
        <v/>
      </c>
      <c r="I49" s="51"/>
      <c r="M49" t="s">
        <v>161</v>
      </c>
      <c r="N49" t="str">
        <f>'ملخص الكميات حسب البند والخامة'!$B$74&amp;""</f>
        <v/>
      </c>
      <c r="O49" t="str">
        <f>'ملخص الكميات حسب البند والخامة'!$C$74&amp;""</f>
        <v/>
      </c>
      <c r="P49">
        <f t="shared" si="2"/>
        <v>0</v>
      </c>
      <c r="Q49">
        <f t="shared" si="3"/>
        <v>0</v>
      </c>
      <c r="R49">
        <f t="shared" si="4"/>
        <v>0</v>
      </c>
      <c r="S49">
        <v>48</v>
      </c>
    </row>
    <row r="50" spans="1:19" ht="18.95" customHeight="1" x14ac:dyDescent="0.25">
      <c r="A50" s="43" t="str">
        <f>IFERROR(INDEX($M$2:$M$126,_xlfn.AGGREGATE(15,6,$S$2:$S$126/($P$2:$P$126&gt;0),34)),"")</f>
        <v/>
      </c>
      <c r="B50" s="64" t="str">
        <f>IF($A50="","",INDEX($N$2:$N$126,_xlfn.AGGREGATE(15,6,$S$2:$S$126/($P$2:$P$126&gt;0),34)))</f>
        <v/>
      </c>
      <c r="C50" s="51"/>
      <c r="D50" s="51"/>
      <c r="E50" s="44" t="str">
        <f>IF($A50="","",INDEX($O$2:$O$126,_xlfn.AGGREGATE(15,6,$S$2:$S$126/($P$2:$P$126&gt;0),34)))</f>
        <v/>
      </c>
      <c r="F50" s="45" t="str">
        <f>IF($A50="","",INDEX($P$2:$P$126,_xlfn.AGGREGATE(15,6,$S$2:$S$126/($P$2:$P$126&gt;0),34)))</f>
        <v/>
      </c>
      <c r="G50" s="45" t="str">
        <f>IF($A50="","",INDEX($Q$2:$Q$126,_xlfn.AGGREGATE(15,6,$S$2:$S$126/($P$2:$P$126&gt;0),34)))</f>
        <v/>
      </c>
      <c r="H50" s="65" t="str">
        <f>IF($A50="","",INDEX($R$2:$R$126,_xlfn.AGGREGATE(15,6,$S$2:$S$126/($P$2:$P$126&gt;0),34)))</f>
        <v/>
      </c>
      <c r="I50" s="51"/>
      <c r="M50" t="s">
        <v>161</v>
      </c>
      <c r="N50" t="str">
        <f>'ملخص الكميات حسب البند والخامة'!$B$75&amp;""</f>
        <v/>
      </c>
      <c r="O50" t="str">
        <f>'ملخص الكميات حسب البند والخامة'!$C$75&amp;""</f>
        <v/>
      </c>
      <c r="P50">
        <f t="shared" si="2"/>
        <v>0</v>
      </c>
      <c r="Q50">
        <f t="shared" si="3"/>
        <v>0</v>
      </c>
      <c r="R50">
        <f t="shared" si="4"/>
        <v>0</v>
      </c>
      <c r="S50">
        <v>49</v>
      </c>
    </row>
    <row r="51" spans="1:19" ht="18.95" customHeight="1" x14ac:dyDescent="0.25">
      <c r="A51" s="43" t="str">
        <f>IFERROR(INDEX($M$2:$M$126,_xlfn.AGGREGATE(15,6,$S$2:$S$126/($P$2:$P$126&gt;0),35)),"")</f>
        <v/>
      </c>
      <c r="B51" s="64" t="str">
        <f>IF($A51="","",INDEX($N$2:$N$126,_xlfn.AGGREGATE(15,6,$S$2:$S$126/($P$2:$P$126&gt;0),35)))</f>
        <v/>
      </c>
      <c r="C51" s="51"/>
      <c r="D51" s="51"/>
      <c r="E51" s="44" t="str">
        <f>IF($A51="","",INDEX($O$2:$O$126,_xlfn.AGGREGATE(15,6,$S$2:$S$126/($P$2:$P$126&gt;0),35)))</f>
        <v/>
      </c>
      <c r="F51" s="45" t="str">
        <f>IF($A51="","",INDEX($P$2:$P$126,_xlfn.AGGREGATE(15,6,$S$2:$S$126/($P$2:$P$126&gt;0),35)))</f>
        <v/>
      </c>
      <c r="G51" s="45" t="str">
        <f>IF($A51="","",INDEX($Q$2:$Q$126,_xlfn.AGGREGATE(15,6,$S$2:$S$126/($P$2:$P$126&gt;0),35)))</f>
        <v/>
      </c>
      <c r="H51" s="65" t="str">
        <f>IF($A51="","",INDEX($R$2:$R$126,_xlfn.AGGREGATE(15,6,$S$2:$S$126/($P$2:$P$126&gt;0),35)))</f>
        <v/>
      </c>
      <c r="I51" s="51"/>
      <c r="M51" t="s">
        <v>161</v>
      </c>
      <c r="N51" t="str">
        <f>'ملخص الكميات حسب البند والخامة'!$B$76&amp;""</f>
        <v/>
      </c>
      <c r="O51" t="str">
        <f>'ملخص الكميات حسب البند والخامة'!$C$76&amp;""</f>
        <v/>
      </c>
      <c r="P51">
        <f t="shared" si="2"/>
        <v>0</v>
      </c>
      <c r="Q51">
        <f t="shared" si="3"/>
        <v>0</v>
      </c>
      <c r="R51">
        <f t="shared" si="4"/>
        <v>0</v>
      </c>
      <c r="S51">
        <v>50</v>
      </c>
    </row>
    <row r="52" spans="1:19" ht="18.95" customHeight="1" x14ac:dyDescent="0.25">
      <c r="A52" s="43" t="str">
        <f>IFERROR(INDEX($M$2:$M$126,_xlfn.AGGREGATE(15,6,$S$2:$S$126/($P$2:$P$126&gt;0),36)),"")</f>
        <v/>
      </c>
      <c r="B52" s="64" t="str">
        <f>IF($A52="","",INDEX($N$2:$N$126,_xlfn.AGGREGATE(15,6,$S$2:$S$126/($P$2:$P$126&gt;0),36)))</f>
        <v/>
      </c>
      <c r="C52" s="51"/>
      <c r="D52" s="51"/>
      <c r="E52" s="44" t="str">
        <f>IF($A52="","",INDEX($O$2:$O$126,_xlfn.AGGREGATE(15,6,$S$2:$S$126/($P$2:$P$126&gt;0),36)))</f>
        <v/>
      </c>
      <c r="F52" s="45" t="str">
        <f>IF($A52="","",INDEX($P$2:$P$126,_xlfn.AGGREGATE(15,6,$S$2:$S$126/($P$2:$P$126&gt;0),36)))</f>
        <v/>
      </c>
      <c r="G52" s="45" t="str">
        <f>IF($A52="","",INDEX($Q$2:$Q$126,_xlfn.AGGREGATE(15,6,$S$2:$S$126/($P$2:$P$126&gt;0),36)))</f>
        <v/>
      </c>
      <c r="H52" s="65" t="str">
        <f>IF($A52="","",INDEX($R$2:$R$126,_xlfn.AGGREGATE(15,6,$S$2:$S$126/($P$2:$P$126&gt;0),36)))</f>
        <v/>
      </c>
      <c r="I52" s="51"/>
      <c r="M52" t="s">
        <v>162</v>
      </c>
      <c r="N52" t="str">
        <f>'ملخص الكميات حسب البند والخامة'!$B$77&amp;""</f>
        <v>وزرات سيراميك</v>
      </c>
      <c r="O52" t="str">
        <f>'ملخص الكميات حسب البند والخامة'!$C$77&amp;""</f>
        <v>م.ط</v>
      </c>
      <c r="P52">
        <f t="shared" ref="P52:P76" si="5">IF(OR(N52="",$B$3=""),0,SUMPRODUCT(SUMIFS(LN_Gross,LN_Mat,N52,LN_Space,SpaceCodes)*(SpaceLevels=$B$3)))</f>
        <v>0</v>
      </c>
      <c r="Q52">
        <f t="shared" ref="Q52:Q76" si="6">IF(OR(N52="",$B$3=""),0,SUMPRODUCT(SUMIFS(LN_Ded,LN_Mat,N52,LN_Space,SpaceCodes)*(SpaceLevels=$B$3)))</f>
        <v>0</v>
      </c>
      <c r="R52">
        <f t="shared" ref="R52:R76" si="7">IF(OR(N52="",$B$3=""),0,SUMPRODUCT(SUMIFS(LN_Net,LN_Mat,N52,LN_Space,SpaceCodes)*(SpaceLevels=$B$3)))</f>
        <v>0</v>
      </c>
      <c r="S52">
        <v>51</v>
      </c>
    </row>
    <row r="53" spans="1:19" ht="18.95" customHeight="1" x14ac:dyDescent="0.25">
      <c r="A53" s="43" t="str">
        <f>IFERROR(INDEX($M$2:$M$126,_xlfn.AGGREGATE(15,6,$S$2:$S$126/($P$2:$P$126&gt;0),37)),"")</f>
        <v/>
      </c>
      <c r="B53" s="64" t="str">
        <f>IF($A53="","",INDEX($N$2:$N$126,_xlfn.AGGREGATE(15,6,$S$2:$S$126/($P$2:$P$126&gt;0),37)))</f>
        <v/>
      </c>
      <c r="C53" s="51"/>
      <c r="D53" s="51"/>
      <c r="E53" s="44" t="str">
        <f>IF($A53="","",INDEX($O$2:$O$126,_xlfn.AGGREGATE(15,6,$S$2:$S$126/($P$2:$P$126&gt;0),37)))</f>
        <v/>
      </c>
      <c r="F53" s="45" t="str">
        <f>IF($A53="","",INDEX($P$2:$P$126,_xlfn.AGGREGATE(15,6,$S$2:$S$126/($P$2:$P$126&gt;0),37)))</f>
        <v/>
      </c>
      <c r="G53" s="45" t="str">
        <f>IF($A53="","",INDEX($Q$2:$Q$126,_xlfn.AGGREGATE(15,6,$S$2:$S$126/($P$2:$P$126&gt;0),37)))</f>
        <v/>
      </c>
      <c r="H53" s="65" t="str">
        <f>IF($A53="","",INDEX($R$2:$R$126,_xlfn.AGGREGATE(15,6,$S$2:$S$126/($P$2:$P$126&gt;0),37)))</f>
        <v/>
      </c>
      <c r="I53" s="51"/>
      <c r="M53" t="s">
        <v>162</v>
      </c>
      <c r="N53" t="str">
        <f>'ملخص الكميات حسب البند والخامة'!$B$78&amp;""</f>
        <v>وزرات بورسلين</v>
      </c>
      <c r="O53" t="str">
        <f>'ملخص الكميات حسب البند والخامة'!$C$78&amp;""</f>
        <v>م.ط</v>
      </c>
      <c r="P53">
        <f t="shared" si="5"/>
        <v>0</v>
      </c>
      <c r="Q53">
        <f t="shared" si="6"/>
        <v>0</v>
      </c>
      <c r="R53">
        <f t="shared" si="7"/>
        <v>0</v>
      </c>
      <c r="S53">
        <v>52</v>
      </c>
    </row>
    <row r="54" spans="1:19" ht="18.95" customHeight="1" x14ac:dyDescent="0.25">
      <c r="A54" s="43" t="str">
        <f>IFERROR(INDEX($M$2:$M$126,_xlfn.AGGREGATE(15,6,$S$2:$S$126/($P$2:$P$126&gt;0),38)),"")</f>
        <v/>
      </c>
      <c r="B54" s="64" t="str">
        <f>IF($A54="","",INDEX($N$2:$N$126,_xlfn.AGGREGATE(15,6,$S$2:$S$126/($P$2:$P$126&gt;0),38)))</f>
        <v/>
      </c>
      <c r="C54" s="51"/>
      <c r="D54" s="51"/>
      <c r="E54" s="44" t="str">
        <f>IF($A54="","",INDEX($O$2:$O$126,_xlfn.AGGREGATE(15,6,$S$2:$S$126/($P$2:$P$126&gt;0),38)))</f>
        <v/>
      </c>
      <c r="F54" s="45" t="str">
        <f>IF($A54="","",INDEX($P$2:$P$126,_xlfn.AGGREGATE(15,6,$S$2:$S$126/($P$2:$P$126&gt;0),38)))</f>
        <v/>
      </c>
      <c r="G54" s="45" t="str">
        <f>IF($A54="","",INDEX($Q$2:$Q$126,_xlfn.AGGREGATE(15,6,$S$2:$S$126/($P$2:$P$126&gt;0),38)))</f>
        <v/>
      </c>
      <c r="H54" s="65" t="str">
        <f>IF($A54="","",INDEX($R$2:$R$126,_xlfn.AGGREGATE(15,6,$S$2:$S$126/($P$2:$P$126&gt;0),38)))</f>
        <v/>
      </c>
      <c r="I54" s="51"/>
      <c r="M54" t="s">
        <v>162</v>
      </c>
      <c r="N54" t="str">
        <f>'ملخص الكميات حسب البند والخامة'!$B$79&amp;""</f>
        <v>وزرات رخام</v>
      </c>
      <c r="O54" t="str">
        <f>'ملخص الكميات حسب البند والخامة'!$C$79&amp;""</f>
        <v>م.ط</v>
      </c>
      <c r="P54">
        <f t="shared" si="5"/>
        <v>0</v>
      </c>
      <c r="Q54">
        <f t="shared" si="6"/>
        <v>0</v>
      </c>
      <c r="R54">
        <f t="shared" si="7"/>
        <v>0</v>
      </c>
      <c r="S54">
        <v>53</v>
      </c>
    </row>
    <row r="55" spans="1:19" ht="18.95" customHeight="1" x14ac:dyDescent="0.25">
      <c r="A55" s="43" t="str">
        <f>IFERROR(INDEX($M$2:$M$126,_xlfn.AGGREGATE(15,6,$S$2:$S$126/($P$2:$P$126&gt;0),39)),"")</f>
        <v/>
      </c>
      <c r="B55" s="64" t="str">
        <f>IF($A55="","",INDEX($N$2:$N$126,_xlfn.AGGREGATE(15,6,$S$2:$S$126/($P$2:$P$126&gt;0),39)))</f>
        <v/>
      </c>
      <c r="C55" s="51"/>
      <c r="D55" s="51"/>
      <c r="E55" s="44" t="str">
        <f>IF($A55="","",INDEX($O$2:$O$126,_xlfn.AGGREGATE(15,6,$S$2:$S$126/($P$2:$P$126&gt;0),39)))</f>
        <v/>
      </c>
      <c r="F55" s="45" t="str">
        <f>IF($A55="","",INDEX($P$2:$P$126,_xlfn.AGGREGATE(15,6,$S$2:$S$126/($P$2:$P$126&gt;0),39)))</f>
        <v/>
      </c>
      <c r="G55" s="45" t="str">
        <f>IF($A55="","",INDEX($Q$2:$Q$126,_xlfn.AGGREGATE(15,6,$S$2:$S$126/($P$2:$P$126&gt;0),39)))</f>
        <v/>
      </c>
      <c r="H55" s="65" t="str">
        <f>IF($A55="","",INDEX($R$2:$R$126,_xlfn.AGGREGATE(15,6,$S$2:$S$126/($P$2:$P$126&gt;0),39)))</f>
        <v/>
      </c>
      <c r="I55" s="51"/>
      <c r="M55" t="s">
        <v>162</v>
      </c>
      <c r="N55" t="str">
        <f>'ملخص الكميات حسب البند والخامة'!$B$80&amp;""</f>
        <v>وزرات جرانيت</v>
      </c>
      <c r="O55" t="str">
        <f>'ملخص الكميات حسب البند والخامة'!$C$80&amp;""</f>
        <v>م.ط</v>
      </c>
      <c r="P55">
        <f t="shared" si="5"/>
        <v>0</v>
      </c>
      <c r="Q55">
        <f t="shared" si="6"/>
        <v>0</v>
      </c>
      <c r="R55">
        <f t="shared" si="7"/>
        <v>0</v>
      </c>
      <c r="S55">
        <v>54</v>
      </c>
    </row>
    <row r="56" spans="1:19" ht="18.95" customHeight="1" x14ac:dyDescent="0.25">
      <c r="A56" s="43" t="str">
        <f>IFERROR(INDEX($M$2:$M$126,_xlfn.AGGREGATE(15,6,$S$2:$S$126/($P$2:$P$126&gt;0),40)),"")</f>
        <v/>
      </c>
      <c r="B56" s="64" t="str">
        <f>IF($A56="","",INDEX($N$2:$N$126,_xlfn.AGGREGATE(15,6,$S$2:$S$126/($P$2:$P$126&gt;0),40)))</f>
        <v/>
      </c>
      <c r="C56" s="51"/>
      <c r="D56" s="51"/>
      <c r="E56" s="44" t="str">
        <f>IF($A56="","",INDEX($O$2:$O$126,_xlfn.AGGREGATE(15,6,$S$2:$S$126/($P$2:$P$126&gt;0),40)))</f>
        <v/>
      </c>
      <c r="F56" s="45" t="str">
        <f>IF($A56="","",INDEX($P$2:$P$126,_xlfn.AGGREGATE(15,6,$S$2:$S$126/($P$2:$P$126&gt;0),40)))</f>
        <v/>
      </c>
      <c r="G56" s="45" t="str">
        <f>IF($A56="","",INDEX($Q$2:$Q$126,_xlfn.AGGREGATE(15,6,$S$2:$S$126/($P$2:$P$126&gt;0),40)))</f>
        <v/>
      </c>
      <c r="H56" s="65" t="str">
        <f>IF($A56="","",INDEX($R$2:$R$126,_xlfn.AGGREGATE(15,6,$S$2:$S$126/($P$2:$P$126&gt;0),40)))</f>
        <v/>
      </c>
      <c r="I56" s="51"/>
      <c r="M56" t="s">
        <v>162</v>
      </c>
      <c r="N56" t="str">
        <f>'ملخص الكميات حسب البند والخامة'!$B$81&amp;""</f>
        <v>وزرات خشبية</v>
      </c>
      <c r="O56" t="str">
        <f>'ملخص الكميات حسب البند والخامة'!$C$81&amp;""</f>
        <v>م.ط</v>
      </c>
      <c r="P56">
        <f t="shared" si="5"/>
        <v>0</v>
      </c>
      <c r="Q56">
        <f t="shared" si="6"/>
        <v>0</v>
      </c>
      <c r="R56">
        <f t="shared" si="7"/>
        <v>0</v>
      </c>
      <c r="S56">
        <v>55</v>
      </c>
    </row>
    <row r="57" spans="1:19" x14ac:dyDescent="0.25">
      <c r="M57" t="s">
        <v>162</v>
      </c>
      <c r="N57" t="str">
        <f>'ملخص الكميات حسب البند والخامة'!$B$82&amp;""</f>
        <v>نعلات رخام</v>
      </c>
      <c r="O57" t="str">
        <f>'ملخص الكميات حسب البند والخامة'!$C$82&amp;""</f>
        <v>م.ط</v>
      </c>
      <c r="P57">
        <f t="shared" si="5"/>
        <v>0</v>
      </c>
      <c r="Q57">
        <f t="shared" si="6"/>
        <v>0</v>
      </c>
      <c r="R57">
        <f t="shared" si="7"/>
        <v>0</v>
      </c>
      <c r="S57">
        <v>56</v>
      </c>
    </row>
    <row r="58" spans="1:19" ht="24" customHeight="1" x14ac:dyDescent="0.25">
      <c r="A58" s="81" t="s">
        <v>199</v>
      </c>
      <c r="B58" s="82"/>
      <c r="C58" s="82"/>
      <c r="D58" s="82"/>
      <c r="E58" s="82"/>
      <c r="F58" s="82"/>
      <c r="G58" s="82"/>
      <c r="H58" s="82"/>
      <c r="I58" s="82"/>
      <c r="M58" t="s">
        <v>162</v>
      </c>
      <c r="N58" t="str">
        <f>'ملخص الكميات حسب البند والخامة'!$B$83&amp;""</f>
        <v>نعلات جرانيت</v>
      </c>
      <c r="O58" t="str">
        <f>'ملخص الكميات حسب البند والخامة'!$C$83&amp;""</f>
        <v>م.ط</v>
      </c>
      <c r="P58">
        <f t="shared" si="5"/>
        <v>0</v>
      </c>
      <c r="Q58">
        <f t="shared" si="6"/>
        <v>0</v>
      </c>
      <c r="R58">
        <f t="shared" si="7"/>
        <v>0</v>
      </c>
      <c r="S58">
        <v>57</v>
      </c>
    </row>
    <row r="59" spans="1:19" ht="33.950000000000003" customHeight="1" x14ac:dyDescent="0.25">
      <c r="A59" s="40" t="s">
        <v>60</v>
      </c>
      <c r="B59" s="70" t="s">
        <v>54</v>
      </c>
      <c r="C59" s="71"/>
      <c r="D59" s="40" t="s">
        <v>132</v>
      </c>
      <c r="E59" s="40" t="s">
        <v>200</v>
      </c>
      <c r="F59" s="40" t="s">
        <v>136</v>
      </c>
      <c r="G59" s="40" t="s">
        <v>201</v>
      </c>
      <c r="H59" s="40" t="s">
        <v>202</v>
      </c>
      <c r="I59" s="40" t="s">
        <v>203</v>
      </c>
      <c r="M59" t="s">
        <v>162</v>
      </c>
      <c r="N59" t="str">
        <f>'ملخص الكميات حسب البند والخامة'!$B$84&amp;""</f>
        <v>نعلات أخرى</v>
      </c>
      <c r="O59" t="str">
        <f>'ملخص الكميات حسب البند والخامة'!$C$84&amp;""</f>
        <v>م.ط</v>
      </c>
      <c r="P59">
        <f t="shared" si="5"/>
        <v>0</v>
      </c>
      <c r="Q59">
        <f t="shared" si="6"/>
        <v>0</v>
      </c>
      <c r="R59">
        <f t="shared" si="7"/>
        <v>0</v>
      </c>
      <c r="S59">
        <v>58</v>
      </c>
    </row>
    <row r="60" spans="1:19" ht="18.95" customHeight="1" x14ac:dyDescent="0.25">
      <c r="A60" s="46" t="str">
        <f>IF($B$3="","",IFERROR(INDEX(SpaceCodes,_xlfn.AGGREGATE(15,6,(ROW(SpaceCodes)-4+1)/(SpaceLevels=$B$3),1)),""))</f>
        <v/>
      </c>
      <c r="B60" s="63" t="str">
        <f>IF($A60="","",IFERROR(INDEX('ملخص الكميات حسب الفراغ'!$C$4:$C$153,MATCH($A60,'ملخص الكميات حسب الفراغ'!$B$4:$B$153,0)),""))</f>
        <v/>
      </c>
      <c r="C60" s="51"/>
      <c r="D60" s="45" t="str">
        <f>IF($A60="","",IFERROR(INDEX('ملخص الكميات حسب الفراغ'!$E$4:$E$153,MATCH($A60,'ملخص الكميات حسب الفراغ'!$B$4:$B$153,0)),""))</f>
        <v/>
      </c>
      <c r="E60" s="45" t="str">
        <f>IF($A60="","",IFERROR(INDEX('ملخص الكميات حسب الفراغ'!$H$4:$H$153,MATCH($A60,'ملخص الكميات حسب الفراغ'!$B$4:$B$153,0)),""))</f>
        <v/>
      </c>
      <c r="F60" s="45" t="str">
        <f>IF($A60="","",IFERROR(INDEX('ملخص الكميات حسب الفراغ'!$I$4:$I$153,MATCH($A60,'ملخص الكميات حسب الفراغ'!$B$4:$B$153,0)),""))</f>
        <v/>
      </c>
      <c r="G60" s="45" t="str">
        <f>IF($A60="","",IFERROR(INDEX('ملخص الكميات حسب الفراغ'!$L$4:$L$153,MATCH($A60,'ملخص الكميات حسب الفراغ'!$B$4:$B$153,0)),""))</f>
        <v/>
      </c>
      <c r="H60" s="45" t="str">
        <f>IF($A60="","",IFERROR(INDEX('ملخص الكميات حسب الفراغ'!$O$4:$O$153,MATCH($A60,'ملخص الكميات حسب الفراغ'!$B$4:$B$153,0)),""))</f>
        <v/>
      </c>
      <c r="I60" s="47" t="str">
        <f>IF($A60="","",IFERROR(INDEX('ملخص الكميات حسب الفراغ'!$R$4:$R$153,MATCH($A60,'ملخص الكميات حسب الفراغ'!$B$4:$B$153,0)),""))</f>
        <v/>
      </c>
      <c r="M60" t="s">
        <v>162</v>
      </c>
      <c r="N60" t="str">
        <f>'ملخص الكميات حسب البند والخامة'!$B$85&amp;""</f>
        <v>رخام كعنصر طولي</v>
      </c>
      <c r="O60" t="str">
        <f>'ملخص الكميات حسب البند والخامة'!$C$85&amp;""</f>
        <v>م.ط</v>
      </c>
      <c r="P60">
        <f t="shared" si="5"/>
        <v>0</v>
      </c>
      <c r="Q60">
        <f t="shared" si="6"/>
        <v>0</v>
      </c>
      <c r="R60">
        <f t="shared" si="7"/>
        <v>0</v>
      </c>
      <c r="S60">
        <v>59</v>
      </c>
    </row>
    <row r="61" spans="1:19" ht="18.95" customHeight="1" x14ac:dyDescent="0.25">
      <c r="A61" s="46" t="str">
        <f>IF($B$3="","",IFERROR(INDEX(SpaceCodes,_xlfn.AGGREGATE(15,6,(ROW(SpaceCodes)-4+1)/(SpaceLevels=$B$3),2)),""))</f>
        <v/>
      </c>
      <c r="B61" s="63" t="str">
        <f>IF($A61="","",IFERROR(INDEX('ملخص الكميات حسب الفراغ'!$C$4:$C$153,MATCH($A61,'ملخص الكميات حسب الفراغ'!$B$4:$B$153,0)),""))</f>
        <v/>
      </c>
      <c r="C61" s="51"/>
      <c r="D61" s="45" t="str">
        <f>IF($A61="","",IFERROR(INDEX('ملخص الكميات حسب الفراغ'!$E$4:$E$153,MATCH($A61,'ملخص الكميات حسب الفراغ'!$B$4:$B$153,0)),""))</f>
        <v/>
      </c>
      <c r="E61" s="45" t="str">
        <f>IF($A61="","",IFERROR(INDEX('ملخص الكميات حسب الفراغ'!$H$4:$H$153,MATCH($A61,'ملخص الكميات حسب الفراغ'!$B$4:$B$153,0)),""))</f>
        <v/>
      </c>
      <c r="F61" s="45" t="str">
        <f>IF($A61="","",IFERROR(INDEX('ملخص الكميات حسب الفراغ'!$I$4:$I$153,MATCH($A61,'ملخص الكميات حسب الفراغ'!$B$4:$B$153,0)),""))</f>
        <v/>
      </c>
      <c r="G61" s="45" t="str">
        <f>IF($A61="","",IFERROR(INDEX('ملخص الكميات حسب الفراغ'!$L$4:$L$153,MATCH($A61,'ملخص الكميات حسب الفراغ'!$B$4:$B$153,0)),""))</f>
        <v/>
      </c>
      <c r="H61" s="45" t="str">
        <f>IF($A61="","",IFERROR(INDEX('ملخص الكميات حسب الفراغ'!$O$4:$O$153,MATCH($A61,'ملخص الكميات حسب الفراغ'!$B$4:$B$153,0)),""))</f>
        <v/>
      </c>
      <c r="I61" s="47" t="str">
        <f>IF($A61="","",IFERROR(INDEX('ملخص الكميات حسب الفراغ'!$R$4:$R$153,MATCH($A61,'ملخص الكميات حسب الفراغ'!$B$4:$B$153,0)),""))</f>
        <v/>
      </c>
      <c r="M61" t="s">
        <v>162</v>
      </c>
      <c r="N61" t="str">
        <f>'ملخص الكميات حسب البند والخامة'!$B$86&amp;""</f>
        <v>فواصل انتقال بين الأرضيات</v>
      </c>
      <c r="O61" t="str">
        <f>'ملخص الكميات حسب البند والخامة'!$C$86&amp;""</f>
        <v>م.ط</v>
      </c>
      <c r="P61">
        <f t="shared" si="5"/>
        <v>0</v>
      </c>
      <c r="Q61">
        <f t="shared" si="6"/>
        <v>0</v>
      </c>
      <c r="R61">
        <f t="shared" si="7"/>
        <v>0</v>
      </c>
      <c r="S61">
        <v>60</v>
      </c>
    </row>
    <row r="62" spans="1:19" ht="18.95" customHeight="1" x14ac:dyDescent="0.25">
      <c r="A62" s="46" t="str">
        <f>IF($B$3="","",IFERROR(INDEX(SpaceCodes,_xlfn.AGGREGATE(15,6,(ROW(SpaceCodes)-4+1)/(SpaceLevels=$B$3),3)),""))</f>
        <v/>
      </c>
      <c r="B62" s="63" t="str">
        <f>IF($A62="","",IFERROR(INDEX('ملخص الكميات حسب الفراغ'!$C$4:$C$153,MATCH($A62,'ملخص الكميات حسب الفراغ'!$B$4:$B$153,0)),""))</f>
        <v/>
      </c>
      <c r="C62" s="51"/>
      <c r="D62" s="45" t="str">
        <f>IF($A62="","",IFERROR(INDEX('ملخص الكميات حسب الفراغ'!$E$4:$E$153,MATCH($A62,'ملخص الكميات حسب الفراغ'!$B$4:$B$153,0)),""))</f>
        <v/>
      </c>
      <c r="E62" s="45" t="str">
        <f>IF($A62="","",IFERROR(INDEX('ملخص الكميات حسب الفراغ'!$H$4:$H$153,MATCH($A62,'ملخص الكميات حسب الفراغ'!$B$4:$B$153,0)),""))</f>
        <v/>
      </c>
      <c r="F62" s="45" t="str">
        <f>IF($A62="","",IFERROR(INDEX('ملخص الكميات حسب الفراغ'!$I$4:$I$153,MATCH($A62,'ملخص الكميات حسب الفراغ'!$B$4:$B$153,0)),""))</f>
        <v/>
      </c>
      <c r="G62" s="45" t="str">
        <f>IF($A62="","",IFERROR(INDEX('ملخص الكميات حسب الفراغ'!$L$4:$L$153,MATCH($A62,'ملخص الكميات حسب الفراغ'!$B$4:$B$153,0)),""))</f>
        <v/>
      </c>
      <c r="H62" s="45" t="str">
        <f>IF($A62="","",IFERROR(INDEX('ملخص الكميات حسب الفراغ'!$O$4:$O$153,MATCH($A62,'ملخص الكميات حسب الفراغ'!$B$4:$B$153,0)),""))</f>
        <v/>
      </c>
      <c r="I62" s="47" t="str">
        <f>IF($A62="","",IFERROR(INDEX('ملخص الكميات حسب الفراغ'!$R$4:$R$153,MATCH($A62,'ملخص الكميات حسب الفراغ'!$B$4:$B$153,0)),""))</f>
        <v/>
      </c>
      <c r="M62" t="s">
        <v>162</v>
      </c>
      <c r="N62" t="str">
        <f>'ملخص الكميات حسب البند والخامة'!$B$87&amp;""</f>
        <v>شرائح ستانلس ستيل</v>
      </c>
      <c r="O62" t="str">
        <f>'ملخص الكميات حسب البند والخامة'!$C$87&amp;""</f>
        <v>م.ط</v>
      </c>
      <c r="P62">
        <f t="shared" si="5"/>
        <v>0</v>
      </c>
      <c r="Q62">
        <f t="shared" si="6"/>
        <v>0</v>
      </c>
      <c r="R62">
        <f t="shared" si="7"/>
        <v>0</v>
      </c>
      <c r="S62">
        <v>61</v>
      </c>
    </row>
    <row r="63" spans="1:19" ht="18.95" customHeight="1" x14ac:dyDescent="0.25">
      <c r="A63" s="46" t="str">
        <f>IF($B$3="","",IFERROR(INDEX(SpaceCodes,_xlfn.AGGREGATE(15,6,(ROW(SpaceCodes)-4+1)/(SpaceLevels=$B$3),4)),""))</f>
        <v/>
      </c>
      <c r="B63" s="63" t="str">
        <f>IF($A63="","",IFERROR(INDEX('ملخص الكميات حسب الفراغ'!$C$4:$C$153,MATCH($A63,'ملخص الكميات حسب الفراغ'!$B$4:$B$153,0)),""))</f>
        <v/>
      </c>
      <c r="C63" s="51"/>
      <c r="D63" s="45" t="str">
        <f>IF($A63="","",IFERROR(INDEX('ملخص الكميات حسب الفراغ'!$E$4:$E$153,MATCH($A63,'ملخص الكميات حسب الفراغ'!$B$4:$B$153,0)),""))</f>
        <v/>
      </c>
      <c r="E63" s="45" t="str">
        <f>IF($A63="","",IFERROR(INDEX('ملخص الكميات حسب الفراغ'!$H$4:$H$153,MATCH($A63,'ملخص الكميات حسب الفراغ'!$B$4:$B$153,0)),""))</f>
        <v/>
      </c>
      <c r="F63" s="45" t="str">
        <f>IF($A63="","",IFERROR(INDEX('ملخص الكميات حسب الفراغ'!$I$4:$I$153,MATCH($A63,'ملخص الكميات حسب الفراغ'!$B$4:$B$153,0)),""))</f>
        <v/>
      </c>
      <c r="G63" s="45" t="str">
        <f>IF($A63="","",IFERROR(INDEX('ملخص الكميات حسب الفراغ'!$L$4:$L$153,MATCH($A63,'ملخص الكميات حسب الفراغ'!$B$4:$B$153,0)),""))</f>
        <v/>
      </c>
      <c r="H63" s="45" t="str">
        <f>IF($A63="","",IFERROR(INDEX('ملخص الكميات حسب الفراغ'!$O$4:$O$153,MATCH($A63,'ملخص الكميات حسب الفراغ'!$B$4:$B$153,0)),""))</f>
        <v/>
      </c>
      <c r="I63" s="47" t="str">
        <f>IF($A63="","",IFERROR(INDEX('ملخص الكميات حسب الفراغ'!$R$4:$R$153,MATCH($A63,'ملخص الكميات حسب الفراغ'!$B$4:$B$153,0)),""))</f>
        <v/>
      </c>
      <c r="M63" t="s">
        <v>162</v>
      </c>
      <c r="N63" t="str">
        <f>'ملخص الكميات حسب البند والخامة'!$B$88&amp;""</f>
        <v>نائمة درج</v>
      </c>
      <c r="O63" t="str">
        <f>'ملخص الكميات حسب البند والخامة'!$C$88&amp;""</f>
        <v>م.ط</v>
      </c>
      <c r="P63">
        <f t="shared" si="5"/>
        <v>0</v>
      </c>
      <c r="Q63">
        <f t="shared" si="6"/>
        <v>0</v>
      </c>
      <c r="R63">
        <f t="shared" si="7"/>
        <v>0</v>
      </c>
      <c r="S63">
        <v>62</v>
      </c>
    </row>
    <row r="64" spans="1:19" ht="18.95" customHeight="1" x14ac:dyDescent="0.25">
      <c r="A64" s="46" t="str">
        <f>IF($B$3="","",IFERROR(INDEX(SpaceCodes,_xlfn.AGGREGATE(15,6,(ROW(SpaceCodes)-4+1)/(SpaceLevels=$B$3),5)),""))</f>
        <v/>
      </c>
      <c r="B64" s="63" t="str">
        <f>IF($A64="","",IFERROR(INDEX('ملخص الكميات حسب الفراغ'!$C$4:$C$153,MATCH($A64,'ملخص الكميات حسب الفراغ'!$B$4:$B$153,0)),""))</f>
        <v/>
      </c>
      <c r="C64" s="51"/>
      <c r="D64" s="45" t="str">
        <f>IF($A64="","",IFERROR(INDEX('ملخص الكميات حسب الفراغ'!$E$4:$E$153,MATCH($A64,'ملخص الكميات حسب الفراغ'!$B$4:$B$153,0)),""))</f>
        <v/>
      </c>
      <c r="E64" s="45" t="str">
        <f>IF($A64="","",IFERROR(INDEX('ملخص الكميات حسب الفراغ'!$H$4:$H$153,MATCH($A64,'ملخص الكميات حسب الفراغ'!$B$4:$B$153,0)),""))</f>
        <v/>
      </c>
      <c r="F64" s="45" t="str">
        <f>IF($A64="","",IFERROR(INDEX('ملخص الكميات حسب الفراغ'!$I$4:$I$153,MATCH($A64,'ملخص الكميات حسب الفراغ'!$B$4:$B$153,0)),""))</f>
        <v/>
      </c>
      <c r="G64" s="45" t="str">
        <f>IF($A64="","",IFERROR(INDEX('ملخص الكميات حسب الفراغ'!$L$4:$L$153,MATCH($A64,'ملخص الكميات حسب الفراغ'!$B$4:$B$153,0)),""))</f>
        <v/>
      </c>
      <c r="H64" s="45" t="str">
        <f>IF($A64="","",IFERROR(INDEX('ملخص الكميات حسب الفراغ'!$O$4:$O$153,MATCH($A64,'ملخص الكميات حسب الفراغ'!$B$4:$B$153,0)),""))</f>
        <v/>
      </c>
      <c r="I64" s="47" t="str">
        <f>IF($A64="","",IFERROR(INDEX('ملخص الكميات حسب الفراغ'!$R$4:$R$153,MATCH($A64,'ملخص الكميات حسب الفراغ'!$B$4:$B$153,0)),""))</f>
        <v/>
      </c>
      <c r="M64" t="s">
        <v>162</v>
      </c>
      <c r="N64" t="str">
        <f>'ملخص الكميات حسب البند والخامة'!$B$89&amp;""</f>
        <v>قائمة درج</v>
      </c>
      <c r="O64" t="str">
        <f>'ملخص الكميات حسب البند والخامة'!$C$89&amp;""</f>
        <v>م.ط</v>
      </c>
      <c r="P64">
        <f t="shared" si="5"/>
        <v>0</v>
      </c>
      <c r="Q64">
        <f t="shared" si="6"/>
        <v>0</v>
      </c>
      <c r="R64">
        <f t="shared" si="7"/>
        <v>0</v>
      </c>
      <c r="S64">
        <v>63</v>
      </c>
    </row>
    <row r="65" spans="1:19" ht="18.95" customHeight="1" x14ac:dyDescent="0.25">
      <c r="A65" s="46" t="str">
        <f>IF($B$3="","",IFERROR(INDEX(SpaceCodes,_xlfn.AGGREGATE(15,6,(ROW(SpaceCodes)-4+1)/(SpaceLevels=$B$3),6)),""))</f>
        <v/>
      </c>
      <c r="B65" s="63" t="str">
        <f>IF($A65="","",IFERROR(INDEX('ملخص الكميات حسب الفراغ'!$C$4:$C$153,MATCH($A65,'ملخص الكميات حسب الفراغ'!$B$4:$B$153,0)),""))</f>
        <v/>
      </c>
      <c r="C65" s="51"/>
      <c r="D65" s="45" t="str">
        <f>IF($A65="","",IFERROR(INDEX('ملخص الكميات حسب الفراغ'!$E$4:$E$153,MATCH($A65,'ملخص الكميات حسب الفراغ'!$B$4:$B$153,0)),""))</f>
        <v/>
      </c>
      <c r="E65" s="45" t="str">
        <f>IF($A65="","",IFERROR(INDEX('ملخص الكميات حسب الفراغ'!$H$4:$H$153,MATCH($A65,'ملخص الكميات حسب الفراغ'!$B$4:$B$153,0)),""))</f>
        <v/>
      </c>
      <c r="F65" s="45" t="str">
        <f>IF($A65="","",IFERROR(INDEX('ملخص الكميات حسب الفراغ'!$I$4:$I$153,MATCH($A65,'ملخص الكميات حسب الفراغ'!$B$4:$B$153,0)),""))</f>
        <v/>
      </c>
      <c r="G65" s="45" t="str">
        <f>IF($A65="","",IFERROR(INDEX('ملخص الكميات حسب الفراغ'!$L$4:$L$153,MATCH($A65,'ملخص الكميات حسب الفراغ'!$B$4:$B$153,0)),""))</f>
        <v/>
      </c>
      <c r="H65" s="45" t="str">
        <f>IF($A65="","",IFERROR(INDEX('ملخص الكميات حسب الفراغ'!$O$4:$O$153,MATCH($A65,'ملخص الكميات حسب الفراغ'!$B$4:$B$153,0)),""))</f>
        <v/>
      </c>
      <c r="I65" s="47" t="str">
        <f>IF($A65="","",IFERROR(INDEX('ملخص الكميات حسب الفراغ'!$R$4:$R$153,MATCH($A65,'ملخص الكميات حسب الفراغ'!$B$4:$B$153,0)),""))</f>
        <v/>
      </c>
      <c r="M65" t="s">
        <v>162</v>
      </c>
      <c r="N65" t="str">
        <f>'ملخص الكميات حسب البند والخامة'!$B$90&amp;""</f>
        <v>وزرة درج</v>
      </c>
      <c r="O65" t="str">
        <f>'ملخص الكميات حسب البند والخامة'!$C$90&amp;""</f>
        <v>م.ط</v>
      </c>
      <c r="P65">
        <f t="shared" si="5"/>
        <v>0</v>
      </c>
      <c r="Q65">
        <f t="shared" si="6"/>
        <v>0</v>
      </c>
      <c r="R65">
        <f t="shared" si="7"/>
        <v>0</v>
      </c>
      <c r="S65">
        <v>64</v>
      </c>
    </row>
    <row r="66" spans="1:19" ht="18.95" customHeight="1" x14ac:dyDescent="0.25">
      <c r="A66" s="46" t="str">
        <f>IF($B$3="","",IFERROR(INDEX(SpaceCodes,_xlfn.AGGREGATE(15,6,(ROW(SpaceCodes)-4+1)/(SpaceLevels=$B$3),7)),""))</f>
        <v/>
      </c>
      <c r="B66" s="63" t="str">
        <f>IF($A66="","",IFERROR(INDEX('ملخص الكميات حسب الفراغ'!$C$4:$C$153,MATCH($A66,'ملخص الكميات حسب الفراغ'!$B$4:$B$153,0)),""))</f>
        <v/>
      </c>
      <c r="C66" s="51"/>
      <c r="D66" s="45" t="str">
        <f>IF($A66="","",IFERROR(INDEX('ملخص الكميات حسب الفراغ'!$E$4:$E$153,MATCH($A66,'ملخص الكميات حسب الفراغ'!$B$4:$B$153,0)),""))</f>
        <v/>
      </c>
      <c r="E66" s="45" t="str">
        <f>IF($A66="","",IFERROR(INDEX('ملخص الكميات حسب الفراغ'!$H$4:$H$153,MATCH($A66,'ملخص الكميات حسب الفراغ'!$B$4:$B$153,0)),""))</f>
        <v/>
      </c>
      <c r="F66" s="45" t="str">
        <f>IF($A66="","",IFERROR(INDEX('ملخص الكميات حسب الفراغ'!$I$4:$I$153,MATCH($A66,'ملخص الكميات حسب الفراغ'!$B$4:$B$153,0)),""))</f>
        <v/>
      </c>
      <c r="G66" s="45" t="str">
        <f>IF($A66="","",IFERROR(INDEX('ملخص الكميات حسب الفراغ'!$L$4:$L$153,MATCH($A66,'ملخص الكميات حسب الفراغ'!$B$4:$B$153,0)),""))</f>
        <v/>
      </c>
      <c r="H66" s="45" t="str">
        <f>IF($A66="","",IFERROR(INDEX('ملخص الكميات حسب الفراغ'!$O$4:$O$153,MATCH($A66,'ملخص الكميات حسب الفراغ'!$B$4:$B$153,0)),""))</f>
        <v/>
      </c>
      <c r="I66" s="47" t="str">
        <f>IF($A66="","",IFERROR(INDEX('ملخص الكميات حسب الفراغ'!$R$4:$R$153,MATCH($A66,'ملخص الكميات حسب الفراغ'!$B$4:$B$153,0)),""))</f>
        <v/>
      </c>
      <c r="M66" t="s">
        <v>162</v>
      </c>
      <c r="N66" t="str">
        <f>'ملخص الكميات حسب البند والخامة'!$B$91&amp;""</f>
        <v>زوايا ستانلس للحوائط</v>
      </c>
      <c r="O66" t="str">
        <f>'ملخص الكميات حسب البند والخامة'!$C$91&amp;""</f>
        <v>م.ط</v>
      </c>
      <c r="P66">
        <f t="shared" si="5"/>
        <v>0</v>
      </c>
      <c r="Q66">
        <f t="shared" si="6"/>
        <v>0</v>
      </c>
      <c r="R66">
        <f t="shared" si="7"/>
        <v>0</v>
      </c>
      <c r="S66">
        <v>65</v>
      </c>
    </row>
    <row r="67" spans="1:19" ht="18.95" customHeight="1" x14ac:dyDescent="0.25">
      <c r="A67" s="46" t="str">
        <f>IF($B$3="","",IFERROR(INDEX(SpaceCodes,_xlfn.AGGREGATE(15,6,(ROW(SpaceCodes)-4+1)/(SpaceLevels=$B$3),8)),""))</f>
        <v/>
      </c>
      <c r="B67" s="63" t="str">
        <f>IF($A67="","",IFERROR(INDEX('ملخص الكميات حسب الفراغ'!$C$4:$C$153,MATCH($A67,'ملخص الكميات حسب الفراغ'!$B$4:$B$153,0)),""))</f>
        <v/>
      </c>
      <c r="C67" s="51"/>
      <c r="D67" s="45" t="str">
        <f>IF($A67="","",IFERROR(INDEX('ملخص الكميات حسب الفراغ'!$E$4:$E$153,MATCH($A67,'ملخص الكميات حسب الفراغ'!$B$4:$B$153,0)),""))</f>
        <v/>
      </c>
      <c r="E67" s="45" t="str">
        <f>IF($A67="","",IFERROR(INDEX('ملخص الكميات حسب الفراغ'!$H$4:$H$153,MATCH($A67,'ملخص الكميات حسب الفراغ'!$B$4:$B$153,0)),""))</f>
        <v/>
      </c>
      <c r="F67" s="45" t="str">
        <f>IF($A67="","",IFERROR(INDEX('ملخص الكميات حسب الفراغ'!$I$4:$I$153,MATCH($A67,'ملخص الكميات حسب الفراغ'!$B$4:$B$153,0)),""))</f>
        <v/>
      </c>
      <c r="G67" s="45" t="str">
        <f>IF($A67="","",IFERROR(INDEX('ملخص الكميات حسب الفراغ'!$L$4:$L$153,MATCH($A67,'ملخص الكميات حسب الفراغ'!$B$4:$B$153,0)),""))</f>
        <v/>
      </c>
      <c r="H67" s="45" t="str">
        <f>IF($A67="","",IFERROR(INDEX('ملخص الكميات حسب الفراغ'!$O$4:$O$153,MATCH($A67,'ملخص الكميات حسب الفراغ'!$B$4:$B$153,0)),""))</f>
        <v/>
      </c>
      <c r="I67" s="47" t="str">
        <f>IF($A67="","",IFERROR(INDEX('ملخص الكميات حسب الفراغ'!$R$4:$R$153,MATCH($A67,'ملخص الكميات حسب الفراغ'!$B$4:$B$153,0)),""))</f>
        <v/>
      </c>
      <c r="M67" t="s">
        <v>162</v>
      </c>
      <c r="N67" t="str">
        <f>'ملخص الكميات حسب البند والخامة'!$B$92&amp;""</f>
        <v/>
      </c>
      <c r="O67" t="str">
        <f>'ملخص الكميات حسب البند والخامة'!$C$92&amp;""</f>
        <v/>
      </c>
      <c r="P67">
        <f t="shared" si="5"/>
        <v>0</v>
      </c>
      <c r="Q67">
        <f t="shared" si="6"/>
        <v>0</v>
      </c>
      <c r="R67">
        <f t="shared" si="7"/>
        <v>0</v>
      </c>
      <c r="S67">
        <v>66</v>
      </c>
    </row>
    <row r="68" spans="1:19" ht="18.95" customHeight="1" x14ac:dyDescent="0.25">
      <c r="A68" s="46" t="str">
        <f>IF($B$3="","",IFERROR(INDEX(SpaceCodes,_xlfn.AGGREGATE(15,6,(ROW(SpaceCodes)-4+1)/(SpaceLevels=$B$3),9)),""))</f>
        <v/>
      </c>
      <c r="B68" s="63" t="str">
        <f>IF($A68="","",IFERROR(INDEX('ملخص الكميات حسب الفراغ'!$C$4:$C$153,MATCH($A68,'ملخص الكميات حسب الفراغ'!$B$4:$B$153,0)),""))</f>
        <v/>
      </c>
      <c r="C68" s="51"/>
      <c r="D68" s="45" t="str">
        <f>IF($A68="","",IFERROR(INDEX('ملخص الكميات حسب الفراغ'!$E$4:$E$153,MATCH($A68,'ملخص الكميات حسب الفراغ'!$B$4:$B$153,0)),""))</f>
        <v/>
      </c>
      <c r="E68" s="45" t="str">
        <f>IF($A68="","",IFERROR(INDEX('ملخص الكميات حسب الفراغ'!$H$4:$H$153,MATCH($A68,'ملخص الكميات حسب الفراغ'!$B$4:$B$153,0)),""))</f>
        <v/>
      </c>
      <c r="F68" s="45" t="str">
        <f>IF($A68="","",IFERROR(INDEX('ملخص الكميات حسب الفراغ'!$I$4:$I$153,MATCH($A68,'ملخص الكميات حسب الفراغ'!$B$4:$B$153,0)),""))</f>
        <v/>
      </c>
      <c r="G68" s="45" t="str">
        <f>IF($A68="","",IFERROR(INDEX('ملخص الكميات حسب الفراغ'!$L$4:$L$153,MATCH($A68,'ملخص الكميات حسب الفراغ'!$B$4:$B$153,0)),""))</f>
        <v/>
      </c>
      <c r="H68" s="45" t="str">
        <f>IF($A68="","",IFERROR(INDEX('ملخص الكميات حسب الفراغ'!$O$4:$O$153,MATCH($A68,'ملخص الكميات حسب الفراغ'!$B$4:$B$153,0)),""))</f>
        <v/>
      </c>
      <c r="I68" s="47" t="str">
        <f>IF($A68="","",IFERROR(INDEX('ملخص الكميات حسب الفراغ'!$R$4:$R$153,MATCH($A68,'ملخص الكميات حسب الفراغ'!$B$4:$B$153,0)),""))</f>
        <v/>
      </c>
      <c r="M68" t="s">
        <v>162</v>
      </c>
      <c r="N68" t="str">
        <f>'ملخص الكميات حسب البند والخامة'!$B$93&amp;""</f>
        <v/>
      </c>
      <c r="O68" t="str">
        <f>'ملخص الكميات حسب البند والخامة'!$C$93&amp;""</f>
        <v/>
      </c>
      <c r="P68">
        <f t="shared" si="5"/>
        <v>0</v>
      </c>
      <c r="Q68">
        <f t="shared" si="6"/>
        <v>0</v>
      </c>
      <c r="R68">
        <f t="shared" si="7"/>
        <v>0</v>
      </c>
      <c r="S68">
        <v>67</v>
      </c>
    </row>
    <row r="69" spans="1:19" ht="18.95" customHeight="1" x14ac:dyDescent="0.25">
      <c r="A69" s="46" t="str">
        <f>IF($B$3="","",IFERROR(INDEX(SpaceCodes,_xlfn.AGGREGATE(15,6,(ROW(SpaceCodes)-4+1)/(SpaceLevels=$B$3),10)),""))</f>
        <v/>
      </c>
      <c r="B69" s="63" t="str">
        <f>IF($A69="","",IFERROR(INDEX('ملخص الكميات حسب الفراغ'!$C$4:$C$153,MATCH($A69,'ملخص الكميات حسب الفراغ'!$B$4:$B$153,0)),""))</f>
        <v/>
      </c>
      <c r="C69" s="51"/>
      <c r="D69" s="45" t="str">
        <f>IF($A69="","",IFERROR(INDEX('ملخص الكميات حسب الفراغ'!$E$4:$E$153,MATCH($A69,'ملخص الكميات حسب الفراغ'!$B$4:$B$153,0)),""))</f>
        <v/>
      </c>
      <c r="E69" s="45" t="str">
        <f>IF($A69="","",IFERROR(INDEX('ملخص الكميات حسب الفراغ'!$H$4:$H$153,MATCH($A69,'ملخص الكميات حسب الفراغ'!$B$4:$B$153,0)),""))</f>
        <v/>
      </c>
      <c r="F69" s="45" t="str">
        <f>IF($A69="","",IFERROR(INDEX('ملخص الكميات حسب الفراغ'!$I$4:$I$153,MATCH($A69,'ملخص الكميات حسب الفراغ'!$B$4:$B$153,0)),""))</f>
        <v/>
      </c>
      <c r="G69" s="45" t="str">
        <f>IF($A69="","",IFERROR(INDEX('ملخص الكميات حسب الفراغ'!$L$4:$L$153,MATCH($A69,'ملخص الكميات حسب الفراغ'!$B$4:$B$153,0)),""))</f>
        <v/>
      </c>
      <c r="H69" s="45" t="str">
        <f>IF($A69="","",IFERROR(INDEX('ملخص الكميات حسب الفراغ'!$O$4:$O$153,MATCH($A69,'ملخص الكميات حسب الفراغ'!$B$4:$B$153,0)),""))</f>
        <v/>
      </c>
      <c r="I69" s="47" t="str">
        <f>IF($A69="","",IFERROR(INDEX('ملخص الكميات حسب الفراغ'!$R$4:$R$153,MATCH($A69,'ملخص الكميات حسب الفراغ'!$B$4:$B$153,0)),""))</f>
        <v/>
      </c>
      <c r="M69" t="s">
        <v>162</v>
      </c>
      <c r="N69" t="str">
        <f>'ملخص الكميات حسب البند والخامة'!$B$94&amp;""</f>
        <v/>
      </c>
      <c r="O69" t="str">
        <f>'ملخص الكميات حسب البند والخامة'!$C$94&amp;""</f>
        <v/>
      </c>
      <c r="P69">
        <f t="shared" si="5"/>
        <v>0</v>
      </c>
      <c r="Q69">
        <f t="shared" si="6"/>
        <v>0</v>
      </c>
      <c r="R69">
        <f t="shared" si="7"/>
        <v>0</v>
      </c>
      <c r="S69">
        <v>68</v>
      </c>
    </row>
    <row r="70" spans="1:19" ht="18.95" customHeight="1" x14ac:dyDescent="0.25">
      <c r="A70" s="46" t="str">
        <f>IF($B$3="","",IFERROR(INDEX(SpaceCodes,_xlfn.AGGREGATE(15,6,(ROW(SpaceCodes)-4+1)/(SpaceLevels=$B$3),11)),""))</f>
        <v/>
      </c>
      <c r="B70" s="63" t="str">
        <f>IF($A70="","",IFERROR(INDEX('ملخص الكميات حسب الفراغ'!$C$4:$C$153,MATCH($A70,'ملخص الكميات حسب الفراغ'!$B$4:$B$153,0)),""))</f>
        <v/>
      </c>
      <c r="C70" s="51"/>
      <c r="D70" s="45" t="str">
        <f>IF($A70="","",IFERROR(INDEX('ملخص الكميات حسب الفراغ'!$E$4:$E$153,MATCH($A70,'ملخص الكميات حسب الفراغ'!$B$4:$B$153,0)),""))</f>
        <v/>
      </c>
      <c r="E70" s="45" t="str">
        <f>IF($A70="","",IFERROR(INDEX('ملخص الكميات حسب الفراغ'!$H$4:$H$153,MATCH($A70,'ملخص الكميات حسب الفراغ'!$B$4:$B$153,0)),""))</f>
        <v/>
      </c>
      <c r="F70" s="45" t="str">
        <f>IF($A70="","",IFERROR(INDEX('ملخص الكميات حسب الفراغ'!$I$4:$I$153,MATCH($A70,'ملخص الكميات حسب الفراغ'!$B$4:$B$153,0)),""))</f>
        <v/>
      </c>
      <c r="G70" s="45" t="str">
        <f>IF($A70="","",IFERROR(INDEX('ملخص الكميات حسب الفراغ'!$L$4:$L$153,MATCH($A70,'ملخص الكميات حسب الفراغ'!$B$4:$B$153,0)),""))</f>
        <v/>
      </c>
      <c r="H70" s="45" t="str">
        <f>IF($A70="","",IFERROR(INDEX('ملخص الكميات حسب الفراغ'!$O$4:$O$153,MATCH($A70,'ملخص الكميات حسب الفراغ'!$B$4:$B$153,0)),""))</f>
        <v/>
      </c>
      <c r="I70" s="47" t="str">
        <f>IF($A70="","",IFERROR(INDEX('ملخص الكميات حسب الفراغ'!$R$4:$R$153,MATCH($A70,'ملخص الكميات حسب الفراغ'!$B$4:$B$153,0)),""))</f>
        <v/>
      </c>
      <c r="M70" t="s">
        <v>162</v>
      </c>
      <c r="N70" t="str">
        <f>'ملخص الكميات حسب البند والخامة'!$B$95&amp;""</f>
        <v/>
      </c>
      <c r="O70" t="str">
        <f>'ملخص الكميات حسب البند والخامة'!$C$95&amp;""</f>
        <v/>
      </c>
      <c r="P70">
        <f t="shared" si="5"/>
        <v>0</v>
      </c>
      <c r="Q70">
        <f t="shared" si="6"/>
        <v>0</v>
      </c>
      <c r="R70">
        <f t="shared" si="7"/>
        <v>0</v>
      </c>
      <c r="S70">
        <v>69</v>
      </c>
    </row>
    <row r="71" spans="1:19" ht="18.95" customHeight="1" x14ac:dyDescent="0.25">
      <c r="A71" s="46" t="str">
        <f>IF($B$3="","",IFERROR(INDEX(SpaceCodes,_xlfn.AGGREGATE(15,6,(ROW(SpaceCodes)-4+1)/(SpaceLevels=$B$3),12)),""))</f>
        <v/>
      </c>
      <c r="B71" s="63" t="str">
        <f>IF($A71="","",IFERROR(INDEX('ملخص الكميات حسب الفراغ'!$C$4:$C$153,MATCH($A71,'ملخص الكميات حسب الفراغ'!$B$4:$B$153,0)),""))</f>
        <v/>
      </c>
      <c r="C71" s="51"/>
      <c r="D71" s="45" t="str">
        <f>IF($A71="","",IFERROR(INDEX('ملخص الكميات حسب الفراغ'!$E$4:$E$153,MATCH($A71,'ملخص الكميات حسب الفراغ'!$B$4:$B$153,0)),""))</f>
        <v/>
      </c>
      <c r="E71" s="45" t="str">
        <f>IF($A71="","",IFERROR(INDEX('ملخص الكميات حسب الفراغ'!$H$4:$H$153,MATCH($A71,'ملخص الكميات حسب الفراغ'!$B$4:$B$153,0)),""))</f>
        <v/>
      </c>
      <c r="F71" s="45" t="str">
        <f>IF($A71="","",IFERROR(INDEX('ملخص الكميات حسب الفراغ'!$I$4:$I$153,MATCH($A71,'ملخص الكميات حسب الفراغ'!$B$4:$B$153,0)),""))</f>
        <v/>
      </c>
      <c r="G71" s="45" t="str">
        <f>IF($A71="","",IFERROR(INDEX('ملخص الكميات حسب الفراغ'!$L$4:$L$153,MATCH($A71,'ملخص الكميات حسب الفراغ'!$B$4:$B$153,0)),""))</f>
        <v/>
      </c>
      <c r="H71" s="45" t="str">
        <f>IF($A71="","",IFERROR(INDEX('ملخص الكميات حسب الفراغ'!$O$4:$O$153,MATCH($A71,'ملخص الكميات حسب الفراغ'!$B$4:$B$153,0)),""))</f>
        <v/>
      </c>
      <c r="I71" s="47" t="str">
        <f>IF($A71="","",IFERROR(INDEX('ملخص الكميات حسب الفراغ'!$R$4:$R$153,MATCH($A71,'ملخص الكميات حسب الفراغ'!$B$4:$B$153,0)),""))</f>
        <v/>
      </c>
      <c r="M71" t="s">
        <v>162</v>
      </c>
      <c r="N71" t="str">
        <f>'ملخص الكميات حسب البند والخامة'!$B$96&amp;""</f>
        <v/>
      </c>
      <c r="O71" t="str">
        <f>'ملخص الكميات حسب البند والخامة'!$C$96&amp;""</f>
        <v/>
      </c>
      <c r="P71">
        <f t="shared" si="5"/>
        <v>0</v>
      </c>
      <c r="Q71">
        <f t="shared" si="6"/>
        <v>0</v>
      </c>
      <c r="R71">
        <f t="shared" si="7"/>
        <v>0</v>
      </c>
      <c r="S71">
        <v>70</v>
      </c>
    </row>
    <row r="72" spans="1:19" ht="18.95" customHeight="1" x14ac:dyDescent="0.25">
      <c r="A72" s="46" t="str">
        <f>IF($B$3="","",IFERROR(INDEX(SpaceCodes,_xlfn.AGGREGATE(15,6,(ROW(SpaceCodes)-4+1)/(SpaceLevels=$B$3),13)),""))</f>
        <v/>
      </c>
      <c r="B72" s="63" t="str">
        <f>IF($A72="","",IFERROR(INDEX('ملخص الكميات حسب الفراغ'!$C$4:$C$153,MATCH($A72,'ملخص الكميات حسب الفراغ'!$B$4:$B$153,0)),""))</f>
        <v/>
      </c>
      <c r="C72" s="51"/>
      <c r="D72" s="45" t="str">
        <f>IF($A72="","",IFERROR(INDEX('ملخص الكميات حسب الفراغ'!$E$4:$E$153,MATCH($A72,'ملخص الكميات حسب الفراغ'!$B$4:$B$153,0)),""))</f>
        <v/>
      </c>
      <c r="E72" s="45" t="str">
        <f>IF($A72="","",IFERROR(INDEX('ملخص الكميات حسب الفراغ'!$H$4:$H$153,MATCH($A72,'ملخص الكميات حسب الفراغ'!$B$4:$B$153,0)),""))</f>
        <v/>
      </c>
      <c r="F72" s="45" t="str">
        <f>IF($A72="","",IFERROR(INDEX('ملخص الكميات حسب الفراغ'!$I$4:$I$153,MATCH($A72,'ملخص الكميات حسب الفراغ'!$B$4:$B$153,0)),""))</f>
        <v/>
      </c>
      <c r="G72" s="45" t="str">
        <f>IF($A72="","",IFERROR(INDEX('ملخص الكميات حسب الفراغ'!$L$4:$L$153,MATCH($A72,'ملخص الكميات حسب الفراغ'!$B$4:$B$153,0)),""))</f>
        <v/>
      </c>
      <c r="H72" s="45" t="str">
        <f>IF($A72="","",IFERROR(INDEX('ملخص الكميات حسب الفراغ'!$O$4:$O$153,MATCH($A72,'ملخص الكميات حسب الفراغ'!$B$4:$B$153,0)),""))</f>
        <v/>
      </c>
      <c r="I72" s="47" t="str">
        <f>IF($A72="","",IFERROR(INDEX('ملخص الكميات حسب الفراغ'!$R$4:$R$153,MATCH($A72,'ملخص الكميات حسب الفراغ'!$B$4:$B$153,0)),""))</f>
        <v/>
      </c>
      <c r="M72" t="s">
        <v>162</v>
      </c>
      <c r="N72" t="str">
        <f>'ملخص الكميات حسب البند والخامة'!$B$97&amp;""</f>
        <v/>
      </c>
      <c r="O72" t="str">
        <f>'ملخص الكميات حسب البند والخامة'!$C$97&amp;""</f>
        <v/>
      </c>
      <c r="P72">
        <f t="shared" si="5"/>
        <v>0</v>
      </c>
      <c r="Q72">
        <f t="shared" si="6"/>
        <v>0</v>
      </c>
      <c r="R72">
        <f t="shared" si="7"/>
        <v>0</v>
      </c>
      <c r="S72">
        <v>71</v>
      </c>
    </row>
    <row r="73" spans="1:19" ht="18.95" customHeight="1" x14ac:dyDescent="0.25">
      <c r="A73" s="46" t="str">
        <f>IF($B$3="","",IFERROR(INDEX(SpaceCodes,_xlfn.AGGREGATE(15,6,(ROW(SpaceCodes)-4+1)/(SpaceLevels=$B$3),14)),""))</f>
        <v/>
      </c>
      <c r="B73" s="63" t="str">
        <f>IF($A73="","",IFERROR(INDEX('ملخص الكميات حسب الفراغ'!$C$4:$C$153,MATCH($A73,'ملخص الكميات حسب الفراغ'!$B$4:$B$153,0)),""))</f>
        <v/>
      </c>
      <c r="C73" s="51"/>
      <c r="D73" s="45" t="str">
        <f>IF($A73="","",IFERROR(INDEX('ملخص الكميات حسب الفراغ'!$E$4:$E$153,MATCH($A73,'ملخص الكميات حسب الفراغ'!$B$4:$B$153,0)),""))</f>
        <v/>
      </c>
      <c r="E73" s="45" t="str">
        <f>IF($A73="","",IFERROR(INDEX('ملخص الكميات حسب الفراغ'!$H$4:$H$153,MATCH($A73,'ملخص الكميات حسب الفراغ'!$B$4:$B$153,0)),""))</f>
        <v/>
      </c>
      <c r="F73" s="45" t="str">
        <f>IF($A73="","",IFERROR(INDEX('ملخص الكميات حسب الفراغ'!$I$4:$I$153,MATCH($A73,'ملخص الكميات حسب الفراغ'!$B$4:$B$153,0)),""))</f>
        <v/>
      </c>
      <c r="G73" s="45" t="str">
        <f>IF($A73="","",IFERROR(INDEX('ملخص الكميات حسب الفراغ'!$L$4:$L$153,MATCH($A73,'ملخص الكميات حسب الفراغ'!$B$4:$B$153,0)),""))</f>
        <v/>
      </c>
      <c r="H73" s="45" t="str">
        <f>IF($A73="","",IFERROR(INDEX('ملخص الكميات حسب الفراغ'!$O$4:$O$153,MATCH($A73,'ملخص الكميات حسب الفراغ'!$B$4:$B$153,0)),""))</f>
        <v/>
      </c>
      <c r="I73" s="47" t="str">
        <f>IF($A73="","",IFERROR(INDEX('ملخص الكميات حسب الفراغ'!$R$4:$R$153,MATCH($A73,'ملخص الكميات حسب الفراغ'!$B$4:$B$153,0)),""))</f>
        <v/>
      </c>
      <c r="M73" t="s">
        <v>162</v>
      </c>
      <c r="N73" t="str">
        <f>'ملخص الكميات حسب البند والخامة'!$B$98&amp;""</f>
        <v/>
      </c>
      <c r="O73" t="str">
        <f>'ملخص الكميات حسب البند والخامة'!$C$98&amp;""</f>
        <v/>
      </c>
      <c r="P73">
        <f t="shared" si="5"/>
        <v>0</v>
      </c>
      <c r="Q73">
        <f t="shared" si="6"/>
        <v>0</v>
      </c>
      <c r="R73">
        <f t="shared" si="7"/>
        <v>0</v>
      </c>
      <c r="S73">
        <v>72</v>
      </c>
    </row>
    <row r="74" spans="1:19" ht="18.95" customHeight="1" x14ac:dyDescent="0.25">
      <c r="A74" s="46" t="str">
        <f>IF($B$3="","",IFERROR(INDEX(SpaceCodes,_xlfn.AGGREGATE(15,6,(ROW(SpaceCodes)-4+1)/(SpaceLevels=$B$3),15)),""))</f>
        <v/>
      </c>
      <c r="B74" s="63" t="str">
        <f>IF($A74="","",IFERROR(INDEX('ملخص الكميات حسب الفراغ'!$C$4:$C$153,MATCH($A74,'ملخص الكميات حسب الفراغ'!$B$4:$B$153,0)),""))</f>
        <v/>
      </c>
      <c r="C74" s="51"/>
      <c r="D74" s="45" t="str">
        <f>IF($A74="","",IFERROR(INDEX('ملخص الكميات حسب الفراغ'!$E$4:$E$153,MATCH($A74,'ملخص الكميات حسب الفراغ'!$B$4:$B$153,0)),""))</f>
        <v/>
      </c>
      <c r="E74" s="45" t="str">
        <f>IF($A74="","",IFERROR(INDEX('ملخص الكميات حسب الفراغ'!$H$4:$H$153,MATCH($A74,'ملخص الكميات حسب الفراغ'!$B$4:$B$153,0)),""))</f>
        <v/>
      </c>
      <c r="F74" s="45" t="str">
        <f>IF($A74="","",IFERROR(INDEX('ملخص الكميات حسب الفراغ'!$I$4:$I$153,MATCH($A74,'ملخص الكميات حسب الفراغ'!$B$4:$B$153,0)),""))</f>
        <v/>
      </c>
      <c r="G74" s="45" t="str">
        <f>IF($A74="","",IFERROR(INDEX('ملخص الكميات حسب الفراغ'!$L$4:$L$153,MATCH($A74,'ملخص الكميات حسب الفراغ'!$B$4:$B$153,0)),""))</f>
        <v/>
      </c>
      <c r="H74" s="45" t="str">
        <f>IF($A74="","",IFERROR(INDEX('ملخص الكميات حسب الفراغ'!$O$4:$O$153,MATCH($A74,'ملخص الكميات حسب الفراغ'!$B$4:$B$153,0)),""))</f>
        <v/>
      </c>
      <c r="I74" s="47" t="str">
        <f>IF($A74="","",IFERROR(INDEX('ملخص الكميات حسب الفراغ'!$R$4:$R$153,MATCH($A74,'ملخص الكميات حسب الفراغ'!$B$4:$B$153,0)),""))</f>
        <v/>
      </c>
      <c r="M74" t="s">
        <v>162</v>
      </c>
      <c r="N74" t="str">
        <f>'ملخص الكميات حسب البند والخامة'!$B$99&amp;""</f>
        <v/>
      </c>
      <c r="O74" t="str">
        <f>'ملخص الكميات حسب البند والخامة'!$C$99&amp;""</f>
        <v/>
      </c>
      <c r="P74">
        <f t="shared" si="5"/>
        <v>0</v>
      </c>
      <c r="Q74">
        <f t="shared" si="6"/>
        <v>0</v>
      </c>
      <c r="R74">
        <f t="shared" si="7"/>
        <v>0</v>
      </c>
      <c r="S74">
        <v>73</v>
      </c>
    </row>
    <row r="75" spans="1:19" ht="18.95" customHeight="1" x14ac:dyDescent="0.25">
      <c r="A75" s="46" t="str">
        <f>IF($B$3="","",IFERROR(INDEX(SpaceCodes,_xlfn.AGGREGATE(15,6,(ROW(SpaceCodes)-4+1)/(SpaceLevels=$B$3),16)),""))</f>
        <v/>
      </c>
      <c r="B75" s="63" t="str">
        <f>IF($A75="","",IFERROR(INDEX('ملخص الكميات حسب الفراغ'!$C$4:$C$153,MATCH($A75,'ملخص الكميات حسب الفراغ'!$B$4:$B$153,0)),""))</f>
        <v/>
      </c>
      <c r="C75" s="51"/>
      <c r="D75" s="45" t="str">
        <f>IF($A75="","",IFERROR(INDEX('ملخص الكميات حسب الفراغ'!$E$4:$E$153,MATCH($A75,'ملخص الكميات حسب الفراغ'!$B$4:$B$153,0)),""))</f>
        <v/>
      </c>
      <c r="E75" s="45" t="str">
        <f>IF($A75="","",IFERROR(INDEX('ملخص الكميات حسب الفراغ'!$H$4:$H$153,MATCH($A75,'ملخص الكميات حسب الفراغ'!$B$4:$B$153,0)),""))</f>
        <v/>
      </c>
      <c r="F75" s="45" t="str">
        <f>IF($A75="","",IFERROR(INDEX('ملخص الكميات حسب الفراغ'!$I$4:$I$153,MATCH($A75,'ملخص الكميات حسب الفراغ'!$B$4:$B$153,0)),""))</f>
        <v/>
      </c>
      <c r="G75" s="45" t="str">
        <f>IF($A75="","",IFERROR(INDEX('ملخص الكميات حسب الفراغ'!$L$4:$L$153,MATCH($A75,'ملخص الكميات حسب الفراغ'!$B$4:$B$153,0)),""))</f>
        <v/>
      </c>
      <c r="H75" s="45" t="str">
        <f>IF($A75="","",IFERROR(INDEX('ملخص الكميات حسب الفراغ'!$O$4:$O$153,MATCH($A75,'ملخص الكميات حسب الفراغ'!$B$4:$B$153,0)),""))</f>
        <v/>
      </c>
      <c r="I75" s="47" t="str">
        <f>IF($A75="","",IFERROR(INDEX('ملخص الكميات حسب الفراغ'!$R$4:$R$153,MATCH($A75,'ملخص الكميات حسب الفراغ'!$B$4:$B$153,0)),""))</f>
        <v/>
      </c>
      <c r="M75" t="s">
        <v>162</v>
      </c>
      <c r="N75" t="str">
        <f>'ملخص الكميات حسب البند والخامة'!$B$100&amp;""</f>
        <v/>
      </c>
      <c r="O75" t="str">
        <f>'ملخص الكميات حسب البند والخامة'!$C$100&amp;""</f>
        <v/>
      </c>
      <c r="P75">
        <f t="shared" si="5"/>
        <v>0</v>
      </c>
      <c r="Q75">
        <f t="shared" si="6"/>
        <v>0</v>
      </c>
      <c r="R75">
        <f t="shared" si="7"/>
        <v>0</v>
      </c>
      <c r="S75">
        <v>74</v>
      </c>
    </row>
    <row r="76" spans="1:19" ht="18.95" customHeight="1" x14ac:dyDescent="0.25">
      <c r="A76" s="46" t="str">
        <f>IF($B$3="","",IFERROR(INDEX(SpaceCodes,_xlfn.AGGREGATE(15,6,(ROW(SpaceCodes)-4+1)/(SpaceLevels=$B$3),17)),""))</f>
        <v/>
      </c>
      <c r="B76" s="63" t="str">
        <f>IF($A76="","",IFERROR(INDEX('ملخص الكميات حسب الفراغ'!$C$4:$C$153,MATCH($A76,'ملخص الكميات حسب الفراغ'!$B$4:$B$153,0)),""))</f>
        <v/>
      </c>
      <c r="C76" s="51"/>
      <c r="D76" s="45" t="str">
        <f>IF($A76="","",IFERROR(INDEX('ملخص الكميات حسب الفراغ'!$E$4:$E$153,MATCH($A76,'ملخص الكميات حسب الفراغ'!$B$4:$B$153,0)),""))</f>
        <v/>
      </c>
      <c r="E76" s="45" t="str">
        <f>IF($A76="","",IFERROR(INDEX('ملخص الكميات حسب الفراغ'!$H$4:$H$153,MATCH($A76,'ملخص الكميات حسب الفراغ'!$B$4:$B$153,0)),""))</f>
        <v/>
      </c>
      <c r="F76" s="45" t="str">
        <f>IF($A76="","",IFERROR(INDEX('ملخص الكميات حسب الفراغ'!$I$4:$I$153,MATCH($A76,'ملخص الكميات حسب الفراغ'!$B$4:$B$153,0)),""))</f>
        <v/>
      </c>
      <c r="G76" s="45" t="str">
        <f>IF($A76="","",IFERROR(INDEX('ملخص الكميات حسب الفراغ'!$L$4:$L$153,MATCH($A76,'ملخص الكميات حسب الفراغ'!$B$4:$B$153,0)),""))</f>
        <v/>
      </c>
      <c r="H76" s="45" t="str">
        <f>IF($A76="","",IFERROR(INDEX('ملخص الكميات حسب الفراغ'!$O$4:$O$153,MATCH($A76,'ملخص الكميات حسب الفراغ'!$B$4:$B$153,0)),""))</f>
        <v/>
      </c>
      <c r="I76" s="47" t="str">
        <f>IF($A76="","",IFERROR(INDEX('ملخص الكميات حسب الفراغ'!$R$4:$R$153,MATCH($A76,'ملخص الكميات حسب الفراغ'!$B$4:$B$153,0)),""))</f>
        <v/>
      </c>
      <c r="M76" t="s">
        <v>162</v>
      </c>
      <c r="N76" t="str">
        <f>'ملخص الكميات حسب البند والخامة'!$B$101&amp;""</f>
        <v/>
      </c>
      <c r="O76" t="str">
        <f>'ملخص الكميات حسب البند والخامة'!$C$101&amp;""</f>
        <v/>
      </c>
      <c r="P76">
        <f t="shared" si="5"/>
        <v>0</v>
      </c>
      <c r="Q76">
        <f t="shared" si="6"/>
        <v>0</v>
      </c>
      <c r="R76">
        <f t="shared" si="7"/>
        <v>0</v>
      </c>
      <c r="S76">
        <v>75</v>
      </c>
    </row>
    <row r="77" spans="1:19" ht="18.95" customHeight="1" x14ac:dyDescent="0.25">
      <c r="A77" s="46" t="str">
        <f>IF($B$3="","",IFERROR(INDEX(SpaceCodes,_xlfn.AGGREGATE(15,6,(ROW(SpaceCodes)-4+1)/(SpaceLevels=$B$3),18)),""))</f>
        <v/>
      </c>
      <c r="B77" s="63" t="str">
        <f>IF($A77="","",IFERROR(INDEX('ملخص الكميات حسب الفراغ'!$C$4:$C$153,MATCH($A77,'ملخص الكميات حسب الفراغ'!$B$4:$B$153,0)),""))</f>
        <v/>
      </c>
      <c r="C77" s="51"/>
      <c r="D77" s="45" t="str">
        <f>IF($A77="","",IFERROR(INDEX('ملخص الكميات حسب الفراغ'!$E$4:$E$153,MATCH($A77,'ملخص الكميات حسب الفراغ'!$B$4:$B$153,0)),""))</f>
        <v/>
      </c>
      <c r="E77" s="45" t="str">
        <f>IF($A77="","",IFERROR(INDEX('ملخص الكميات حسب الفراغ'!$H$4:$H$153,MATCH($A77,'ملخص الكميات حسب الفراغ'!$B$4:$B$153,0)),""))</f>
        <v/>
      </c>
      <c r="F77" s="45" t="str">
        <f>IF($A77="","",IFERROR(INDEX('ملخص الكميات حسب الفراغ'!$I$4:$I$153,MATCH($A77,'ملخص الكميات حسب الفراغ'!$B$4:$B$153,0)),""))</f>
        <v/>
      </c>
      <c r="G77" s="45" t="str">
        <f>IF($A77="","",IFERROR(INDEX('ملخص الكميات حسب الفراغ'!$L$4:$L$153,MATCH($A77,'ملخص الكميات حسب الفراغ'!$B$4:$B$153,0)),""))</f>
        <v/>
      </c>
      <c r="H77" s="45" t="str">
        <f>IF($A77="","",IFERROR(INDEX('ملخص الكميات حسب الفراغ'!$O$4:$O$153,MATCH($A77,'ملخص الكميات حسب الفراغ'!$B$4:$B$153,0)),""))</f>
        <v/>
      </c>
      <c r="I77" s="47" t="str">
        <f>IF($A77="","",IFERROR(INDEX('ملخص الكميات حسب الفراغ'!$R$4:$R$153,MATCH($A77,'ملخص الكميات حسب الفراغ'!$B$4:$B$153,0)),""))</f>
        <v/>
      </c>
      <c r="M77" t="s">
        <v>163</v>
      </c>
      <c r="N77" t="str">
        <f>'ملخص الكميات حسب البند والخامة'!$B$102&amp;""</f>
        <v>دهانات أسقف</v>
      </c>
      <c r="O77" t="str">
        <f>'ملخص الكميات حسب البند والخامة'!$C$102&amp;""</f>
        <v>م²</v>
      </c>
      <c r="P77">
        <f t="shared" ref="P77:P101" si="8">IF(OR(N77="",$B$3=""),0,SUMPRODUCT(SUMIFS(CL_Gross,CL_Mat,N77,CL_Space,SpaceCodes)*(SpaceLevels=$B$3)))</f>
        <v>0</v>
      </c>
      <c r="Q77">
        <f>0</f>
        <v>0</v>
      </c>
      <c r="R77">
        <f t="shared" ref="R77:R101" si="9">IF(OR(N77="",$B$3=""),0,SUMPRODUCT(SUMIFS(CL_Net,CL_Mat,N77,CL_Space,SpaceCodes)*(SpaceLevels=$B$3)))</f>
        <v>0</v>
      </c>
      <c r="S77">
        <v>76</v>
      </c>
    </row>
    <row r="78" spans="1:19" ht="18.95" customHeight="1" x14ac:dyDescent="0.25">
      <c r="A78" s="46" t="str">
        <f>IF($B$3="","",IFERROR(INDEX(SpaceCodes,_xlfn.AGGREGATE(15,6,(ROW(SpaceCodes)-4+1)/(SpaceLevels=$B$3),19)),""))</f>
        <v/>
      </c>
      <c r="B78" s="63" t="str">
        <f>IF($A78="","",IFERROR(INDEX('ملخص الكميات حسب الفراغ'!$C$4:$C$153,MATCH($A78,'ملخص الكميات حسب الفراغ'!$B$4:$B$153,0)),""))</f>
        <v/>
      </c>
      <c r="C78" s="51"/>
      <c r="D78" s="45" t="str">
        <f>IF($A78="","",IFERROR(INDEX('ملخص الكميات حسب الفراغ'!$E$4:$E$153,MATCH($A78,'ملخص الكميات حسب الفراغ'!$B$4:$B$153,0)),""))</f>
        <v/>
      </c>
      <c r="E78" s="45" t="str">
        <f>IF($A78="","",IFERROR(INDEX('ملخص الكميات حسب الفراغ'!$H$4:$H$153,MATCH($A78,'ملخص الكميات حسب الفراغ'!$B$4:$B$153,0)),""))</f>
        <v/>
      </c>
      <c r="F78" s="45" t="str">
        <f>IF($A78="","",IFERROR(INDEX('ملخص الكميات حسب الفراغ'!$I$4:$I$153,MATCH($A78,'ملخص الكميات حسب الفراغ'!$B$4:$B$153,0)),""))</f>
        <v/>
      </c>
      <c r="G78" s="45" t="str">
        <f>IF($A78="","",IFERROR(INDEX('ملخص الكميات حسب الفراغ'!$L$4:$L$153,MATCH($A78,'ملخص الكميات حسب الفراغ'!$B$4:$B$153,0)),""))</f>
        <v/>
      </c>
      <c r="H78" s="45" t="str">
        <f>IF($A78="","",IFERROR(INDEX('ملخص الكميات حسب الفراغ'!$O$4:$O$153,MATCH($A78,'ملخص الكميات حسب الفراغ'!$B$4:$B$153,0)),""))</f>
        <v/>
      </c>
      <c r="I78" s="47" t="str">
        <f>IF($A78="","",IFERROR(INDEX('ملخص الكميات حسب الفراغ'!$R$4:$R$153,MATCH($A78,'ملخص الكميات حسب الفراغ'!$B$4:$B$153,0)),""))</f>
        <v/>
      </c>
      <c r="M78" t="s">
        <v>163</v>
      </c>
      <c r="N78" t="str">
        <f>'ملخص الكميات حسب البند والخامة'!$B$103&amp;""</f>
        <v>سقف جبس بورد</v>
      </c>
      <c r="O78" t="str">
        <f>'ملخص الكميات حسب البند والخامة'!$C$103&amp;""</f>
        <v>م²</v>
      </c>
      <c r="P78">
        <f t="shared" si="8"/>
        <v>0</v>
      </c>
      <c r="Q78">
        <f>0</f>
        <v>0</v>
      </c>
      <c r="R78">
        <f t="shared" si="9"/>
        <v>0</v>
      </c>
      <c r="S78">
        <v>77</v>
      </c>
    </row>
    <row r="79" spans="1:19" ht="18.95" customHeight="1" x14ac:dyDescent="0.25">
      <c r="A79" s="46" t="str">
        <f>IF($B$3="","",IFERROR(INDEX(SpaceCodes,_xlfn.AGGREGATE(15,6,(ROW(SpaceCodes)-4+1)/(SpaceLevels=$B$3),20)),""))</f>
        <v/>
      </c>
      <c r="B79" s="63" t="str">
        <f>IF($A79="","",IFERROR(INDEX('ملخص الكميات حسب الفراغ'!$C$4:$C$153,MATCH($A79,'ملخص الكميات حسب الفراغ'!$B$4:$B$153,0)),""))</f>
        <v/>
      </c>
      <c r="C79" s="51"/>
      <c r="D79" s="45" t="str">
        <f>IF($A79="","",IFERROR(INDEX('ملخص الكميات حسب الفراغ'!$E$4:$E$153,MATCH($A79,'ملخص الكميات حسب الفراغ'!$B$4:$B$153,0)),""))</f>
        <v/>
      </c>
      <c r="E79" s="45" t="str">
        <f>IF($A79="","",IFERROR(INDEX('ملخص الكميات حسب الفراغ'!$H$4:$H$153,MATCH($A79,'ملخص الكميات حسب الفراغ'!$B$4:$B$153,0)),""))</f>
        <v/>
      </c>
      <c r="F79" s="45" t="str">
        <f>IF($A79="","",IFERROR(INDEX('ملخص الكميات حسب الفراغ'!$I$4:$I$153,MATCH($A79,'ملخص الكميات حسب الفراغ'!$B$4:$B$153,0)),""))</f>
        <v/>
      </c>
      <c r="G79" s="45" t="str">
        <f>IF($A79="","",IFERROR(INDEX('ملخص الكميات حسب الفراغ'!$L$4:$L$153,MATCH($A79,'ملخص الكميات حسب الفراغ'!$B$4:$B$153,0)),""))</f>
        <v/>
      </c>
      <c r="H79" s="45" t="str">
        <f>IF($A79="","",IFERROR(INDEX('ملخص الكميات حسب الفراغ'!$O$4:$O$153,MATCH($A79,'ملخص الكميات حسب الفراغ'!$B$4:$B$153,0)),""))</f>
        <v/>
      </c>
      <c r="I79" s="47" t="str">
        <f>IF($A79="","",IFERROR(INDEX('ملخص الكميات حسب الفراغ'!$R$4:$R$153,MATCH($A79,'ملخص الكميات حسب الفراغ'!$B$4:$B$153,0)),""))</f>
        <v/>
      </c>
      <c r="M79" t="s">
        <v>163</v>
      </c>
      <c r="N79" t="str">
        <f>'ملخص الكميات حسب البند والخامة'!$B$104&amp;""</f>
        <v>سقف جبسي</v>
      </c>
      <c r="O79" t="str">
        <f>'ملخص الكميات حسب البند والخامة'!$C$104&amp;""</f>
        <v>م²</v>
      </c>
      <c r="P79">
        <f t="shared" si="8"/>
        <v>0</v>
      </c>
      <c r="Q79">
        <f>0</f>
        <v>0</v>
      </c>
      <c r="R79">
        <f t="shared" si="9"/>
        <v>0</v>
      </c>
      <c r="S79">
        <v>78</v>
      </c>
    </row>
    <row r="80" spans="1:19" ht="18.95" customHeight="1" x14ac:dyDescent="0.25">
      <c r="A80" s="46" t="str">
        <f>IF($B$3="","",IFERROR(INDEX(SpaceCodes,_xlfn.AGGREGATE(15,6,(ROW(SpaceCodes)-4+1)/(SpaceLevels=$B$3),21)),""))</f>
        <v/>
      </c>
      <c r="B80" s="63" t="str">
        <f>IF($A80="","",IFERROR(INDEX('ملخص الكميات حسب الفراغ'!$C$4:$C$153,MATCH($A80,'ملخص الكميات حسب الفراغ'!$B$4:$B$153,0)),""))</f>
        <v/>
      </c>
      <c r="C80" s="51"/>
      <c r="D80" s="45" t="str">
        <f>IF($A80="","",IFERROR(INDEX('ملخص الكميات حسب الفراغ'!$E$4:$E$153,MATCH($A80,'ملخص الكميات حسب الفراغ'!$B$4:$B$153,0)),""))</f>
        <v/>
      </c>
      <c r="E80" s="45" t="str">
        <f>IF($A80="","",IFERROR(INDEX('ملخص الكميات حسب الفراغ'!$H$4:$H$153,MATCH($A80,'ملخص الكميات حسب الفراغ'!$B$4:$B$153,0)),""))</f>
        <v/>
      </c>
      <c r="F80" s="45" t="str">
        <f>IF($A80="","",IFERROR(INDEX('ملخص الكميات حسب الفراغ'!$I$4:$I$153,MATCH($A80,'ملخص الكميات حسب الفراغ'!$B$4:$B$153,0)),""))</f>
        <v/>
      </c>
      <c r="G80" s="45" t="str">
        <f>IF($A80="","",IFERROR(INDEX('ملخص الكميات حسب الفراغ'!$L$4:$L$153,MATCH($A80,'ملخص الكميات حسب الفراغ'!$B$4:$B$153,0)),""))</f>
        <v/>
      </c>
      <c r="H80" s="45" t="str">
        <f>IF($A80="","",IFERROR(INDEX('ملخص الكميات حسب الفراغ'!$O$4:$O$153,MATCH($A80,'ملخص الكميات حسب الفراغ'!$B$4:$B$153,0)),""))</f>
        <v/>
      </c>
      <c r="I80" s="47" t="str">
        <f>IF($A80="","",IFERROR(INDEX('ملخص الكميات حسب الفراغ'!$R$4:$R$153,MATCH($A80,'ملخص الكميات حسب الفراغ'!$B$4:$B$153,0)),""))</f>
        <v/>
      </c>
      <c r="M80" t="s">
        <v>163</v>
      </c>
      <c r="N80" t="str">
        <f>'ملخص الكميات حسب البند والخامة'!$B$105&amp;""</f>
        <v>بلاطات معلقة</v>
      </c>
      <c r="O80" t="str">
        <f>'ملخص الكميات حسب البند والخامة'!$C$105&amp;""</f>
        <v>م²</v>
      </c>
      <c r="P80">
        <f t="shared" si="8"/>
        <v>0</v>
      </c>
      <c r="Q80">
        <f>0</f>
        <v>0</v>
      </c>
      <c r="R80">
        <f t="shared" si="9"/>
        <v>0</v>
      </c>
      <c r="S80">
        <v>79</v>
      </c>
    </row>
    <row r="81" spans="1:19" ht="18.95" customHeight="1" x14ac:dyDescent="0.25">
      <c r="A81" s="46" t="str">
        <f>IF($B$3="","",IFERROR(INDEX(SpaceCodes,_xlfn.AGGREGATE(15,6,(ROW(SpaceCodes)-4+1)/(SpaceLevels=$B$3),22)),""))</f>
        <v/>
      </c>
      <c r="B81" s="63" t="str">
        <f>IF($A81="","",IFERROR(INDEX('ملخص الكميات حسب الفراغ'!$C$4:$C$153,MATCH($A81,'ملخص الكميات حسب الفراغ'!$B$4:$B$153,0)),""))</f>
        <v/>
      </c>
      <c r="C81" s="51"/>
      <c r="D81" s="45" t="str">
        <f>IF($A81="","",IFERROR(INDEX('ملخص الكميات حسب الفراغ'!$E$4:$E$153,MATCH($A81,'ملخص الكميات حسب الفراغ'!$B$4:$B$153,0)),""))</f>
        <v/>
      </c>
      <c r="E81" s="45" t="str">
        <f>IF($A81="","",IFERROR(INDEX('ملخص الكميات حسب الفراغ'!$H$4:$H$153,MATCH($A81,'ملخص الكميات حسب الفراغ'!$B$4:$B$153,0)),""))</f>
        <v/>
      </c>
      <c r="F81" s="45" t="str">
        <f>IF($A81="","",IFERROR(INDEX('ملخص الكميات حسب الفراغ'!$I$4:$I$153,MATCH($A81,'ملخص الكميات حسب الفراغ'!$B$4:$B$153,0)),""))</f>
        <v/>
      </c>
      <c r="G81" s="45" t="str">
        <f>IF($A81="","",IFERROR(INDEX('ملخص الكميات حسب الفراغ'!$L$4:$L$153,MATCH($A81,'ملخص الكميات حسب الفراغ'!$B$4:$B$153,0)),""))</f>
        <v/>
      </c>
      <c r="H81" s="45" t="str">
        <f>IF($A81="","",IFERROR(INDEX('ملخص الكميات حسب الفراغ'!$O$4:$O$153,MATCH($A81,'ملخص الكميات حسب الفراغ'!$B$4:$B$153,0)),""))</f>
        <v/>
      </c>
      <c r="I81" s="47" t="str">
        <f>IF($A81="","",IFERROR(INDEX('ملخص الكميات حسب الفراغ'!$R$4:$R$153,MATCH($A81,'ملخص الكميات حسب الفراغ'!$B$4:$B$153,0)),""))</f>
        <v/>
      </c>
      <c r="M81" t="s">
        <v>163</v>
      </c>
      <c r="N81" t="str">
        <f>'ملخص الكميات حسب البند والخامة'!$B$106&amp;""</f>
        <v>سقف معدني</v>
      </c>
      <c r="O81" t="str">
        <f>'ملخص الكميات حسب البند والخامة'!$C$106&amp;""</f>
        <v>م²</v>
      </c>
      <c r="P81">
        <f t="shared" si="8"/>
        <v>0</v>
      </c>
      <c r="Q81">
        <f>0</f>
        <v>0</v>
      </c>
      <c r="R81">
        <f t="shared" si="9"/>
        <v>0</v>
      </c>
      <c r="S81">
        <v>80</v>
      </c>
    </row>
    <row r="82" spans="1:19" ht="18.95" customHeight="1" x14ac:dyDescent="0.25">
      <c r="A82" s="46" t="str">
        <f>IF($B$3="","",IFERROR(INDEX(SpaceCodes,_xlfn.AGGREGATE(15,6,(ROW(SpaceCodes)-4+1)/(SpaceLevels=$B$3),23)),""))</f>
        <v/>
      </c>
      <c r="B82" s="63" t="str">
        <f>IF($A82="","",IFERROR(INDEX('ملخص الكميات حسب الفراغ'!$C$4:$C$153,MATCH($A82,'ملخص الكميات حسب الفراغ'!$B$4:$B$153,0)),""))</f>
        <v/>
      </c>
      <c r="C82" s="51"/>
      <c r="D82" s="45" t="str">
        <f>IF($A82="","",IFERROR(INDEX('ملخص الكميات حسب الفراغ'!$E$4:$E$153,MATCH($A82,'ملخص الكميات حسب الفراغ'!$B$4:$B$153,0)),""))</f>
        <v/>
      </c>
      <c r="E82" s="45" t="str">
        <f>IF($A82="","",IFERROR(INDEX('ملخص الكميات حسب الفراغ'!$H$4:$H$153,MATCH($A82,'ملخص الكميات حسب الفراغ'!$B$4:$B$153,0)),""))</f>
        <v/>
      </c>
      <c r="F82" s="45" t="str">
        <f>IF($A82="","",IFERROR(INDEX('ملخص الكميات حسب الفراغ'!$I$4:$I$153,MATCH($A82,'ملخص الكميات حسب الفراغ'!$B$4:$B$153,0)),""))</f>
        <v/>
      </c>
      <c r="G82" s="45" t="str">
        <f>IF($A82="","",IFERROR(INDEX('ملخص الكميات حسب الفراغ'!$L$4:$L$153,MATCH($A82,'ملخص الكميات حسب الفراغ'!$B$4:$B$153,0)),""))</f>
        <v/>
      </c>
      <c r="H82" s="45" t="str">
        <f>IF($A82="","",IFERROR(INDEX('ملخص الكميات حسب الفراغ'!$O$4:$O$153,MATCH($A82,'ملخص الكميات حسب الفراغ'!$B$4:$B$153,0)),""))</f>
        <v/>
      </c>
      <c r="I82" s="47" t="str">
        <f>IF($A82="","",IFERROR(INDEX('ملخص الكميات حسب الفراغ'!$R$4:$R$153,MATCH($A82,'ملخص الكميات حسب الفراغ'!$B$4:$B$153,0)),""))</f>
        <v/>
      </c>
      <c r="M82" t="s">
        <v>163</v>
      </c>
      <c r="N82" t="str">
        <f>'ملخص الكميات حسب البند والخامة'!$B$107&amp;""</f>
        <v>كسوات سقفية أخرى</v>
      </c>
      <c r="O82" t="str">
        <f>'ملخص الكميات حسب البند والخامة'!$C$107&amp;""</f>
        <v>م²</v>
      </c>
      <c r="P82">
        <f t="shared" si="8"/>
        <v>0</v>
      </c>
      <c r="Q82">
        <f>0</f>
        <v>0</v>
      </c>
      <c r="R82">
        <f t="shared" si="9"/>
        <v>0</v>
      </c>
      <c r="S82">
        <v>81</v>
      </c>
    </row>
    <row r="83" spans="1:19" ht="18.95" customHeight="1" x14ac:dyDescent="0.25">
      <c r="A83" s="46" t="str">
        <f>IF($B$3="","",IFERROR(INDEX(SpaceCodes,_xlfn.AGGREGATE(15,6,(ROW(SpaceCodes)-4+1)/(SpaceLevels=$B$3),24)),""))</f>
        <v/>
      </c>
      <c r="B83" s="63" t="str">
        <f>IF($A83="","",IFERROR(INDEX('ملخص الكميات حسب الفراغ'!$C$4:$C$153,MATCH($A83,'ملخص الكميات حسب الفراغ'!$B$4:$B$153,0)),""))</f>
        <v/>
      </c>
      <c r="C83" s="51"/>
      <c r="D83" s="45" t="str">
        <f>IF($A83="","",IFERROR(INDEX('ملخص الكميات حسب الفراغ'!$E$4:$E$153,MATCH($A83,'ملخص الكميات حسب الفراغ'!$B$4:$B$153,0)),""))</f>
        <v/>
      </c>
      <c r="E83" s="45" t="str">
        <f>IF($A83="","",IFERROR(INDEX('ملخص الكميات حسب الفراغ'!$H$4:$H$153,MATCH($A83,'ملخص الكميات حسب الفراغ'!$B$4:$B$153,0)),""))</f>
        <v/>
      </c>
      <c r="F83" s="45" t="str">
        <f>IF($A83="","",IFERROR(INDEX('ملخص الكميات حسب الفراغ'!$I$4:$I$153,MATCH($A83,'ملخص الكميات حسب الفراغ'!$B$4:$B$153,0)),""))</f>
        <v/>
      </c>
      <c r="G83" s="45" t="str">
        <f>IF($A83="","",IFERROR(INDEX('ملخص الكميات حسب الفراغ'!$L$4:$L$153,MATCH($A83,'ملخص الكميات حسب الفراغ'!$B$4:$B$153,0)),""))</f>
        <v/>
      </c>
      <c r="H83" s="45" t="str">
        <f>IF($A83="","",IFERROR(INDEX('ملخص الكميات حسب الفراغ'!$O$4:$O$153,MATCH($A83,'ملخص الكميات حسب الفراغ'!$B$4:$B$153,0)),""))</f>
        <v/>
      </c>
      <c r="I83" s="47" t="str">
        <f>IF($A83="","",IFERROR(INDEX('ملخص الكميات حسب الفراغ'!$R$4:$R$153,MATCH($A83,'ملخص الكميات حسب الفراغ'!$B$4:$B$153,0)),""))</f>
        <v/>
      </c>
      <c r="M83" t="s">
        <v>163</v>
      </c>
      <c r="N83" t="str">
        <f>'ملخص الكميات حسب البند والخامة'!$B$108&amp;""</f>
        <v/>
      </c>
      <c r="O83" t="str">
        <f>'ملخص الكميات حسب البند والخامة'!$C$108&amp;""</f>
        <v/>
      </c>
      <c r="P83">
        <f t="shared" si="8"/>
        <v>0</v>
      </c>
      <c r="Q83">
        <f>0</f>
        <v>0</v>
      </c>
      <c r="R83">
        <f t="shared" si="9"/>
        <v>0</v>
      </c>
      <c r="S83">
        <v>82</v>
      </c>
    </row>
    <row r="84" spans="1:19" ht="18.95" customHeight="1" x14ac:dyDescent="0.25">
      <c r="A84" s="46" t="str">
        <f>IF($B$3="","",IFERROR(INDEX(SpaceCodes,_xlfn.AGGREGATE(15,6,(ROW(SpaceCodes)-4+1)/(SpaceLevels=$B$3),25)),""))</f>
        <v/>
      </c>
      <c r="B84" s="63" t="str">
        <f>IF($A84="","",IFERROR(INDEX('ملخص الكميات حسب الفراغ'!$C$4:$C$153,MATCH($A84,'ملخص الكميات حسب الفراغ'!$B$4:$B$153,0)),""))</f>
        <v/>
      </c>
      <c r="C84" s="51"/>
      <c r="D84" s="45" t="str">
        <f>IF($A84="","",IFERROR(INDEX('ملخص الكميات حسب الفراغ'!$E$4:$E$153,MATCH($A84,'ملخص الكميات حسب الفراغ'!$B$4:$B$153,0)),""))</f>
        <v/>
      </c>
      <c r="E84" s="45" t="str">
        <f>IF($A84="","",IFERROR(INDEX('ملخص الكميات حسب الفراغ'!$H$4:$H$153,MATCH($A84,'ملخص الكميات حسب الفراغ'!$B$4:$B$153,0)),""))</f>
        <v/>
      </c>
      <c r="F84" s="45" t="str">
        <f>IF($A84="","",IFERROR(INDEX('ملخص الكميات حسب الفراغ'!$I$4:$I$153,MATCH($A84,'ملخص الكميات حسب الفراغ'!$B$4:$B$153,0)),""))</f>
        <v/>
      </c>
      <c r="G84" s="45" t="str">
        <f>IF($A84="","",IFERROR(INDEX('ملخص الكميات حسب الفراغ'!$L$4:$L$153,MATCH($A84,'ملخص الكميات حسب الفراغ'!$B$4:$B$153,0)),""))</f>
        <v/>
      </c>
      <c r="H84" s="45" t="str">
        <f>IF($A84="","",IFERROR(INDEX('ملخص الكميات حسب الفراغ'!$O$4:$O$153,MATCH($A84,'ملخص الكميات حسب الفراغ'!$B$4:$B$153,0)),""))</f>
        <v/>
      </c>
      <c r="I84" s="47" t="str">
        <f>IF($A84="","",IFERROR(INDEX('ملخص الكميات حسب الفراغ'!$R$4:$R$153,MATCH($A84,'ملخص الكميات حسب الفراغ'!$B$4:$B$153,0)),""))</f>
        <v/>
      </c>
      <c r="M84" t="s">
        <v>163</v>
      </c>
      <c r="N84" t="str">
        <f>'ملخص الكميات حسب البند والخامة'!$B$109&amp;""</f>
        <v/>
      </c>
      <c r="O84" t="str">
        <f>'ملخص الكميات حسب البند والخامة'!$C$109&amp;""</f>
        <v/>
      </c>
      <c r="P84">
        <f t="shared" si="8"/>
        <v>0</v>
      </c>
      <c r="Q84">
        <f>0</f>
        <v>0</v>
      </c>
      <c r="R84">
        <f t="shared" si="9"/>
        <v>0</v>
      </c>
      <c r="S84">
        <v>83</v>
      </c>
    </row>
    <row r="85" spans="1:19" ht="18.95" customHeight="1" x14ac:dyDescent="0.25">
      <c r="A85" s="46" t="str">
        <f>IF($B$3="","",IFERROR(INDEX(SpaceCodes,_xlfn.AGGREGATE(15,6,(ROW(SpaceCodes)-4+1)/(SpaceLevels=$B$3),26)),""))</f>
        <v/>
      </c>
      <c r="B85" s="63" t="str">
        <f>IF($A85="","",IFERROR(INDEX('ملخص الكميات حسب الفراغ'!$C$4:$C$153,MATCH($A85,'ملخص الكميات حسب الفراغ'!$B$4:$B$153,0)),""))</f>
        <v/>
      </c>
      <c r="C85" s="51"/>
      <c r="D85" s="45" t="str">
        <f>IF($A85="","",IFERROR(INDEX('ملخص الكميات حسب الفراغ'!$E$4:$E$153,MATCH($A85,'ملخص الكميات حسب الفراغ'!$B$4:$B$153,0)),""))</f>
        <v/>
      </c>
      <c r="E85" s="45" t="str">
        <f>IF($A85="","",IFERROR(INDEX('ملخص الكميات حسب الفراغ'!$H$4:$H$153,MATCH($A85,'ملخص الكميات حسب الفراغ'!$B$4:$B$153,0)),""))</f>
        <v/>
      </c>
      <c r="F85" s="45" t="str">
        <f>IF($A85="","",IFERROR(INDEX('ملخص الكميات حسب الفراغ'!$I$4:$I$153,MATCH($A85,'ملخص الكميات حسب الفراغ'!$B$4:$B$153,0)),""))</f>
        <v/>
      </c>
      <c r="G85" s="45" t="str">
        <f>IF($A85="","",IFERROR(INDEX('ملخص الكميات حسب الفراغ'!$L$4:$L$153,MATCH($A85,'ملخص الكميات حسب الفراغ'!$B$4:$B$153,0)),""))</f>
        <v/>
      </c>
      <c r="H85" s="45" t="str">
        <f>IF($A85="","",IFERROR(INDEX('ملخص الكميات حسب الفراغ'!$O$4:$O$153,MATCH($A85,'ملخص الكميات حسب الفراغ'!$B$4:$B$153,0)),""))</f>
        <v/>
      </c>
      <c r="I85" s="47" t="str">
        <f>IF($A85="","",IFERROR(INDEX('ملخص الكميات حسب الفراغ'!$R$4:$R$153,MATCH($A85,'ملخص الكميات حسب الفراغ'!$B$4:$B$153,0)),""))</f>
        <v/>
      </c>
      <c r="M85" t="s">
        <v>163</v>
      </c>
      <c r="N85" t="str">
        <f>'ملخص الكميات حسب البند والخامة'!$B$110&amp;""</f>
        <v/>
      </c>
      <c r="O85" t="str">
        <f>'ملخص الكميات حسب البند والخامة'!$C$110&amp;""</f>
        <v/>
      </c>
      <c r="P85">
        <f t="shared" si="8"/>
        <v>0</v>
      </c>
      <c r="Q85">
        <f>0</f>
        <v>0</v>
      </c>
      <c r="R85">
        <f t="shared" si="9"/>
        <v>0</v>
      </c>
      <c r="S85">
        <v>84</v>
      </c>
    </row>
    <row r="86" spans="1:19" ht="18.95" customHeight="1" x14ac:dyDescent="0.25">
      <c r="A86" s="46" t="str">
        <f>IF($B$3="","",IFERROR(INDEX(SpaceCodes,_xlfn.AGGREGATE(15,6,(ROW(SpaceCodes)-4+1)/(SpaceLevels=$B$3),27)),""))</f>
        <v/>
      </c>
      <c r="B86" s="63" t="str">
        <f>IF($A86="","",IFERROR(INDEX('ملخص الكميات حسب الفراغ'!$C$4:$C$153,MATCH($A86,'ملخص الكميات حسب الفراغ'!$B$4:$B$153,0)),""))</f>
        <v/>
      </c>
      <c r="C86" s="51"/>
      <c r="D86" s="45" t="str">
        <f>IF($A86="","",IFERROR(INDEX('ملخص الكميات حسب الفراغ'!$E$4:$E$153,MATCH($A86,'ملخص الكميات حسب الفراغ'!$B$4:$B$153,0)),""))</f>
        <v/>
      </c>
      <c r="E86" s="45" t="str">
        <f>IF($A86="","",IFERROR(INDEX('ملخص الكميات حسب الفراغ'!$H$4:$H$153,MATCH($A86,'ملخص الكميات حسب الفراغ'!$B$4:$B$153,0)),""))</f>
        <v/>
      </c>
      <c r="F86" s="45" t="str">
        <f>IF($A86="","",IFERROR(INDEX('ملخص الكميات حسب الفراغ'!$I$4:$I$153,MATCH($A86,'ملخص الكميات حسب الفراغ'!$B$4:$B$153,0)),""))</f>
        <v/>
      </c>
      <c r="G86" s="45" t="str">
        <f>IF($A86="","",IFERROR(INDEX('ملخص الكميات حسب الفراغ'!$L$4:$L$153,MATCH($A86,'ملخص الكميات حسب الفراغ'!$B$4:$B$153,0)),""))</f>
        <v/>
      </c>
      <c r="H86" s="45" t="str">
        <f>IF($A86="","",IFERROR(INDEX('ملخص الكميات حسب الفراغ'!$O$4:$O$153,MATCH($A86,'ملخص الكميات حسب الفراغ'!$B$4:$B$153,0)),""))</f>
        <v/>
      </c>
      <c r="I86" s="47" t="str">
        <f>IF($A86="","",IFERROR(INDEX('ملخص الكميات حسب الفراغ'!$R$4:$R$153,MATCH($A86,'ملخص الكميات حسب الفراغ'!$B$4:$B$153,0)),""))</f>
        <v/>
      </c>
      <c r="M86" t="s">
        <v>163</v>
      </c>
      <c r="N86" t="str">
        <f>'ملخص الكميات حسب البند والخامة'!$B$111&amp;""</f>
        <v/>
      </c>
      <c r="O86" t="str">
        <f>'ملخص الكميات حسب البند والخامة'!$C$111&amp;""</f>
        <v/>
      </c>
      <c r="P86">
        <f t="shared" si="8"/>
        <v>0</v>
      </c>
      <c r="Q86">
        <f>0</f>
        <v>0</v>
      </c>
      <c r="R86">
        <f t="shared" si="9"/>
        <v>0</v>
      </c>
      <c r="S86">
        <v>85</v>
      </c>
    </row>
    <row r="87" spans="1:19" ht="18.95" customHeight="1" x14ac:dyDescent="0.25">
      <c r="A87" s="46" t="str">
        <f>IF($B$3="","",IFERROR(INDEX(SpaceCodes,_xlfn.AGGREGATE(15,6,(ROW(SpaceCodes)-4+1)/(SpaceLevels=$B$3),28)),""))</f>
        <v/>
      </c>
      <c r="B87" s="63" t="str">
        <f>IF($A87="","",IFERROR(INDEX('ملخص الكميات حسب الفراغ'!$C$4:$C$153,MATCH($A87,'ملخص الكميات حسب الفراغ'!$B$4:$B$153,0)),""))</f>
        <v/>
      </c>
      <c r="C87" s="51"/>
      <c r="D87" s="45" t="str">
        <f>IF($A87="","",IFERROR(INDEX('ملخص الكميات حسب الفراغ'!$E$4:$E$153,MATCH($A87,'ملخص الكميات حسب الفراغ'!$B$4:$B$153,0)),""))</f>
        <v/>
      </c>
      <c r="E87" s="45" t="str">
        <f>IF($A87="","",IFERROR(INDEX('ملخص الكميات حسب الفراغ'!$H$4:$H$153,MATCH($A87,'ملخص الكميات حسب الفراغ'!$B$4:$B$153,0)),""))</f>
        <v/>
      </c>
      <c r="F87" s="45" t="str">
        <f>IF($A87="","",IFERROR(INDEX('ملخص الكميات حسب الفراغ'!$I$4:$I$153,MATCH($A87,'ملخص الكميات حسب الفراغ'!$B$4:$B$153,0)),""))</f>
        <v/>
      </c>
      <c r="G87" s="45" t="str">
        <f>IF($A87="","",IFERROR(INDEX('ملخص الكميات حسب الفراغ'!$L$4:$L$153,MATCH($A87,'ملخص الكميات حسب الفراغ'!$B$4:$B$153,0)),""))</f>
        <v/>
      </c>
      <c r="H87" s="45" t="str">
        <f>IF($A87="","",IFERROR(INDEX('ملخص الكميات حسب الفراغ'!$O$4:$O$153,MATCH($A87,'ملخص الكميات حسب الفراغ'!$B$4:$B$153,0)),""))</f>
        <v/>
      </c>
      <c r="I87" s="47" t="str">
        <f>IF($A87="","",IFERROR(INDEX('ملخص الكميات حسب الفراغ'!$R$4:$R$153,MATCH($A87,'ملخص الكميات حسب الفراغ'!$B$4:$B$153,0)),""))</f>
        <v/>
      </c>
      <c r="M87" t="s">
        <v>163</v>
      </c>
      <c r="N87" t="str">
        <f>'ملخص الكميات حسب البند والخامة'!$B$112&amp;""</f>
        <v/>
      </c>
      <c r="O87" t="str">
        <f>'ملخص الكميات حسب البند والخامة'!$C$112&amp;""</f>
        <v/>
      </c>
      <c r="P87">
        <f t="shared" si="8"/>
        <v>0</v>
      </c>
      <c r="Q87">
        <f>0</f>
        <v>0</v>
      </c>
      <c r="R87">
        <f t="shared" si="9"/>
        <v>0</v>
      </c>
      <c r="S87">
        <v>86</v>
      </c>
    </row>
    <row r="88" spans="1:19" ht="18.95" customHeight="1" x14ac:dyDescent="0.25">
      <c r="A88" s="46" t="str">
        <f>IF($B$3="","",IFERROR(INDEX(SpaceCodes,_xlfn.AGGREGATE(15,6,(ROW(SpaceCodes)-4+1)/(SpaceLevels=$B$3),29)),""))</f>
        <v/>
      </c>
      <c r="B88" s="63" t="str">
        <f>IF($A88="","",IFERROR(INDEX('ملخص الكميات حسب الفراغ'!$C$4:$C$153,MATCH($A88,'ملخص الكميات حسب الفراغ'!$B$4:$B$153,0)),""))</f>
        <v/>
      </c>
      <c r="C88" s="51"/>
      <c r="D88" s="45" t="str">
        <f>IF($A88="","",IFERROR(INDEX('ملخص الكميات حسب الفراغ'!$E$4:$E$153,MATCH($A88,'ملخص الكميات حسب الفراغ'!$B$4:$B$153,0)),""))</f>
        <v/>
      </c>
      <c r="E88" s="45" t="str">
        <f>IF($A88="","",IFERROR(INDEX('ملخص الكميات حسب الفراغ'!$H$4:$H$153,MATCH($A88,'ملخص الكميات حسب الفراغ'!$B$4:$B$153,0)),""))</f>
        <v/>
      </c>
      <c r="F88" s="45" t="str">
        <f>IF($A88="","",IFERROR(INDEX('ملخص الكميات حسب الفراغ'!$I$4:$I$153,MATCH($A88,'ملخص الكميات حسب الفراغ'!$B$4:$B$153,0)),""))</f>
        <v/>
      </c>
      <c r="G88" s="45" t="str">
        <f>IF($A88="","",IFERROR(INDEX('ملخص الكميات حسب الفراغ'!$L$4:$L$153,MATCH($A88,'ملخص الكميات حسب الفراغ'!$B$4:$B$153,0)),""))</f>
        <v/>
      </c>
      <c r="H88" s="45" t="str">
        <f>IF($A88="","",IFERROR(INDEX('ملخص الكميات حسب الفراغ'!$O$4:$O$153,MATCH($A88,'ملخص الكميات حسب الفراغ'!$B$4:$B$153,0)),""))</f>
        <v/>
      </c>
      <c r="I88" s="47" t="str">
        <f>IF($A88="","",IFERROR(INDEX('ملخص الكميات حسب الفراغ'!$R$4:$R$153,MATCH($A88,'ملخص الكميات حسب الفراغ'!$B$4:$B$153,0)),""))</f>
        <v/>
      </c>
      <c r="M88" t="s">
        <v>163</v>
      </c>
      <c r="N88" t="str">
        <f>'ملخص الكميات حسب البند والخامة'!$B$113&amp;""</f>
        <v/>
      </c>
      <c r="O88" t="str">
        <f>'ملخص الكميات حسب البند والخامة'!$C$113&amp;""</f>
        <v/>
      </c>
      <c r="P88">
        <f t="shared" si="8"/>
        <v>0</v>
      </c>
      <c r="Q88">
        <f>0</f>
        <v>0</v>
      </c>
      <c r="R88">
        <f t="shared" si="9"/>
        <v>0</v>
      </c>
      <c r="S88">
        <v>87</v>
      </c>
    </row>
    <row r="89" spans="1:19" ht="18.95" customHeight="1" x14ac:dyDescent="0.25">
      <c r="A89" s="46" t="str">
        <f>IF($B$3="","",IFERROR(INDEX(SpaceCodes,_xlfn.AGGREGATE(15,6,(ROW(SpaceCodes)-4+1)/(SpaceLevels=$B$3),30)),""))</f>
        <v/>
      </c>
      <c r="B89" s="63" t="str">
        <f>IF($A89="","",IFERROR(INDEX('ملخص الكميات حسب الفراغ'!$C$4:$C$153,MATCH($A89,'ملخص الكميات حسب الفراغ'!$B$4:$B$153,0)),""))</f>
        <v/>
      </c>
      <c r="C89" s="51"/>
      <c r="D89" s="45" t="str">
        <f>IF($A89="","",IFERROR(INDEX('ملخص الكميات حسب الفراغ'!$E$4:$E$153,MATCH($A89,'ملخص الكميات حسب الفراغ'!$B$4:$B$153,0)),""))</f>
        <v/>
      </c>
      <c r="E89" s="45" t="str">
        <f>IF($A89="","",IFERROR(INDEX('ملخص الكميات حسب الفراغ'!$H$4:$H$153,MATCH($A89,'ملخص الكميات حسب الفراغ'!$B$4:$B$153,0)),""))</f>
        <v/>
      </c>
      <c r="F89" s="45" t="str">
        <f>IF($A89="","",IFERROR(INDEX('ملخص الكميات حسب الفراغ'!$I$4:$I$153,MATCH($A89,'ملخص الكميات حسب الفراغ'!$B$4:$B$153,0)),""))</f>
        <v/>
      </c>
      <c r="G89" s="45" t="str">
        <f>IF($A89="","",IFERROR(INDEX('ملخص الكميات حسب الفراغ'!$L$4:$L$153,MATCH($A89,'ملخص الكميات حسب الفراغ'!$B$4:$B$153,0)),""))</f>
        <v/>
      </c>
      <c r="H89" s="45" t="str">
        <f>IF($A89="","",IFERROR(INDEX('ملخص الكميات حسب الفراغ'!$O$4:$O$153,MATCH($A89,'ملخص الكميات حسب الفراغ'!$B$4:$B$153,0)),""))</f>
        <v/>
      </c>
      <c r="I89" s="47" t="str">
        <f>IF($A89="","",IFERROR(INDEX('ملخص الكميات حسب الفراغ'!$R$4:$R$153,MATCH($A89,'ملخص الكميات حسب الفراغ'!$B$4:$B$153,0)),""))</f>
        <v/>
      </c>
      <c r="M89" t="s">
        <v>163</v>
      </c>
      <c r="N89" t="str">
        <f>'ملخص الكميات حسب البند والخامة'!$B$114&amp;""</f>
        <v/>
      </c>
      <c r="O89" t="str">
        <f>'ملخص الكميات حسب البند والخامة'!$C$114&amp;""</f>
        <v/>
      </c>
      <c r="P89">
        <f t="shared" si="8"/>
        <v>0</v>
      </c>
      <c r="Q89">
        <f>0</f>
        <v>0</v>
      </c>
      <c r="R89">
        <f t="shared" si="9"/>
        <v>0</v>
      </c>
      <c r="S89">
        <v>88</v>
      </c>
    </row>
    <row r="90" spans="1:19" ht="18.95" customHeight="1" x14ac:dyDescent="0.25">
      <c r="A90" s="46" t="str">
        <f>IF($B$3="","",IFERROR(INDEX(SpaceCodes,_xlfn.AGGREGATE(15,6,(ROW(SpaceCodes)-4+1)/(SpaceLevels=$B$3),31)),""))</f>
        <v/>
      </c>
      <c r="B90" s="63" t="str">
        <f>IF($A90="","",IFERROR(INDEX('ملخص الكميات حسب الفراغ'!$C$4:$C$153,MATCH($A90,'ملخص الكميات حسب الفراغ'!$B$4:$B$153,0)),""))</f>
        <v/>
      </c>
      <c r="C90" s="51"/>
      <c r="D90" s="45" t="str">
        <f>IF($A90="","",IFERROR(INDEX('ملخص الكميات حسب الفراغ'!$E$4:$E$153,MATCH($A90,'ملخص الكميات حسب الفراغ'!$B$4:$B$153,0)),""))</f>
        <v/>
      </c>
      <c r="E90" s="45" t="str">
        <f>IF($A90="","",IFERROR(INDEX('ملخص الكميات حسب الفراغ'!$H$4:$H$153,MATCH($A90,'ملخص الكميات حسب الفراغ'!$B$4:$B$153,0)),""))</f>
        <v/>
      </c>
      <c r="F90" s="45" t="str">
        <f>IF($A90="","",IFERROR(INDEX('ملخص الكميات حسب الفراغ'!$I$4:$I$153,MATCH($A90,'ملخص الكميات حسب الفراغ'!$B$4:$B$153,0)),""))</f>
        <v/>
      </c>
      <c r="G90" s="45" t="str">
        <f>IF($A90="","",IFERROR(INDEX('ملخص الكميات حسب الفراغ'!$L$4:$L$153,MATCH($A90,'ملخص الكميات حسب الفراغ'!$B$4:$B$153,0)),""))</f>
        <v/>
      </c>
      <c r="H90" s="45" t="str">
        <f>IF($A90="","",IFERROR(INDEX('ملخص الكميات حسب الفراغ'!$O$4:$O$153,MATCH($A90,'ملخص الكميات حسب الفراغ'!$B$4:$B$153,0)),""))</f>
        <v/>
      </c>
      <c r="I90" s="47" t="str">
        <f>IF($A90="","",IFERROR(INDEX('ملخص الكميات حسب الفراغ'!$R$4:$R$153,MATCH($A90,'ملخص الكميات حسب الفراغ'!$B$4:$B$153,0)),""))</f>
        <v/>
      </c>
      <c r="M90" t="s">
        <v>163</v>
      </c>
      <c r="N90" t="str">
        <f>'ملخص الكميات حسب البند والخامة'!$B$115&amp;""</f>
        <v/>
      </c>
      <c r="O90" t="str">
        <f>'ملخص الكميات حسب البند والخامة'!$C$115&amp;""</f>
        <v/>
      </c>
      <c r="P90">
        <f t="shared" si="8"/>
        <v>0</v>
      </c>
      <c r="Q90">
        <f>0</f>
        <v>0</v>
      </c>
      <c r="R90">
        <f t="shared" si="9"/>
        <v>0</v>
      </c>
      <c r="S90">
        <v>89</v>
      </c>
    </row>
    <row r="91" spans="1:19" ht="18.95" customHeight="1" x14ac:dyDescent="0.25">
      <c r="A91" s="46" t="str">
        <f>IF($B$3="","",IFERROR(INDEX(SpaceCodes,_xlfn.AGGREGATE(15,6,(ROW(SpaceCodes)-4+1)/(SpaceLevels=$B$3),32)),""))</f>
        <v/>
      </c>
      <c r="B91" s="63" t="str">
        <f>IF($A91="","",IFERROR(INDEX('ملخص الكميات حسب الفراغ'!$C$4:$C$153,MATCH($A91,'ملخص الكميات حسب الفراغ'!$B$4:$B$153,0)),""))</f>
        <v/>
      </c>
      <c r="C91" s="51"/>
      <c r="D91" s="45" t="str">
        <f>IF($A91="","",IFERROR(INDEX('ملخص الكميات حسب الفراغ'!$E$4:$E$153,MATCH($A91,'ملخص الكميات حسب الفراغ'!$B$4:$B$153,0)),""))</f>
        <v/>
      </c>
      <c r="E91" s="45" t="str">
        <f>IF($A91="","",IFERROR(INDEX('ملخص الكميات حسب الفراغ'!$H$4:$H$153,MATCH($A91,'ملخص الكميات حسب الفراغ'!$B$4:$B$153,0)),""))</f>
        <v/>
      </c>
      <c r="F91" s="45" t="str">
        <f>IF($A91="","",IFERROR(INDEX('ملخص الكميات حسب الفراغ'!$I$4:$I$153,MATCH($A91,'ملخص الكميات حسب الفراغ'!$B$4:$B$153,0)),""))</f>
        <v/>
      </c>
      <c r="G91" s="45" t="str">
        <f>IF($A91="","",IFERROR(INDEX('ملخص الكميات حسب الفراغ'!$L$4:$L$153,MATCH($A91,'ملخص الكميات حسب الفراغ'!$B$4:$B$153,0)),""))</f>
        <v/>
      </c>
      <c r="H91" s="45" t="str">
        <f>IF($A91="","",IFERROR(INDEX('ملخص الكميات حسب الفراغ'!$O$4:$O$153,MATCH($A91,'ملخص الكميات حسب الفراغ'!$B$4:$B$153,0)),""))</f>
        <v/>
      </c>
      <c r="I91" s="47" t="str">
        <f>IF($A91="","",IFERROR(INDEX('ملخص الكميات حسب الفراغ'!$R$4:$R$153,MATCH($A91,'ملخص الكميات حسب الفراغ'!$B$4:$B$153,0)),""))</f>
        <v/>
      </c>
      <c r="M91" t="s">
        <v>163</v>
      </c>
      <c r="N91" t="str">
        <f>'ملخص الكميات حسب البند والخامة'!$B$116&amp;""</f>
        <v/>
      </c>
      <c r="O91" t="str">
        <f>'ملخص الكميات حسب البند والخامة'!$C$116&amp;""</f>
        <v/>
      </c>
      <c r="P91">
        <f t="shared" si="8"/>
        <v>0</v>
      </c>
      <c r="Q91">
        <f>0</f>
        <v>0</v>
      </c>
      <c r="R91">
        <f t="shared" si="9"/>
        <v>0</v>
      </c>
      <c r="S91">
        <v>90</v>
      </c>
    </row>
    <row r="92" spans="1:19" ht="18.95" customHeight="1" x14ac:dyDescent="0.25">
      <c r="A92" s="46" t="str">
        <f>IF($B$3="","",IFERROR(INDEX(SpaceCodes,_xlfn.AGGREGATE(15,6,(ROW(SpaceCodes)-4+1)/(SpaceLevels=$B$3),33)),""))</f>
        <v/>
      </c>
      <c r="B92" s="63" t="str">
        <f>IF($A92="","",IFERROR(INDEX('ملخص الكميات حسب الفراغ'!$C$4:$C$153,MATCH($A92,'ملخص الكميات حسب الفراغ'!$B$4:$B$153,0)),""))</f>
        <v/>
      </c>
      <c r="C92" s="51"/>
      <c r="D92" s="45" t="str">
        <f>IF($A92="","",IFERROR(INDEX('ملخص الكميات حسب الفراغ'!$E$4:$E$153,MATCH($A92,'ملخص الكميات حسب الفراغ'!$B$4:$B$153,0)),""))</f>
        <v/>
      </c>
      <c r="E92" s="45" t="str">
        <f>IF($A92="","",IFERROR(INDEX('ملخص الكميات حسب الفراغ'!$H$4:$H$153,MATCH($A92,'ملخص الكميات حسب الفراغ'!$B$4:$B$153,0)),""))</f>
        <v/>
      </c>
      <c r="F92" s="45" t="str">
        <f>IF($A92="","",IFERROR(INDEX('ملخص الكميات حسب الفراغ'!$I$4:$I$153,MATCH($A92,'ملخص الكميات حسب الفراغ'!$B$4:$B$153,0)),""))</f>
        <v/>
      </c>
      <c r="G92" s="45" t="str">
        <f>IF($A92="","",IFERROR(INDEX('ملخص الكميات حسب الفراغ'!$L$4:$L$153,MATCH($A92,'ملخص الكميات حسب الفراغ'!$B$4:$B$153,0)),""))</f>
        <v/>
      </c>
      <c r="H92" s="45" t="str">
        <f>IF($A92="","",IFERROR(INDEX('ملخص الكميات حسب الفراغ'!$O$4:$O$153,MATCH($A92,'ملخص الكميات حسب الفراغ'!$B$4:$B$153,0)),""))</f>
        <v/>
      </c>
      <c r="I92" s="47" t="str">
        <f>IF($A92="","",IFERROR(INDEX('ملخص الكميات حسب الفراغ'!$R$4:$R$153,MATCH($A92,'ملخص الكميات حسب الفراغ'!$B$4:$B$153,0)),""))</f>
        <v/>
      </c>
      <c r="M92" t="s">
        <v>163</v>
      </c>
      <c r="N92" t="str">
        <f>'ملخص الكميات حسب البند والخامة'!$B$117&amp;""</f>
        <v/>
      </c>
      <c r="O92" t="str">
        <f>'ملخص الكميات حسب البند والخامة'!$C$117&amp;""</f>
        <v/>
      </c>
      <c r="P92">
        <f t="shared" si="8"/>
        <v>0</v>
      </c>
      <c r="Q92">
        <f>0</f>
        <v>0</v>
      </c>
      <c r="R92">
        <f t="shared" si="9"/>
        <v>0</v>
      </c>
      <c r="S92">
        <v>91</v>
      </c>
    </row>
    <row r="93" spans="1:19" ht="18.95" customHeight="1" x14ac:dyDescent="0.25">
      <c r="A93" s="46" t="str">
        <f>IF($B$3="","",IFERROR(INDEX(SpaceCodes,_xlfn.AGGREGATE(15,6,(ROW(SpaceCodes)-4+1)/(SpaceLevels=$B$3),34)),""))</f>
        <v/>
      </c>
      <c r="B93" s="63" t="str">
        <f>IF($A93="","",IFERROR(INDEX('ملخص الكميات حسب الفراغ'!$C$4:$C$153,MATCH($A93,'ملخص الكميات حسب الفراغ'!$B$4:$B$153,0)),""))</f>
        <v/>
      </c>
      <c r="C93" s="51"/>
      <c r="D93" s="45" t="str">
        <f>IF($A93="","",IFERROR(INDEX('ملخص الكميات حسب الفراغ'!$E$4:$E$153,MATCH($A93,'ملخص الكميات حسب الفراغ'!$B$4:$B$153,0)),""))</f>
        <v/>
      </c>
      <c r="E93" s="45" t="str">
        <f>IF($A93="","",IFERROR(INDEX('ملخص الكميات حسب الفراغ'!$H$4:$H$153,MATCH($A93,'ملخص الكميات حسب الفراغ'!$B$4:$B$153,0)),""))</f>
        <v/>
      </c>
      <c r="F93" s="45" t="str">
        <f>IF($A93="","",IFERROR(INDEX('ملخص الكميات حسب الفراغ'!$I$4:$I$153,MATCH($A93,'ملخص الكميات حسب الفراغ'!$B$4:$B$153,0)),""))</f>
        <v/>
      </c>
      <c r="G93" s="45" t="str">
        <f>IF($A93="","",IFERROR(INDEX('ملخص الكميات حسب الفراغ'!$L$4:$L$153,MATCH($A93,'ملخص الكميات حسب الفراغ'!$B$4:$B$153,0)),""))</f>
        <v/>
      </c>
      <c r="H93" s="45" t="str">
        <f>IF($A93="","",IFERROR(INDEX('ملخص الكميات حسب الفراغ'!$O$4:$O$153,MATCH($A93,'ملخص الكميات حسب الفراغ'!$B$4:$B$153,0)),""))</f>
        <v/>
      </c>
      <c r="I93" s="47" t="str">
        <f>IF($A93="","",IFERROR(INDEX('ملخص الكميات حسب الفراغ'!$R$4:$R$153,MATCH($A93,'ملخص الكميات حسب الفراغ'!$B$4:$B$153,0)),""))</f>
        <v/>
      </c>
      <c r="M93" t="s">
        <v>163</v>
      </c>
      <c r="N93" t="str">
        <f>'ملخص الكميات حسب البند والخامة'!$B$118&amp;""</f>
        <v/>
      </c>
      <c r="O93" t="str">
        <f>'ملخص الكميات حسب البند والخامة'!$C$118&amp;""</f>
        <v/>
      </c>
      <c r="P93">
        <f t="shared" si="8"/>
        <v>0</v>
      </c>
      <c r="Q93">
        <f>0</f>
        <v>0</v>
      </c>
      <c r="R93">
        <f t="shared" si="9"/>
        <v>0</v>
      </c>
      <c r="S93">
        <v>92</v>
      </c>
    </row>
    <row r="94" spans="1:19" ht="18.95" customHeight="1" x14ac:dyDescent="0.25">
      <c r="A94" s="46" t="str">
        <f>IF($B$3="","",IFERROR(INDEX(SpaceCodes,_xlfn.AGGREGATE(15,6,(ROW(SpaceCodes)-4+1)/(SpaceLevels=$B$3),35)),""))</f>
        <v/>
      </c>
      <c r="B94" s="63" t="str">
        <f>IF($A94="","",IFERROR(INDEX('ملخص الكميات حسب الفراغ'!$C$4:$C$153,MATCH($A94,'ملخص الكميات حسب الفراغ'!$B$4:$B$153,0)),""))</f>
        <v/>
      </c>
      <c r="C94" s="51"/>
      <c r="D94" s="45" t="str">
        <f>IF($A94="","",IFERROR(INDEX('ملخص الكميات حسب الفراغ'!$E$4:$E$153,MATCH($A94,'ملخص الكميات حسب الفراغ'!$B$4:$B$153,0)),""))</f>
        <v/>
      </c>
      <c r="E94" s="45" t="str">
        <f>IF($A94="","",IFERROR(INDEX('ملخص الكميات حسب الفراغ'!$H$4:$H$153,MATCH($A94,'ملخص الكميات حسب الفراغ'!$B$4:$B$153,0)),""))</f>
        <v/>
      </c>
      <c r="F94" s="45" t="str">
        <f>IF($A94="","",IFERROR(INDEX('ملخص الكميات حسب الفراغ'!$I$4:$I$153,MATCH($A94,'ملخص الكميات حسب الفراغ'!$B$4:$B$153,0)),""))</f>
        <v/>
      </c>
      <c r="G94" s="45" t="str">
        <f>IF($A94="","",IFERROR(INDEX('ملخص الكميات حسب الفراغ'!$L$4:$L$153,MATCH($A94,'ملخص الكميات حسب الفراغ'!$B$4:$B$153,0)),""))</f>
        <v/>
      </c>
      <c r="H94" s="45" t="str">
        <f>IF($A94="","",IFERROR(INDEX('ملخص الكميات حسب الفراغ'!$O$4:$O$153,MATCH($A94,'ملخص الكميات حسب الفراغ'!$B$4:$B$153,0)),""))</f>
        <v/>
      </c>
      <c r="I94" s="47" t="str">
        <f>IF($A94="","",IFERROR(INDEX('ملخص الكميات حسب الفراغ'!$R$4:$R$153,MATCH($A94,'ملخص الكميات حسب الفراغ'!$B$4:$B$153,0)),""))</f>
        <v/>
      </c>
      <c r="M94" t="s">
        <v>163</v>
      </c>
      <c r="N94" t="str">
        <f>'ملخص الكميات حسب البند والخامة'!$B$119&amp;""</f>
        <v/>
      </c>
      <c r="O94" t="str">
        <f>'ملخص الكميات حسب البند والخامة'!$C$119&amp;""</f>
        <v/>
      </c>
      <c r="P94">
        <f t="shared" si="8"/>
        <v>0</v>
      </c>
      <c r="Q94">
        <f>0</f>
        <v>0</v>
      </c>
      <c r="R94">
        <f t="shared" si="9"/>
        <v>0</v>
      </c>
      <c r="S94">
        <v>93</v>
      </c>
    </row>
    <row r="95" spans="1:19" ht="18.95" customHeight="1" x14ac:dyDescent="0.25">
      <c r="A95" s="46" t="str">
        <f>IF($B$3="","",IFERROR(INDEX(SpaceCodes,_xlfn.AGGREGATE(15,6,(ROW(SpaceCodes)-4+1)/(SpaceLevels=$B$3),36)),""))</f>
        <v/>
      </c>
      <c r="B95" s="63" t="str">
        <f>IF($A95="","",IFERROR(INDEX('ملخص الكميات حسب الفراغ'!$C$4:$C$153,MATCH($A95,'ملخص الكميات حسب الفراغ'!$B$4:$B$153,0)),""))</f>
        <v/>
      </c>
      <c r="C95" s="51"/>
      <c r="D95" s="45" t="str">
        <f>IF($A95="","",IFERROR(INDEX('ملخص الكميات حسب الفراغ'!$E$4:$E$153,MATCH($A95,'ملخص الكميات حسب الفراغ'!$B$4:$B$153,0)),""))</f>
        <v/>
      </c>
      <c r="E95" s="45" t="str">
        <f>IF($A95="","",IFERROR(INDEX('ملخص الكميات حسب الفراغ'!$H$4:$H$153,MATCH($A95,'ملخص الكميات حسب الفراغ'!$B$4:$B$153,0)),""))</f>
        <v/>
      </c>
      <c r="F95" s="45" t="str">
        <f>IF($A95="","",IFERROR(INDEX('ملخص الكميات حسب الفراغ'!$I$4:$I$153,MATCH($A95,'ملخص الكميات حسب الفراغ'!$B$4:$B$153,0)),""))</f>
        <v/>
      </c>
      <c r="G95" s="45" t="str">
        <f>IF($A95="","",IFERROR(INDEX('ملخص الكميات حسب الفراغ'!$L$4:$L$153,MATCH($A95,'ملخص الكميات حسب الفراغ'!$B$4:$B$153,0)),""))</f>
        <v/>
      </c>
      <c r="H95" s="45" t="str">
        <f>IF($A95="","",IFERROR(INDEX('ملخص الكميات حسب الفراغ'!$O$4:$O$153,MATCH($A95,'ملخص الكميات حسب الفراغ'!$B$4:$B$153,0)),""))</f>
        <v/>
      </c>
      <c r="I95" s="47" t="str">
        <f>IF($A95="","",IFERROR(INDEX('ملخص الكميات حسب الفراغ'!$R$4:$R$153,MATCH($A95,'ملخص الكميات حسب الفراغ'!$B$4:$B$153,0)),""))</f>
        <v/>
      </c>
      <c r="M95" t="s">
        <v>163</v>
      </c>
      <c r="N95" t="str">
        <f>'ملخص الكميات حسب البند والخامة'!$B$120&amp;""</f>
        <v/>
      </c>
      <c r="O95" t="str">
        <f>'ملخص الكميات حسب البند والخامة'!$C$120&amp;""</f>
        <v/>
      </c>
      <c r="P95">
        <f t="shared" si="8"/>
        <v>0</v>
      </c>
      <c r="Q95">
        <f>0</f>
        <v>0</v>
      </c>
      <c r="R95">
        <f t="shared" si="9"/>
        <v>0</v>
      </c>
      <c r="S95">
        <v>94</v>
      </c>
    </row>
    <row r="96" spans="1:19" ht="18.95" customHeight="1" x14ac:dyDescent="0.25">
      <c r="A96" s="46" t="str">
        <f>IF($B$3="","",IFERROR(INDEX(SpaceCodes,_xlfn.AGGREGATE(15,6,(ROW(SpaceCodes)-4+1)/(SpaceLevels=$B$3),37)),""))</f>
        <v/>
      </c>
      <c r="B96" s="63" t="str">
        <f>IF($A96="","",IFERROR(INDEX('ملخص الكميات حسب الفراغ'!$C$4:$C$153,MATCH($A96,'ملخص الكميات حسب الفراغ'!$B$4:$B$153,0)),""))</f>
        <v/>
      </c>
      <c r="C96" s="51"/>
      <c r="D96" s="45" t="str">
        <f>IF($A96="","",IFERROR(INDEX('ملخص الكميات حسب الفراغ'!$E$4:$E$153,MATCH($A96,'ملخص الكميات حسب الفراغ'!$B$4:$B$153,0)),""))</f>
        <v/>
      </c>
      <c r="E96" s="45" t="str">
        <f>IF($A96="","",IFERROR(INDEX('ملخص الكميات حسب الفراغ'!$H$4:$H$153,MATCH($A96,'ملخص الكميات حسب الفراغ'!$B$4:$B$153,0)),""))</f>
        <v/>
      </c>
      <c r="F96" s="45" t="str">
        <f>IF($A96="","",IFERROR(INDEX('ملخص الكميات حسب الفراغ'!$I$4:$I$153,MATCH($A96,'ملخص الكميات حسب الفراغ'!$B$4:$B$153,0)),""))</f>
        <v/>
      </c>
      <c r="G96" s="45" t="str">
        <f>IF($A96="","",IFERROR(INDEX('ملخص الكميات حسب الفراغ'!$L$4:$L$153,MATCH($A96,'ملخص الكميات حسب الفراغ'!$B$4:$B$153,0)),""))</f>
        <v/>
      </c>
      <c r="H96" s="45" t="str">
        <f>IF($A96="","",IFERROR(INDEX('ملخص الكميات حسب الفراغ'!$O$4:$O$153,MATCH($A96,'ملخص الكميات حسب الفراغ'!$B$4:$B$153,0)),""))</f>
        <v/>
      </c>
      <c r="I96" s="47" t="str">
        <f>IF($A96="","",IFERROR(INDEX('ملخص الكميات حسب الفراغ'!$R$4:$R$153,MATCH($A96,'ملخص الكميات حسب الفراغ'!$B$4:$B$153,0)),""))</f>
        <v/>
      </c>
      <c r="M96" t="s">
        <v>163</v>
      </c>
      <c r="N96" t="str">
        <f>'ملخص الكميات حسب البند والخامة'!$B$121&amp;""</f>
        <v/>
      </c>
      <c r="O96" t="str">
        <f>'ملخص الكميات حسب البند والخامة'!$C$121&amp;""</f>
        <v/>
      </c>
      <c r="P96">
        <f t="shared" si="8"/>
        <v>0</v>
      </c>
      <c r="Q96">
        <f>0</f>
        <v>0</v>
      </c>
      <c r="R96">
        <f t="shared" si="9"/>
        <v>0</v>
      </c>
      <c r="S96">
        <v>95</v>
      </c>
    </row>
    <row r="97" spans="1:19" ht="18.95" customHeight="1" x14ac:dyDescent="0.25">
      <c r="A97" s="46" t="str">
        <f>IF($B$3="","",IFERROR(INDEX(SpaceCodes,_xlfn.AGGREGATE(15,6,(ROW(SpaceCodes)-4+1)/(SpaceLevels=$B$3),38)),""))</f>
        <v/>
      </c>
      <c r="B97" s="63" t="str">
        <f>IF($A97="","",IFERROR(INDEX('ملخص الكميات حسب الفراغ'!$C$4:$C$153,MATCH($A97,'ملخص الكميات حسب الفراغ'!$B$4:$B$153,0)),""))</f>
        <v/>
      </c>
      <c r="C97" s="51"/>
      <c r="D97" s="45" t="str">
        <f>IF($A97="","",IFERROR(INDEX('ملخص الكميات حسب الفراغ'!$E$4:$E$153,MATCH($A97,'ملخص الكميات حسب الفراغ'!$B$4:$B$153,0)),""))</f>
        <v/>
      </c>
      <c r="E97" s="45" t="str">
        <f>IF($A97="","",IFERROR(INDEX('ملخص الكميات حسب الفراغ'!$H$4:$H$153,MATCH($A97,'ملخص الكميات حسب الفراغ'!$B$4:$B$153,0)),""))</f>
        <v/>
      </c>
      <c r="F97" s="45" t="str">
        <f>IF($A97="","",IFERROR(INDEX('ملخص الكميات حسب الفراغ'!$I$4:$I$153,MATCH($A97,'ملخص الكميات حسب الفراغ'!$B$4:$B$153,0)),""))</f>
        <v/>
      </c>
      <c r="G97" s="45" t="str">
        <f>IF($A97="","",IFERROR(INDEX('ملخص الكميات حسب الفراغ'!$L$4:$L$153,MATCH($A97,'ملخص الكميات حسب الفراغ'!$B$4:$B$153,0)),""))</f>
        <v/>
      </c>
      <c r="H97" s="45" t="str">
        <f>IF($A97="","",IFERROR(INDEX('ملخص الكميات حسب الفراغ'!$O$4:$O$153,MATCH($A97,'ملخص الكميات حسب الفراغ'!$B$4:$B$153,0)),""))</f>
        <v/>
      </c>
      <c r="I97" s="47" t="str">
        <f>IF($A97="","",IFERROR(INDEX('ملخص الكميات حسب الفراغ'!$R$4:$R$153,MATCH($A97,'ملخص الكميات حسب الفراغ'!$B$4:$B$153,0)),""))</f>
        <v/>
      </c>
      <c r="M97" t="s">
        <v>163</v>
      </c>
      <c r="N97" t="str">
        <f>'ملخص الكميات حسب البند والخامة'!$B$122&amp;""</f>
        <v/>
      </c>
      <c r="O97" t="str">
        <f>'ملخص الكميات حسب البند والخامة'!$C$122&amp;""</f>
        <v/>
      </c>
      <c r="P97">
        <f t="shared" si="8"/>
        <v>0</v>
      </c>
      <c r="Q97">
        <f>0</f>
        <v>0</v>
      </c>
      <c r="R97">
        <f t="shared" si="9"/>
        <v>0</v>
      </c>
      <c r="S97">
        <v>96</v>
      </c>
    </row>
    <row r="98" spans="1:19" ht="18.95" customHeight="1" x14ac:dyDescent="0.25">
      <c r="A98" s="46" t="str">
        <f>IF($B$3="","",IFERROR(INDEX(SpaceCodes,_xlfn.AGGREGATE(15,6,(ROW(SpaceCodes)-4+1)/(SpaceLevels=$B$3),39)),""))</f>
        <v/>
      </c>
      <c r="B98" s="63" t="str">
        <f>IF($A98="","",IFERROR(INDEX('ملخص الكميات حسب الفراغ'!$C$4:$C$153,MATCH($A98,'ملخص الكميات حسب الفراغ'!$B$4:$B$153,0)),""))</f>
        <v/>
      </c>
      <c r="C98" s="51"/>
      <c r="D98" s="45" t="str">
        <f>IF($A98="","",IFERROR(INDEX('ملخص الكميات حسب الفراغ'!$E$4:$E$153,MATCH($A98,'ملخص الكميات حسب الفراغ'!$B$4:$B$153,0)),""))</f>
        <v/>
      </c>
      <c r="E98" s="45" t="str">
        <f>IF($A98="","",IFERROR(INDEX('ملخص الكميات حسب الفراغ'!$H$4:$H$153,MATCH($A98,'ملخص الكميات حسب الفراغ'!$B$4:$B$153,0)),""))</f>
        <v/>
      </c>
      <c r="F98" s="45" t="str">
        <f>IF($A98="","",IFERROR(INDEX('ملخص الكميات حسب الفراغ'!$I$4:$I$153,MATCH($A98,'ملخص الكميات حسب الفراغ'!$B$4:$B$153,0)),""))</f>
        <v/>
      </c>
      <c r="G98" s="45" t="str">
        <f>IF($A98="","",IFERROR(INDEX('ملخص الكميات حسب الفراغ'!$L$4:$L$153,MATCH($A98,'ملخص الكميات حسب الفراغ'!$B$4:$B$153,0)),""))</f>
        <v/>
      </c>
      <c r="H98" s="45" t="str">
        <f>IF($A98="","",IFERROR(INDEX('ملخص الكميات حسب الفراغ'!$O$4:$O$153,MATCH($A98,'ملخص الكميات حسب الفراغ'!$B$4:$B$153,0)),""))</f>
        <v/>
      </c>
      <c r="I98" s="47" t="str">
        <f>IF($A98="","",IFERROR(INDEX('ملخص الكميات حسب الفراغ'!$R$4:$R$153,MATCH($A98,'ملخص الكميات حسب الفراغ'!$B$4:$B$153,0)),""))</f>
        <v/>
      </c>
      <c r="M98" t="s">
        <v>163</v>
      </c>
      <c r="N98" t="str">
        <f>'ملخص الكميات حسب البند والخامة'!$B$123&amp;""</f>
        <v/>
      </c>
      <c r="O98" t="str">
        <f>'ملخص الكميات حسب البند والخامة'!$C$123&amp;""</f>
        <v/>
      </c>
      <c r="P98">
        <f t="shared" si="8"/>
        <v>0</v>
      </c>
      <c r="Q98">
        <f>0</f>
        <v>0</v>
      </c>
      <c r="R98">
        <f t="shared" si="9"/>
        <v>0</v>
      </c>
      <c r="S98">
        <v>97</v>
      </c>
    </row>
    <row r="99" spans="1:19" ht="18.95" customHeight="1" x14ac:dyDescent="0.25">
      <c r="A99" s="46" t="str">
        <f>IF($B$3="","",IFERROR(INDEX(SpaceCodes,_xlfn.AGGREGATE(15,6,(ROW(SpaceCodes)-4+1)/(SpaceLevels=$B$3),40)),""))</f>
        <v/>
      </c>
      <c r="B99" s="63" t="str">
        <f>IF($A99="","",IFERROR(INDEX('ملخص الكميات حسب الفراغ'!$C$4:$C$153,MATCH($A99,'ملخص الكميات حسب الفراغ'!$B$4:$B$153,0)),""))</f>
        <v/>
      </c>
      <c r="C99" s="51"/>
      <c r="D99" s="45" t="str">
        <f>IF($A99="","",IFERROR(INDEX('ملخص الكميات حسب الفراغ'!$E$4:$E$153,MATCH($A99,'ملخص الكميات حسب الفراغ'!$B$4:$B$153,0)),""))</f>
        <v/>
      </c>
      <c r="E99" s="45" t="str">
        <f>IF($A99="","",IFERROR(INDEX('ملخص الكميات حسب الفراغ'!$H$4:$H$153,MATCH($A99,'ملخص الكميات حسب الفراغ'!$B$4:$B$153,0)),""))</f>
        <v/>
      </c>
      <c r="F99" s="45" t="str">
        <f>IF($A99="","",IFERROR(INDEX('ملخص الكميات حسب الفراغ'!$I$4:$I$153,MATCH($A99,'ملخص الكميات حسب الفراغ'!$B$4:$B$153,0)),""))</f>
        <v/>
      </c>
      <c r="G99" s="45" t="str">
        <f>IF($A99="","",IFERROR(INDEX('ملخص الكميات حسب الفراغ'!$L$4:$L$153,MATCH($A99,'ملخص الكميات حسب الفراغ'!$B$4:$B$153,0)),""))</f>
        <v/>
      </c>
      <c r="H99" s="45" t="str">
        <f>IF($A99="","",IFERROR(INDEX('ملخص الكميات حسب الفراغ'!$O$4:$O$153,MATCH($A99,'ملخص الكميات حسب الفراغ'!$B$4:$B$153,0)),""))</f>
        <v/>
      </c>
      <c r="I99" s="47" t="str">
        <f>IF($A99="","",IFERROR(INDEX('ملخص الكميات حسب الفراغ'!$R$4:$R$153,MATCH($A99,'ملخص الكميات حسب الفراغ'!$B$4:$B$153,0)),""))</f>
        <v/>
      </c>
      <c r="M99" t="s">
        <v>163</v>
      </c>
      <c r="N99" t="str">
        <f>'ملخص الكميات حسب البند والخامة'!$B$124&amp;""</f>
        <v/>
      </c>
      <c r="O99" t="str">
        <f>'ملخص الكميات حسب البند والخامة'!$C$124&amp;""</f>
        <v/>
      </c>
      <c r="P99">
        <f t="shared" si="8"/>
        <v>0</v>
      </c>
      <c r="Q99">
        <f>0</f>
        <v>0</v>
      </c>
      <c r="R99">
        <f t="shared" si="9"/>
        <v>0</v>
      </c>
      <c r="S99">
        <v>98</v>
      </c>
    </row>
    <row r="100" spans="1:19" ht="21.95" customHeight="1" x14ac:dyDescent="0.25">
      <c r="A100" s="85" t="s">
        <v>204</v>
      </c>
      <c r="B100" s="86"/>
      <c r="C100" s="86"/>
      <c r="D100" s="48">
        <f>SUMIFS('ملخص الكميات حسب الفراغ'!$E$4:$E$153,'ملخص الكميات حسب الفراغ'!$D$4:$D$153,$B$3)</f>
        <v>0</v>
      </c>
      <c r="E100" s="48">
        <f>SUMIFS('ملخص الكميات حسب الفراغ'!$H$4:$H$153,'ملخص الكميات حسب الفراغ'!$D$4:$D$153,$B$3)</f>
        <v>0</v>
      </c>
      <c r="F100" s="48">
        <f>SUMIFS('ملخص الكميات حسب الفراغ'!$I$4:$I$153,'ملخص الكميات حسب الفراغ'!$D$4:$D$153,$B$3)</f>
        <v>0</v>
      </c>
      <c r="G100" s="48">
        <f>SUMIFS('ملخص الكميات حسب الفراغ'!$L$4:$L$153,'ملخص الكميات حسب الفراغ'!$D$4:$D$153,$B$3)</f>
        <v>0</v>
      </c>
      <c r="H100" s="48">
        <f>SUMIFS('ملخص الكميات حسب الفراغ'!$O$4:$O$153,'ملخص الكميات حسب الفراغ'!$D$4:$D$153,$B$3)</f>
        <v>0</v>
      </c>
      <c r="I100" s="49">
        <f>SUMIFS('ملخص الكميات حسب الفراغ'!$R$4:$R$153,'ملخص الكميات حسب الفراغ'!$D$4:$D$153,$B$3)</f>
        <v>0</v>
      </c>
      <c r="M100" t="s">
        <v>163</v>
      </c>
      <c r="N100" t="str">
        <f>'ملخص الكميات حسب البند والخامة'!$B$125&amp;""</f>
        <v/>
      </c>
      <c r="O100" t="str">
        <f>'ملخص الكميات حسب البند والخامة'!$C$125&amp;""</f>
        <v/>
      </c>
      <c r="P100">
        <f t="shared" si="8"/>
        <v>0</v>
      </c>
      <c r="Q100">
        <f>0</f>
        <v>0</v>
      </c>
      <c r="R100">
        <f t="shared" si="9"/>
        <v>0</v>
      </c>
      <c r="S100">
        <v>99</v>
      </c>
    </row>
    <row r="101" spans="1:19" x14ac:dyDescent="0.25">
      <c r="M101" t="s">
        <v>163</v>
      </c>
      <c r="N101" t="str">
        <f>'ملخص الكميات حسب البند والخامة'!$B$126&amp;""</f>
        <v/>
      </c>
      <c r="O101" t="str">
        <f>'ملخص الكميات حسب البند والخامة'!$C$126&amp;""</f>
        <v/>
      </c>
      <c r="P101">
        <f t="shared" si="8"/>
        <v>0</v>
      </c>
      <c r="Q101">
        <f>0</f>
        <v>0</v>
      </c>
      <c r="R101">
        <f t="shared" si="9"/>
        <v>0</v>
      </c>
      <c r="S101">
        <v>100</v>
      </c>
    </row>
    <row r="102" spans="1:19" x14ac:dyDescent="0.25">
      <c r="A102" s="74" t="s">
        <v>205</v>
      </c>
      <c r="B102" s="51"/>
      <c r="C102" s="51"/>
      <c r="D102" s="51"/>
      <c r="E102" s="51"/>
      <c r="F102" s="51"/>
      <c r="G102" s="51"/>
      <c r="H102" s="51"/>
      <c r="I102" s="51"/>
      <c r="M102" t="s">
        <v>164</v>
      </c>
      <c r="N102" t="str">
        <f>'ملخص الكميات حسب البند والخامة'!$B$127&amp;""</f>
        <v>لياسة أسمنتية — حوائط داخلية</v>
      </c>
      <c r="O102" t="str">
        <f>'ملخص الكميات حسب البند والخامة'!$C$127&amp;""</f>
        <v>م²</v>
      </c>
      <c r="P102">
        <f t="shared" ref="P102:P126" si="10">IF(OR(N102="",$B$3=""),0,SUMPRODUCT(SUMIFS(PL_Gross,PL_Mat,N102,PL_Space,SpaceCodes)*(SpaceLevels=$B$3)))</f>
        <v>0</v>
      </c>
      <c r="Q102">
        <f t="shared" ref="Q102:Q126" si="11">IF(OR(N102="",$B$3=""),0,SUMPRODUCT(SUMIFS(PL_Ded,PL_Mat,N102,PL_Space,SpaceCodes)*(SpaceLevels=$B$3)))</f>
        <v>0</v>
      </c>
      <c r="R102">
        <f t="shared" ref="R102:R126" si="12">IF(OR(N102="",$B$3=""),0,SUMPRODUCT(SUMIFS(PL_Net,PL_Mat,N102,PL_Space,SpaceCodes)*(SpaceLevels=$B$3)))</f>
        <v>0</v>
      </c>
      <c r="S102">
        <v>101</v>
      </c>
    </row>
    <row r="103" spans="1:19" x14ac:dyDescent="0.25">
      <c r="M103" t="s">
        <v>164</v>
      </c>
      <c r="N103" t="str">
        <f>'ملخص الكميات حسب البند والخامة'!$B$128&amp;""</f>
        <v>لياسة أسمنتية — حوائط خارجية</v>
      </c>
      <c r="O103" t="str">
        <f>'ملخص الكميات حسب البند والخامة'!$C$128&amp;""</f>
        <v>م²</v>
      </c>
      <c r="P103">
        <f t="shared" si="10"/>
        <v>0</v>
      </c>
      <c r="Q103">
        <f t="shared" si="11"/>
        <v>0</v>
      </c>
      <c r="R103">
        <f t="shared" si="12"/>
        <v>0</v>
      </c>
      <c r="S103">
        <v>102</v>
      </c>
    </row>
    <row r="104" spans="1:19" x14ac:dyDescent="0.25">
      <c r="A104" s="73" t="s">
        <v>206</v>
      </c>
      <c r="B104" s="51"/>
      <c r="C104" s="51"/>
      <c r="D104" s="73" t="s">
        <v>207</v>
      </c>
      <c r="E104" s="51"/>
      <c r="F104" s="51"/>
      <c r="G104" s="73" t="s">
        <v>208</v>
      </c>
      <c r="H104" s="51"/>
      <c r="I104" s="51"/>
      <c r="M104" t="s">
        <v>164</v>
      </c>
      <c r="N104" t="str">
        <f>'ملخص الكميات حسب البند والخامة'!$B$129&amp;""</f>
        <v>محارة جبسية — حوائط</v>
      </c>
      <c r="O104" t="str">
        <f>'ملخص الكميات حسب البند والخامة'!$C$129&amp;""</f>
        <v>م²</v>
      </c>
      <c r="P104">
        <f t="shared" si="10"/>
        <v>0</v>
      </c>
      <c r="Q104">
        <f t="shared" si="11"/>
        <v>0</v>
      </c>
      <c r="R104">
        <f t="shared" si="12"/>
        <v>0</v>
      </c>
      <c r="S104">
        <v>103</v>
      </c>
    </row>
    <row r="105" spans="1:19" ht="33.950000000000003" customHeight="1" x14ac:dyDescent="0.25">
      <c r="A105" s="68"/>
      <c r="B105" s="69"/>
      <c r="C105" s="69"/>
      <c r="D105" s="68"/>
      <c r="E105" s="69"/>
      <c r="F105" s="69"/>
      <c r="G105" s="68"/>
      <c r="H105" s="69"/>
      <c r="I105" s="69"/>
      <c r="M105" t="s">
        <v>164</v>
      </c>
      <c r="N105" t="str">
        <f>'ملخص الكميات حسب البند والخامة'!$B$130&amp;""</f>
        <v/>
      </c>
      <c r="O105" t="str">
        <f>'ملخص الكميات حسب البند والخامة'!$C$130&amp;""</f>
        <v/>
      </c>
      <c r="P105">
        <f t="shared" si="10"/>
        <v>0</v>
      </c>
      <c r="Q105">
        <f t="shared" si="11"/>
        <v>0</v>
      </c>
      <c r="R105">
        <f t="shared" si="12"/>
        <v>0</v>
      </c>
      <c r="S105">
        <v>104</v>
      </c>
    </row>
    <row r="106" spans="1:19" x14ac:dyDescent="0.25">
      <c r="M106" t="s">
        <v>164</v>
      </c>
      <c r="N106" t="str">
        <f>'ملخص الكميات حسب البند والخامة'!$B$131&amp;""</f>
        <v/>
      </c>
      <c r="O106" t="str">
        <f>'ملخص الكميات حسب البند والخامة'!$C$131&amp;""</f>
        <v/>
      </c>
      <c r="P106">
        <f t="shared" si="10"/>
        <v>0</v>
      </c>
      <c r="Q106">
        <f t="shared" si="11"/>
        <v>0</v>
      </c>
      <c r="R106">
        <f t="shared" si="12"/>
        <v>0</v>
      </c>
      <c r="S106">
        <v>105</v>
      </c>
    </row>
    <row r="107" spans="1:19" x14ac:dyDescent="0.25">
      <c r="M107" t="s">
        <v>164</v>
      </c>
      <c r="N107" t="str">
        <f>'ملخص الكميات حسب البند والخامة'!$B$132&amp;""</f>
        <v/>
      </c>
      <c r="O107" t="str">
        <f>'ملخص الكميات حسب البند والخامة'!$C$132&amp;""</f>
        <v/>
      </c>
      <c r="P107">
        <f t="shared" si="10"/>
        <v>0</v>
      </c>
      <c r="Q107">
        <f t="shared" si="11"/>
        <v>0</v>
      </c>
      <c r="R107">
        <f t="shared" si="12"/>
        <v>0</v>
      </c>
      <c r="S107">
        <v>106</v>
      </c>
    </row>
    <row r="108" spans="1:19" x14ac:dyDescent="0.25">
      <c r="M108" t="s">
        <v>164</v>
      </c>
      <c r="N108" t="str">
        <f>'ملخص الكميات حسب البند والخامة'!$B$133&amp;""</f>
        <v/>
      </c>
      <c r="O108" t="str">
        <f>'ملخص الكميات حسب البند والخامة'!$C$133&amp;""</f>
        <v/>
      </c>
      <c r="P108">
        <f t="shared" si="10"/>
        <v>0</v>
      </c>
      <c r="Q108">
        <f t="shared" si="11"/>
        <v>0</v>
      </c>
      <c r="R108">
        <f t="shared" si="12"/>
        <v>0</v>
      </c>
      <c r="S108">
        <v>107</v>
      </c>
    </row>
    <row r="109" spans="1:19" x14ac:dyDescent="0.25">
      <c r="M109" t="s">
        <v>164</v>
      </c>
      <c r="N109" t="str">
        <f>'ملخص الكميات حسب البند والخامة'!$B$134&amp;""</f>
        <v/>
      </c>
      <c r="O109" t="str">
        <f>'ملخص الكميات حسب البند والخامة'!$C$134&amp;""</f>
        <v/>
      </c>
      <c r="P109">
        <f t="shared" si="10"/>
        <v>0</v>
      </c>
      <c r="Q109">
        <f t="shared" si="11"/>
        <v>0</v>
      </c>
      <c r="R109">
        <f t="shared" si="12"/>
        <v>0</v>
      </c>
      <c r="S109">
        <v>108</v>
      </c>
    </row>
    <row r="110" spans="1:19" x14ac:dyDescent="0.25">
      <c r="M110" t="s">
        <v>164</v>
      </c>
      <c r="N110" t="str">
        <f>'ملخص الكميات حسب البند والخامة'!$B$135&amp;""</f>
        <v/>
      </c>
      <c r="O110" t="str">
        <f>'ملخص الكميات حسب البند والخامة'!$C$135&amp;""</f>
        <v/>
      </c>
      <c r="P110">
        <f t="shared" si="10"/>
        <v>0</v>
      </c>
      <c r="Q110">
        <f t="shared" si="11"/>
        <v>0</v>
      </c>
      <c r="R110">
        <f t="shared" si="12"/>
        <v>0</v>
      </c>
      <c r="S110">
        <v>109</v>
      </c>
    </row>
    <row r="111" spans="1:19" x14ac:dyDescent="0.25">
      <c r="M111" t="s">
        <v>164</v>
      </c>
      <c r="N111" t="str">
        <f>'ملخص الكميات حسب البند والخامة'!$B$136&amp;""</f>
        <v/>
      </c>
      <c r="O111" t="str">
        <f>'ملخص الكميات حسب البند والخامة'!$C$136&amp;""</f>
        <v/>
      </c>
      <c r="P111">
        <f t="shared" si="10"/>
        <v>0</v>
      </c>
      <c r="Q111">
        <f t="shared" si="11"/>
        <v>0</v>
      </c>
      <c r="R111">
        <f t="shared" si="12"/>
        <v>0</v>
      </c>
      <c r="S111">
        <v>110</v>
      </c>
    </row>
    <row r="112" spans="1:19" x14ac:dyDescent="0.25">
      <c r="M112" t="s">
        <v>164</v>
      </c>
      <c r="N112" t="str">
        <f>'ملخص الكميات حسب البند والخامة'!$B$137&amp;""</f>
        <v/>
      </c>
      <c r="O112" t="str">
        <f>'ملخص الكميات حسب البند والخامة'!$C$137&amp;""</f>
        <v/>
      </c>
      <c r="P112">
        <f t="shared" si="10"/>
        <v>0</v>
      </c>
      <c r="Q112">
        <f t="shared" si="11"/>
        <v>0</v>
      </c>
      <c r="R112">
        <f t="shared" si="12"/>
        <v>0</v>
      </c>
      <c r="S112">
        <v>111</v>
      </c>
    </row>
    <row r="113" spans="13:19" x14ac:dyDescent="0.25">
      <c r="M113" t="s">
        <v>164</v>
      </c>
      <c r="N113" t="str">
        <f>'ملخص الكميات حسب البند والخامة'!$B$138&amp;""</f>
        <v/>
      </c>
      <c r="O113" t="str">
        <f>'ملخص الكميات حسب البند والخامة'!$C$138&amp;""</f>
        <v/>
      </c>
      <c r="P113">
        <f t="shared" si="10"/>
        <v>0</v>
      </c>
      <c r="Q113">
        <f t="shared" si="11"/>
        <v>0</v>
      </c>
      <c r="R113">
        <f t="shared" si="12"/>
        <v>0</v>
      </c>
      <c r="S113">
        <v>112</v>
      </c>
    </row>
    <row r="114" spans="13:19" x14ac:dyDescent="0.25">
      <c r="M114" t="s">
        <v>164</v>
      </c>
      <c r="N114" t="str">
        <f>'ملخص الكميات حسب البند والخامة'!$B$139&amp;""</f>
        <v/>
      </c>
      <c r="O114" t="str">
        <f>'ملخص الكميات حسب البند والخامة'!$C$139&amp;""</f>
        <v/>
      </c>
      <c r="P114">
        <f t="shared" si="10"/>
        <v>0</v>
      </c>
      <c r="Q114">
        <f t="shared" si="11"/>
        <v>0</v>
      </c>
      <c r="R114">
        <f t="shared" si="12"/>
        <v>0</v>
      </c>
      <c r="S114">
        <v>113</v>
      </c>
    </row>
    <row r="115" spans="13:19" x14ac:dyDescent="0.25">
      <c r="M115" t="s">
        <v>164</v>
      </c>
      <c r="N115" t="str">
        <f>'ملخص الكميات حسب البند والخامة'!$B$140&amp;""</f>
        <v/>
      </c>
      <c r="O115" t="str">
        <f>'ملخص الكميات حسب البند والخامة'!$C$140&amp;""</f>
        <v/>
      </c>
      <c r="P115">
        <f t="shared" si="10"/>
        <v>0</v>
      </c>
      <c r="Q115">
        <f t="shared" si="11"/>
        <v>0</v>
      </c>
      <c r="R115">
        <f t="shared" si="12"/>
        <v>0</v>
      </c>
      <c r="S115">
        <v>114</v>
      </c>
    </row>
    <row r="116" spans="13:19" x14ac:dyDescent="0.25">
      <c r="M116" t="s">
        <v>164</v>
      </c>
      <c r="N116" t="str">
        <f>'ملخص الكميات حسب البند والخامة'!$B$141&amp;""</f>
        <v/>
      </c>
      <c r="O116" t="str">
        <f>'ملخص الكميات حسب البند والخامة'!$C$141&amp;""</f>
        <v/>
      </c>
      <c r="P116">
        <f t="shared" si="10"/>
        <v>0</v>
      </c>
      <c r="Q116">
        <f t="shared" si="11"/>
        <v>0</v>
      </c>
      <c r="R116">
        <f t="shared" si="12"/>
        <v>0</v>
      </c>
      <c r="S116">
        <v>115</v>
      </c>
    </row>
    <row r="117" spans="13:19" x14ac:dyDescent="0.25">
      <c r="M117" t="s">
        <v>164</v>
      </c>
      <c r="N117" t="str">
        <f>'ملخص الكميات حسب البند والخامة'!$B$142&amp;""</f>
        <v/>
      </c>
      <c r="O117" t="str">
        <f>'ملخص الكميات حسب البند والخامة'!$C$142&amp;""</f>
        <v/>
      </c>
      <c r="P117">
        <f t="shared" si="10"/>
        <v>0</v>
      </c>
      <c r="Q117">
        <f t="shared" si="11"/>
        <v>0</v>
      </c>
      <c r="R117">
        <f t="shared" si="12"/>
        <v>0</v>
      </c>
      <c r="S117">
        <v>116</v>
      </c>
    </row>
    <row r="118" spans="13:19" x14ac:dyDescent="0.25">
      <c r="M118" t="s">
        <v>164</v>
      </c>
      <c r="N118" t="str">
        <f>'ملخص الكميات حسب البند والخامة'!$B$143&amp;""</f>
        <v/>
      </c>
      <c r="O118" t="str">
        <f>'ملخص الكميات حسب البند والخامة'!$C$143&amp;""</f>
        <v/>
      </c>
      <c r="P118">
        <f t="shared" si="10"/>
        <v>0</v>
      </c>
      <c r="Q118">
        <f t="shared" si="11"/>
        <v>0</v>
      </c>
      <c r="R118">
        <f t="shared" si="12"/>
        <v>0</v>
      </c>
      <c r="S118">
        <v>117</v>
      </c>
    </row>
    <row r="119" spans="13:19" x14ac:dyDescent="0.25">
      <c r="M119" t="s">
        <v>164</v>
      </c>
      <c r="N119" t="str">
        <f>'ملخص الكميات حسب البند والخامة'!$B$144&amp;""</f>
        <v/>
      </c>
      <c r="O119" t="str">
        <f>'ملخص الكميات حسب البند والخامة'!$C$144&amp;""</f>
        <v/>
      </c>
      <c r="P119">
        <f t="shared" si="10"/>
        <v>0</v>
      </c>
      <c r="Q119">
        <f t="shared" si="11"/>
        <v>0</v>
      </c>
      <c r="R119">
        <f t="shared" si="12"/>
        <v>0</v>
      </c>
      <c r="S119">
        <v>118</v>
      </c>
    </row>
    <row r="120" spans="13:19" x14ac:dyDescent="0.25">
      <c r="M120" t="s">
        <v>164</v>
      </c>
      <c r="N120" t="str">
        <f>'ملخص الكميات حسب البند والخامة'!$B$145&amp;""</f>
        <v/>
      </c>
      <c r="O120" t="str">
        <f>'ملخص الكميات حسب البند والخامة'!$C$145&amp;""</f>
        <v/>
      </c>
      <c r="P120">
        <f t="shared" si="10"/>
        <v>0</v>
      </c>
      <c r="Q120">
        <f t="shared" si="11"/>
        <v>0</v>
      </c>
      <c r="R120">
        <f t="shared" si="12"/>
        <v>0</v>
      </c>
      <c r="S120">
        <v>119</v>
      </c>
    </row>
    <row r="121" spans="13:19" x14ac:dyDescent="0.25">
      <c r="M121" t="s">
        <v>164</v>
      </c>
      <c r="N121" t="str">
        <f>'ملخص الكميات حسب البند والخامة'!$B$146&amp;""</f>
        <v/>
      </c>
      <c r="O121" t="str">
        <f>'ملخص الكميات حسب البند والخامة'!$C$146&amp;""</f>
        <v/>
      </c>
      <c r="P121">
        <f t="shared" si="10"/>
        <v>0</v>
      </c>
      <c r="Q121">
        <f t="shared" si="11"/>
        <v>0</v>
      </c>
      <c r="R121">
        <f t="shared" si="12"/>
        <v>0</v>
      </c>
      <c r="S121">
        <v>120</v>
      </c>
    </row>
    <row r="122" spans="13:19" x14ac:dyDescent="0.25">
      <c r="M122" t="s">
        <v>164</v>
      </c>
      <c r="N122" t="str">
        <f>'ملخص الكميات حسب البند والخامة'!$B$147&amp;""</f>
        <v/>
      </c>
      <c r="O122" t="str">
        <f>'ملخص الكميات حسب البند والخامة'!$C$147&amp;""</f>
        <v/>
      </c>
      <c r="P122">
        <f t="shared" si="10"/>
        <v>0</v>
      </c>
      <c r="Q122">
        <f t="shared" si="11"/>
        <v>0</v>
      </c>
      <c r="R122">
        <f t="shared" si="12"/>
        <v>0</v>
      </c>
      <c r="S122">
        <v>121</v>
      </c>
    </row>
    <row r="123" spans="13:19" x14ac:dyDescent="0.25">
      <c r="M123" t="s">
        <v>164</v>
      </c>
      <c r="N123" t="str">
        <f>'ملخص الكميات حسب البند والخامة'!$B$148&amp;""</f>
        <v/>
      </c>
      <c r="O123" t="str">
        <f>'ملخص الكميات حسب البند والخامة'!$C$148&amp;""</f>
        <v/>
      </c>
      <c r="P123">
        <f t="shared" si="10"/>
        <v>0</v>
      </c>
      <c r="Q123">
        <f t="shared" si="11"/>
        <v>0</v>
      </c>
      <c r="R123">
        <f t="shared" si="12"/>
        <v>0</v>
      </c>
      <c r="S123">
        <v>122</v>
      </c>
    </row>
    <row r="124" spans="13:19" x14ac:dyDescent="0.25">
      <c r="M124" t="s">
        <v>164</v>
      </c>
      <c r="N124" t="str">
        <f>'ملخص الكميات حسب البند والخامة'!$B$149&amp;""</f>
        <v/>
      </c>
      <c r="O124" t="str">
        <f>'ملخص الكميات حسب البند والخامة'!$C$149&amp;""</f>
        <v/>
      </c>
      <c r="P124">
        <f t="shared" si="10"/>
        <v>0</v>
      </c>
      <c r="Q124">
        <f t="shared" si="11"/>
        <v>0</v>
      </c>
      <c r="R124">
        <f t="shared" si="12"/>
        <v>0</v>
      </c>
      <c r="S124">
        <v>123</v>
      </c>
    </row>
    <row r="125" spans="13:19" x14ac:dyDescent="0.25">
      <c r="M125" t="s">
        <v>164</v>
      </c>
      <c r="N125" t="str">
        <f>'ملخص الكميات حسب البند والخامة'!$B$150&amp;""</f>
        <v/>
      </c>
      <c r="O125" t="str">
        <f>'ملخص الكميات حسب البند والخامة'!$C$150&amp;""</f>
        <v/>
      </c>
      <c r="P125">
        <f t="shared" si="10"/>
        <v>0</v>
      </c>
      <c r="Q125">
        <f t="shared" si="11"/>
        <v>0</v>
      </c>
      <c r="R125">
        <f t="shared" si="12"/>
        <v>0</v>
      </c>
      <c r="S125">
        <v>124</v>
      </c>
    </row>
    <row r="126" spans="13:19" x14ac:dyDescent="0.25">
      <c r="M126" t="s">
        <v>164</v>
      </c>
      <c r="N126" t="str">
        <f>'ملخص الكميات حسب البند والخامة'!$B$151&amp;""</f>
        <v/>
      </c>
      <c r="O126" t="str">
        <f>'ملخص الكميات حسب البند والخامة'!$C$151&amp;""</f>
        <v/>
      </c>
      <c r="P126">
        <f t="shared" si="10"/>
        <v>0</v>
      </c>
      <c r="Q126">
        <f t="shared" si="11"/>
        <v>0</v>
      </c>
      <c r="R126">
        <f t="shared" si="12"/>
        <v>0</v>
      </c>
      <c r="S126">
        <v>125</v>
      </c>
    </row>
  </sheetData>
  <sheetProtection sheet="1" formatCells="0" formatColumns="0" formatRows="0" sort="0" autoFilter="0"/>
  <mergeCells count="167">
    <mergeCell ref="H6:I6"/>
    <mergeCell ref="H46:I46"/>
    <mergeCell ref="B40:D40"/>
    <mergeCell ref="H51:I51"/>
    <mergeCell ref="A100:C100"/>
    <mergeCell ref="B55:D55"/>
    <mergeCell ref="B24:D24"/>
    <mergeCell ref="B73:C73"/>
    <mergeCell ref="B33:D33"/>
    <mergeCell ref="B87:C87"/>
    <mergeCell ref="H32:I32"/>
    <mergeCell ref="B32:D32"/>
    <mergeCell ref="B26:D26"/>
    <mergeCell ref="A58:I58"/>
    <mergeCell ref="H47:I47"/>
    <mergeCell ref="B65:C65"/>
    <mergeCell ref="B16:D16"/>
    <mergeCell ref="H27:I27"/>
    <mergeCell ref="A15:I15"/>
    <mergeCell ref="B74:C74"/>
    <mergeCell ref="B68:C68"/>
    <mergeCell ref="H24:I24"/>
    <mergeCell ref="H18:I18"/>
    <mergeCell ref="H33:I33"/>
    <mergeCell ref="B99:C99"/>
    <mergeCell ref="A14:B14"/>
    <mergeCell ref="H22:I22"/>
    <mergeCell ref="B25:D25"/>
    <mergeCell ref="B83:C83"/>
    <mergeCell ref="D12:E12"/>
    <mergeCell ref="B92:C92"/>
    <mergeCell ref="B5:C5"/>
    <mergeCell ref="B22:D22"/>
    <mergeCell ref="H42:I42"/>
    <mergeCell ref="B76:C76"/>
    <mergeCell ref="B85:C85"/>
    <mergeCell ref="D14:E14"/>
    <mergeCell ref="F14:G14"/>
    <mergeCell ref="B94:C94"/>
    <mergeCell ref="H30:I30"/>
    <mergeCell ref="B75:C75"/>
    <mergeCell ref="F11:G11"/>
    <mergeCell ref="B62:C62"/>
    <mergeCell ref="H20:I20"/>
    <mergeCell ref="H29:I29"/>
    <mergeCell ref="B59:C59"/>
    <mergeCell ref="B29:D29"/>
    <mergeCell ref="H44:I44"/>
    <mergeCell ref="A1:I1"/>
    <mergeCell ref="H5:I5"/>
    <mergeCell ref="B21:D21"/>
    <mergeCell ref="H14:I14"/>
    <mergeCell ref="B79:C79"/>
    <mergeCell ref="B39:D39"/>
    <mergeCell ref="B48:D48"/>
    <mergeCell ref="B97:C97"/>
    <mergeCell ref="D104:F104"/>
    <mergeCell ref="H38:I38"/>
    <mergeCell ref="B72:C72"/>
    <mergeCell ref="B23:D23"/>
    <mergeCell ref="B81:C81"/>
    <mergeCell ref="H43:I43"/>
    <mergeCell ref="H31:I31"/>
    <mergeCell ref="B96:C96"/>
    <mergeCell ref="B71:C71"/>
    <mergeCell ref="H40:I40"/>
    <mergeCell ref="H21:I21"/>
    <mergeCell ref="B98:C98"/>
    <mergeCell ref="B49:D49"/>
    <mergeCell ref="B60:C60"/>
    <mergeCell ref="B88:C88"/>
    <mergeCell ref="B82:C82"/>
    <mergeCell ref="A102:I102"/>
    <mergeCell ref="H19:I19"/>
    <mergeCell ref="B84:C84"/>
    <mergeCell ref="H28:I28"/>
    <mergeCell ref="D9:E9"/>
    <mergeCell ref="G105:I105"/>
    <mergeCell ref="B47:D47"/>
    <mergeCell ref="F9:G9"/>
    <mergeCell ref="B6:C6"/>
    <mergeCell ref="H12:I12"/>
    <mergeCell ref="B31:D31"/>
    <mergeCell ref="B46:D46"/>
    <mergeCell ref="H48:I48"/>
    <mergeCell ref="B80:C80"/>
    <mergeCell ref="B95:C95"/>
    <mergeCell ref="A10:B10"/>
    <mergeCell ref="B89:C89"/>
    <mergeCell ref="B51:D51"/>
    <mergeCell ref="A12:B12"/>
    <mergeCell ref="E6:F6"/>
    <mergeCell ref="H16:I16"/>
    <mergeCell ref="B41:D41"/>
    <mergeCell ref="B35:D35"/>
    <mergeCell ref="B50:D50"/>
    <mergeCell ref="A9:B9"/>
    <mergeCell ref="D105:F105"/>
    <mergeCell ref="D10:E10"/>
    <mergeCell ref="F10:G10"/>
    <mergeCell ref="B90:C90"/>
    <mergeCell ref="A11:B11"/>
    <mergeCell ref="H54:I54"/>
    <mergeCell ref="B17:D17"/>
    <mergeCell ref="E5:F5"/>
    <mergeCell ref="H41:I41"/>
    <mergeCell ref="B66:C66"/>
    <mergeCell ref="H50:I50"/>
    <mergeCell ref="A104:C104"/>
    <mergeCell ref="H56:I56"/>
    <mergeCell ref="H25:I25"/>
    <mergeCell ref="H34:I34"/>
    <mergeCell ref="B19:D19"/>
    <mergeCell ref="D11:E11"/>
    <mergeCell ref="H49:I49"/>
    <mergeCell ref="A8:I8"/>
    <mergeCell ref="H36:I36"/>
    <mergeCell ref="H17:I17"/>
    <mergeCell ref="H11:I11"/>
    <mergeCell ref="B36:D36"/>
    <mergeCell ref="A105:C105"/>
    <mergeCell ref="H9:I9"/>
    <mergeCell ref="B34:D34"/>
    <mergeCell ref="B77:C77"/>
    <mergeCell ref="B28:D28"/>
    <mergeCell ref="H39:I39"/>
    <mergeCell ref="B86:C86"/>
    <mergeCell ref="A2:I2"/>
    <mergeCell ref="B37:D37"/>
    <mergeCell ref="G104:I104"/>
    <mergeCell ref="C3:I3"/>
    <mergeCell ref="D13:E13"/>
    <mergeCell ref="B67:C67"/>
    <mergeCell ref="B61:C61"/>
    <mergeCell ref="B30:D30"/>
    <mergeCell ref="H52:I52"/>
    <mergeCell ref="B20:D20"/>
    <mergeCell ref="B69:C69"/>
    <mergeCell ref="B78:C78"/>
    <mergeCell ref="H45:I45"/>
    <mergeCell ref="H37:I37"/>
    <mergeCell ref="F13:G13"/>
    <mergeCell ref="H13:I13"/>
    <mergeCell ref="B54:D54"/>
    <mergeCell ref="B91:C91"/>
    <mergeCell ref="B42:D42"/>
    <mergeCell ref="H53:I53"/>
    <mergeCell ref="H35:I35"/>
    <mergeCell ref="H10:I10"/>
    <mergeCell ref="B93:C93"/>
    <mergeCell ref="B44:D44"/>
    <mergeCell ref="B53:D53"/>
    <mergeCell ref="H55:I55"/>
    <mergeCell ref="B64:C64"/>
    <mergeCell ref="B56:D56"/>
    <mergeCell ref="H23:I23"/>
    <mergeCell ref="B63:C63"/>
    <mergeCell ref="B43:D43"/>
    <mergeCell ref="B45:D45"/>
    <mergeCell ref="B38:D38"/>
    <mergeCell ref="B70:C70"/>
    <mergeCell ref="F12:G12"/>
    <mergeCell ref="B18:D18"/>
    <mergeCell ref="A13:B13"/>
    <mergeCell ref="B27:D27"/>
    <mergeCell ref="B52:D52"/>
    <mergeCell ref="H26:I26"/>
  </mergeCells>
  <conditionalFormatting sqref="H6:I6">
    <cfRule type="expression" dxfId="8" priority="1">
      <formula>LEFT($H$6,5)="مبدئي"</formula>
    </cfRule>
    <cfRule type="expression" dxfId="7" priority="2">
      <formula>$H$6="نهائي"</formula>
    </cfRule>
  </conditionalFormatting>
  <conditionalFormatting sqref="A17:I56">
    <cfRule type="expression" dxfId="6" priority="3">
      <formula>AND($A17&lt;&gt;"",MOD(ROW(),2)=0)</formula>
    </cfRule>
    <cfRule type="expression" dxfId="5" priority="4">
      <formula>$A17&lt;&gt;""</formula>
    </cfRule>
  </conditionalFormatting>
  <conditionalFormatting sqref="A60:I99">
    <cfRule type="expression" dxfId="4" priority="5">
      <formula>AND($A60&lt;&gt;"",MOD(ROW(),2)=0)</formula>
    </cfRule>
    <cfRule type="expression" dxfId="3" priority="6">
      <formula>$A60&lt;&gt;""</formula>
    </cfRule>
  </conditionalFormatting>
  <conditionalFormatting sqref="I60:I99">
    <cfRule type="expression" dxfId="2" priority="7">
      <formula>N(I60)&gt;0</formula>
    </cfRule>
  </conditionalFormatting>
  <dataValidations count="1">
    <dataValidation type="list" allowBlank="1" sqref="B3">
      <formula1>Levels</formula1>
    </dataValidation>
  </dataValidations>
  <printOptions horizontalCentered="1"/>
  <pageMargins left="0.45" right="0.45" top="0.5" bottom="0.7" header="0.5" footer="0.5"/>
  <pageSetup paperSize="9" fitToHeight="0" orientation="portrait"/>
  <headerFooter>
    <oddFooter>&amp;C&amp;9 صفحة &amp;P من &amp;N</oddFooter>
  </headerFooter>
  <rowBreaks count="1" manualBreakCount="1">
    <brk id="57"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pageSetUpPr fitToPage="1"/>
  </sheetPr>
  <dimension ref="A1:Q28"/>
  <sheetViews>
    <sheetView rightToLeft="1" workbookViewId="0">
      <pane ySplit="3" topLeftCell="A4" activePane="bottomLeft" state="frozen"/>
      <selection pane="bottomLeft"/>
    </sheetView>
  </sheetViews>
  <sheetFormatPr defaultRowHeight="15" x14ac:dyDescent="0.25"/>
  <cols>
    <col min="1" max="1" width="26" style="34" customWidth="1"/>
    <col min="2" max="2" width="9" style="34" customWidth="1"/>
    <col min="3" max="3" width="28" style="34" customWidth="1"/>
    <col min="4" max="4" width="9" style="34" customWidth="1"/>
    <col min="5" max="5" width="30" style="34" customWidth="1"/>
    <col min="6" max="6" width="9" style="34" customWidth="1"/>
    <col min="7" max="7" width="26" style="34" customWidth="1"/>
    <col min="8" max="8" width="9" style="34" customWidth="1"/>
    <col min="9" max="9" width="30" style="34" customWidth="1"/>
    <col min="10" max="10" width="9" style="34" customWidth="1"/>
    <col min="11" max="11" width="22" style="34" customWidth="1"/>
    <col min="12" max="12" width="12" style="34" customWidth="1"/>
    <col min="13" max="13" width="10" style="34" customWidth="1"/>
    <col min="14" max="14" width="16" style="34" customWidth="1"/>
    <col min="15" max="15" width="26" style="34" customWidth="1"/>
    <col min="16" max="16" width="22" style="34" customWidth="1"/>
    <col min="17" max="17" width="20" style="34" customWidth="1"/>
  </cols>
  <sheetData>
    <row r="1" spans="1:17" ht="30" customHeight="1" x14ac:dyDescent="0.25">
      <c r="A1" s="52" t="s">
        <v>209</v>
      </c>
      <c r="B1" s="51"/>
      <c r="C1" s="51"/>
      <c r="D1" s="51"/>
      <c r="E1" s="51"/>
      <c r="F1" s="51"/>
      <c r="G1" s="51"/>
      <c r="H1" s="51"/>
      <c r="I1" s="51"/>
      <c r="J1" s="51"/>
      <c r="K1" s="51"/>
      <c r="L1" s="51"/>
      <c r="M1" s="51"/>
      <c r="N1" s="51"/>
      <c r="O1" s="51"/>
      <c r="P1" s="51"/>
      <c r="Q1" s="51"/>
    </row>
    <row r="2" spans="1:17" ht="21.95" customHeight="1" x14ac:dyDescent="0.25">
      <c r="A2" s="61" t="s">
        <v>210</v>
      </c>
      <c r="B2" s="51"/>
      <c r="C2" s="51"/>
      <c r="D2" s="51"/>
      <c r="E2" s="51"/>
      <c r="F2" s="51"/>
      <c r="G2" s="51"/>
      <c r="H2" s="51"/>
      <c r="I2" s="51"/>
      <c r="J2" s="51"/>
      <c r="K2" s="51"/>
      <c r="L2" s="51"/>
      <c r="M2" s="51"/>
      <c r="N2" s="51"/>
      <c r="O2" s="51"/>
      <c r="P2" s="51"/>
      <c r="Q2" s="51"/>
    </row>
    <row r="3" spans="1:17" ht="30" customHeight="1" x14ac:dyDescent="0.25">
      <c r="A3" s="32" t="s">
        <v>211</v>
      </c>
      <c r="B3" s="32" t="s">
        <v>70</v>
      </c>
      <c r="C3" s="32" t="s">
        <v>212</v>
      </c>
      <c r="D3" s="32" t="s">
        <v>70</v>
      </c>
      <c r="E3" s="32" t="s">
        <v>162</v>
      </c>
      <c r="F3" s="32" t="s">
        <v>70</v>
      </c>
      <c r="G3" s="32" t="s">
        <v>213</v>
      </c>
      <c r="H3" s="32" t="s">
        <v>70</v>
      </c>
      <c r="I3" s="32" t="s">
        <v>214</v>
      </c>
      <c r="J3" s="32" t="s">
        <v>70</v>
      </c>
      <c r="K3" s="32" t="s">
        <v>215</v>
      </c>
      <c r="L3" s="32" t="s">
        <v>216</v>
      </c>
      <c r="M3" s="32" t="s">
        <v>217</v>
      </c>
      <c r="N3" s="32" t="s">
        <v>218</v>
      </c>
      <c r="O3" s="32" t="s">
        <v>122</v>
      </c>
      <c r="P3" s="32" t="s">
        <v>219</v>
      </c>
      <c r="Q3" s="32" t="s">
        <v>48</v>
      </c>
    </row>
    <row r="4" spans="1:17" x14ac:dyDescent="0.25">
      <c r="A4" s="31" t="s">
        <v>220</v>
      </c>
      <c r="B4" s="9" t="s">
        <v>196</v>
      </c>
      <c r="C4" s="31" t="s">
        <v>221</v>
      </c>
      <c r="D4" s="9" t="s">
        <v>196</v>
      </c>
      <c r="E4" s="31" t="s">
        <v>222</v>
      </c>
      <c r="F4" s="9" t="s">
        <v>197</v>
      </c>
      <c r="G4" s="31" t="s">
        <v>223</v>
      </c>
      <c r="H4" s="9" t="s">
        <v>196</v>
      </c>
      <c r="I4" s="31" t="s">
        <v>224</v>
      </c>
      <c r="J4" s="9" t="s">
        <v>196</v>
      </c>
      <c r="K4" s="31" t="s">
        <v>225</v>
      </c>
      <c r="L4" s="33" t="s">
        <v>196</v>
      </c>
      <c r="M4" s="33" t="s">
        <v>226</v>
      </c>
      <c r="N4" s="31" t="s">
        <v>227</v>
      </c>
      <c r="O4" s="31" t="s">
        <v>228</v>
      </c>
      <c r="P4" s="31" t="s">
        <v>229</v>
      </c>
      <c r="Q4" s="31" t="s">
        <v>230</v>
      </c>
    </row>
    <row r="5" spans="1:17" x14ac:dyDescent="0.25">
      <c r="A5" s="31" t="s">
        <v>231</v>
      </c>
      <c r="B5" s="9" t="s">
        <v>196</v>
      </c>
      <c r="C5" s="31" t="s">
        <v>232</v>
      </c>
      <c r="D5" s="9" t="s">
        <v>196</v>
      </c>
      <c r="E5" s="31" t="s">
        <v>233</v>
      </c>
      <c r="F5" s="9" t="s">
        <v>197</v>
      </c>
      <c r="G5" s="31" t="s">
        <v>234</v>
      </c>
      <c r="H5" s="9" t="s">
        <v>196</v>
      </c>
      <c r="I5" s="31" t="s">
        <v>235</v>
      </c>
      <c r="J5" s="9" t="s">
        <v>196</v>
      </c>
      <c r="K5" s="31" t="s">
        <v>236</v>
      </c>
      <c r="L5" s="33" t="s">
        <v>197</v>
      </c>
      <c r="M5" s="33" t="s">
        <v>237</v>
      </c>
      <c r="N5" s="31" t="s">
        <v>238</v>
      </c>
      <c r="O5" s="31" t="s">
        <v>239</v>
      </c>
      <c r="P5" s="31" t="s">
        <v>240</v>
      </c>
      <c r="Q5" s="31" t="s">
        <v>241</v>
      </c>
    </row>
    <row r="6" spans="1:17" x14ac:dyDescent="0.25">
      <c r="A6" s="31" t="s">
        <v>242</v>
      </c>
      <c r="B6" s="9" t="s">
        <v>196</v>
      </c>
      <c r="C6" s="31" t="s">
        <v>243</v>
      </c>
      <c r="D6" s="9" t="s">
        <v>196</v>
      </c>
      <c r="E6" s="31" t="s">
        <v>244</v>
      </c>
      <c r="F6" s="9" t="s">
        <v>197</v>
      </c>
      <c r="G6" s="31" t="s">
        <v>245</v>
      </c>
      <c r="H6" s="9" t="s">
        <v>196</v>
      </c>
      <c r="I6" s="31" t="s">
        <v>246</v>
      </c>
      <c r="J6" s="9" t="s">
        <v>196</v>
      </c>
      <c r="K6" s="31" t="s">
        <v>247</v>
      </c>
      <c r="L6" s="33" t="s">
        <v>248</v>
      </c>
      <c r="M6" s="31"/>
      <c r="N6" s="31" t="s">
        <v>249</v>
      </c>
      <c r="O6" s="31" t="s">
        <v>250</v>
      </c>
      <c r="P6" s="31" t="s">
        <v>251</v>
      </c>
      <c r="Q6" s="31" t="s">
        <v>252</v>
      </c>
    </row>
    <row r="7" spans="1:17" x14ac:dyDescent="0.25">
      <c r="A7" s="31" t="s">
        <v>253</v>
      </c>
      <c r="B7" s="9" t="s">
        <v>196</v>
      </c>
      <c r="C7" s="31" t="s">
        <v>254</v>
      </c>
      <c r="D7" s="9" t="s">
        <v>196</v>
      </c>
      <c r="E7" s="31" t="s">
        <v>255</v>
      </c>
      <c r="F7" s="9" t="s">
        <v>197</v>
      </c>
      <c r="G7" s="31" t="s">
        <v>256</v>
      </c>
      <c r="H7" s="9" t="s">
        <v>196</v>
      </c>
      <c r="I7" s="31"/>
      <c r="J7" s="9"/>
      <c r="K7" s="31" t="s">
        <v>257</v>
      </c>
      <c r="L7" s="31"/>
      <c r="M7" s="31"/>
      <c r="N7" s="31" t="s">
        <v>258</v>
      </c>
      <c r="O7" s="31" t="s">
        <v>259</v>
      </c>
      <c r="P7" s="31" t="s">
        <v>260</v>
      </c>
      <c r="Q7" s="31"/>
    </row>
    <row r="8" spans="1:17" x14ac:dyDescent="0.25">
      <c r="A8" s="31" t="s">
        <v>261</v>
      </c>
      <c r="B8" s="9" t="s">
        <v>196</v>
      </c>
      <c r="C8" s="31" t="s">
        <v>262</v>
      </c>
      <c r="D8" s="9" t="s">
        <v>196</v>
      </c>
      <c r="E8" s="31" t="s">
        <v>263</v>
      </c>
      <c r="F8" s="9" t="s">
        <v>197</v>
      </c>
      <c r="G8" s="31" t="s">
        <v>264</v>
      </c>
      <c r="H8" s="9" t="s">
        <v>196</v>
      </c>
      <c r="I8" s="31"/>
      <c r="J8" s="9"/>
      <c r="K8" s="31" t="s">
        <v>265</v>
      </c>
      <c r="L8" s="31"/>
      <c r="M8" s="31"/>
      <c r="N8" s="31" t="s">
        <v>266</v>
      </c>
      <c r="O8" s="31"/>
      <c r="P8" s="31" t="s">
        <v>267</v>
      </c>
      <c r="Q8" s="31"/>
    </row>
    <row r="9" spans="1:17" x14ac:dyDescent="0.25">
      <c r="A9" s="31" t="s">
        <v>268</v>
      </c>
      <c r="B9" s="9" t="s">
        <v>196</v>
      </c>
      <c r="C9" s="31" t="s">
        <v>269</v>
      </c>
      <c r="D9" s="9" t="s">
        <v>196</v>
      </c>
      <c r="E9" s="31" t="s">
        <v>270</v>
      </c>
      <c r="F9" s="9" t="s">
        <v>197</v>
      </c>
      <c r="G9" s="31" t="s">
        <v>271</v>
      </c>
      <c r="H9" s="9" t="s">
        <v>196</v>
      </c>
      <c r="I9" s="31"/>
      <c r="J9" s="9"/>
      <c r="K9" s="31" t="s">
        <v>272</v>
      </c>
      <c r="L9" s="31"/>
      <c r="M9" s="31"/>
      <c r="N9" s="31" t="s">
        <v>273</v>
      </c>
      <c r="O9" s="31"/>
      <c r="P9" s="31" t="s">
        <v>274</v>
      </c>
      <c r="Q9" s="31"/>
    </row>
    <row r="10" spans="1:17" x14ac:dyDescent="0.25">
      <c r="A10" s="31" t="s">
        <v>275</v>
      </c>
      <c r="B10" s="9" t="s">
        <v>196</v>
      </c>
      <c r="C10" s="31" t="s">
        <v>276</v>
      </c>
      <c r="D10" s="9" t="s">
        <v>196</v>
      </c>
      <c r="E10" s="31" t="s">
        <v>277</v>
      </c>
      <c r="F10" s="9" t="s">
        <v>197</v>
      </c>
      <c r="G10" s="31"/>
      <c r="H10" s="9"/>
      <c r="I10" s="31"/>
      <c r="J10" s="9"/>
      <c r="K10" s="31"/>
      <c r="L10" s="31"/>
      <c r="M10" s="31"/>
      <c r="N10" s="31" t="s">
        <v>278</v>
      </c>
      <c r="O10" s="31"/>
      <c r="P10" s="31" t="s">
        <v>279</v>
      </c>
      <c r="Q10" s="31"/>
    </row>
    <row r="11" spans="1:17" x14ac:dyDescent="0.25">
      <c r="A11" s="31" t="s">
        <v>280</v>
      </c>
      <c r="B11" s="9" t="s">
        <v>196</v>
      </c>
      <c r="C11" s="31" t="s">
        <v>281</v>
      </c>
      <c r="D11" s="9" t="s">
        <v>196</v>
      </c>
      <c r="E11" s="31" t="s">
        <v>282</v>
      </c>
      <c r="F11" s="9" t="s">
        <v>197</v>
      </c>
      <c r="G11" s="31"/>
      <c r="H11" s="9"/>
      <c r="I11" s="31"/>
      <c r="J11" s="9"/>
      <c r="K11" s="31"/>
      <c r="L11" s="31"/>
      <c r="M11" s="31"/>
      <c r="N11" s="31"/>
      <c r="O11" s="31"/>
      <c r="P11" s="31" t="s">
        <v>283</v>
      </c>
      <c r="Q11" s="31"/>
    </row>
    <row r="12" spans="1:17" x14ac:dyDescent="0.25">
      <c r="A12" s="31" t="s">
        <v>284</v>
      </c>
      <c r="B12" s="9" t="s">
        <v>196</v>
      </c>
      <c r="C12" s="31" t="s">
        <v>285</v>
      </c>
      <c r="D12" s="9" t="s">
        <v>196</v>
      </c>
      <c r="E12" s="31" t="s">
        <v>286</v>
      </c>
      <c r="F12" s="9" t="s">
        <v>197</v>
      </c>
      <c r="G12" s="31"/>
      <c r="H12" s="9"/>
      <c r="I12" s="31"/>
      <c r="J12" s="9"/>
      <c r="K12" s="31"/>
      <c r="L12" s="31"/>
      <c r="M12" s="31"/>
      <c r="N12" s="31"/>
      <c r="O12" s="31"/>
      <c r="P12" s="31" t="s">
        <v>287</v>
      </c>
      <c r="Q12" s="31"/>
    </row>
    <row r="13" spans="1:17" x14ac:dyDescent="0.25">
      <c r="A13" s="31" t="s">
        <v>288</v>
      </c>
      <c r="B13" s="9" t="s">
        <v>196</v>
      </c>
      <c r="C13" s="31" t="s">
        <v>289</v>
      </c>
      <c r="D13" s="9" t="s">
        <v>196</v>
      </c>
      <c r="E13" s="31" t="s">
        <v>290</v>
      </c>
      <c r="F13" s="9" t="s">
        <v>197</v>
      </c>
      <c r="G13" s="31"/>
      <c r="H13" s="9"/>
      <c r="I13" s="31"/>
      <c r="J13" s="9"/>
      <c r="K13" s="31"/>
      <c r="L13" s="31"/>
      <c r="M13" s="31"/>
      <c r="N13" s="31"/>
      <c r="O13" s="31"/>
      <c r="P13" s="31" t="s">
        <v>291</v>
      </c>
      <c r="Q13" s="31"/>
    </row>
    <row r="14" spans="1:17" x14ac:dyDescent="0.25">
      <c r="A14" s="31"/>
      <c r="B14" s="9"/>
      <c r="C14" s="31" t="s">
        <v>292</v>
      </c>
      <c r="D14" s="9" t="s">
        <v>196</v>
      </c>
      <c r="E14" s="31" t="s">
        <v>293</v>
      </c>
      <c r="F14" s="9" t="s">
        <v>197</v>
      </c>
      <c r="G14" s="31"/>
      <c r="H14" s="9"/>
      <c r="I14" s="31"/>
      <c r="J14" s="9"/>
      <c r="K14" s="31"/>
      <c r="L14" s="31"/>
      <c r="M14" s="31"/>
      <c r="N14" s="31"/>
      <c r="O14" s="31"/>
      <c r="P14" s="31" t="s">
        <v>294</v>
      </c>
      <c r="Q14" s="31"/>
    </row>
    <row r="15" spans="1:17" x14ac:dyDescent="0.25">
      <c r="A15" s="31"/>
      <c r="B15" s="9"/>
      <c r="C15" s="31" t="s">
        <v>295</v>
      </c>
      <c r="D15" s="9" t="s">
        <v>196</v>
      </c>
      <c r="E15" s="31" t="s">
        <v>296</v>
      </c>
      <c r="F15" s="9" t="s">
        <v>197</v>
      </c>
      <c r="G15" s="31"/>
      <c r="H15" s="9"/>
      <c r="I15" s="31"/>
      <c r="J15" s="9"/>
      <c r="K15" s="31"/>
      <c r="L15" s="31"/>
      <c r="M15" s="31"/>
      <c r="N15" s="31"/>
      <c r="O15" s="31"/>
      <c r="P15" s="31" t="s">
        <v>297</v>
      </c>
      <c r="Q15" s="31"/>
    </row>
    <row r="16" spans="1:17" x14ac:dyDescent="0.25">
      <c r="A16" s="31"/>
      <c r="B16" s="9"/>
      <c r="C16" s="31"/>
      <c r="D16" s="9"/>
      <c r="E16" s="31" t="s">
        <v>298</v>
      </c>
      <c r="F16" s="9" t="s">
        <v>197</v>
      </c>
      <c r="G16" s="31"/>
      <c r="H16" s="9"/>
      <c r="I16" s="31"/>
      <c r="J16" s="9"/>
      <c r="K16" s="31"/>
      <c r="L16" s="31"/>
      <c r="M16" s="31"/>
      <c r="N16" s="31"/>
      <c r="O16" s="31"/>
      <c r="P16" s="31" t="s">
        <v>299</v>
      </c>
      <c r="Q16" s="31"/>
    </row>
    <row r="17" spans="1:17" x14ac:dyDescent="0.25">
      <c r="A17" s="31"/>
      <c r="B17" s="9"/>
      <c r="C17" s="31"/>
      <c r="D17" s="9"/>
      <c r="E17" s="31" t="s">
        <v>300</v>
      </c>
      <c r="F17" s="9" t="s">
        <v>197</v>
      </c>
      <c r="G17" s="31"/>
      <c r="H17" s="9"/>
      <c r="I17" s="31"/>
      <c r="J17" s="9"/>
      <c r="K17" s="31"/>
      <c r="L17" s="31"/>
      <c r="M17" s="31"/>
      <c r="N17" s="31"/>
      <c r="O17" s="31"/>
      <c r="P17" s="31" t="s">
        <v>301</v>
      </c>
      <c r="Q17" s="31"/>
    </row>
    <row r="18" spans="1:17" x14ac:dyDescent="0.25">
      <c r="A18" s="31"/>
      <c r="B18" s="9"/>
      <c r="C18" s="31"/>
      <c r="D18" s="9"/>
      <c r="E18" s="31" t="s">
        <v>302</v>
      </c>
      <c r="F18" s="9" t="s">
        <v>197</v>
      </c>
      <c r="G18" s="31"/>
      <c r="H18" s="9"/>
      <c r="I18" s="31"/>
      <c r="J18" s="9"/>
      <c r="K18" s="31"/>
      <c r="L18" s="31"/>
      <c r="M18" s="31"/>
      <c r="N18" s="31"/>
      <c r="O18" s="31"/>
      <c r="P18" s="31" t="s">
        <v>303</v>
      </c>
      <c r="Q18" s="31"/>
    </row>
    <row r="19" spans="1:17" x14ac:dyDescent="0.25">
      <c r="A19" s="31"/>
      <c r="B19" s="9"/>
      <c r="C19" s="31"/>
      <c r="D19" s="9"/>
      <c r="E19" s="31"/>
      <c r="F19" s="9"/>
      <c r="G19" s="31"/>
      <c r="H19" s="9"/>
      <c r="I19" s="31"/>
      <c r="J19" s="9"/>
      <c r="K19" s="31"/>
      <c r="L19" s="31"/>
      <c r="M19" s="31"/>
      <c r="N19" s="31"/>
      <c r="O19" s="31"/>
      <c r="P19" s="31" t="s">
        <v>304</v>
      </c>
      <c r="Q19" s="31"/>
    </row>
    <row r="20" spans="1:17" x14ac:dyDescent="0.25">
      <c r="A20" s="31"/>
      <c r="B20" s="9"/>
      <c r="C20" s="31"/>
      <c r="D20" s="9"/>
      <c r="E20" s="31"/>
      <c r="F20" s="9"/>
      <c r="G20" s="31"/>
      <c r="H20" s="9"/>
      <c r="I20" s="31"/>
      <c r="J20" s="9"/>
      <c r="K20" s="31"/>
      <c r="L20" s="31"/>
      <c r="M20" s="31"/>
      <c r="N20" s="31"/>
      <c r="O20" s="31"/>
      <c r="P20" s="31"/>
      <c r="Q20" s="31"/>
    </row>
    <row r="21" spans="1:17" x14ac:dyDescent="0.25">
      <c r="A21" s="31"/>
      <c r="B21" s="9"/>
      <c r="C21" s="31"/>
      <c r="D21" s="9"/>
      <c r="E21" s="31"/>
      <c r="F21" s="9"/>
      <c r="G21" s="31"/>
      <c r="H21" s="9"/>
      <c r="I21" s="31"/>
      <c r="J21" s="9"/>
      <c r="K21" s="31"/>
      <c r="L21" s="31"/>
      <c r="M21" s="31"/>
      <c r="N21" s="31"/>
      <c r="O21" s="31"/>
      <c r="P21" s="31"/>
      <c r="Q21" s="31"/>
    </row>
    <row r="22" spans="1:17" x14ac:dyDescent="0.25">
      <c r="A22" s="31"/>
      <c r="B22" s="9"/>
      <c r="C22" s="31"/>
      <c r="D22" s="9"/>
      <c r="E22" s="31"/>
      <c r="F22" s="9"/>
      <c r="G22" s="31"/>
      <c r="H22" s="9"/>
      <c r="I22" s="31"/>
      <c r="J22" s="9"/>
      <c r="K22" s="31"/>
      <c r="L22" s="31"/>
      <c r="M22" s="31"/>
      <c r="N22" s="31"/>
      <c r="O22" s="31"/>
      <c r="P22" s="31"/>
      <c r="Q22" s="31"/>
    </row>
    <row r="23" spans="1:17" x14ac:dyDescent="0.25">
      <c r="A23" s="31"/>
      <c r="B23" s="9"/>
      <c r="C23" s="31"/>
      <c r="D23" s="9"/>
      <c r="E23" s="31"/>
      <c r="F23" s="9"/>
      <c r="G23" s="31"/>
      <c r="H23" s="9"/>
      <c r="I23" s="31"/>
      <c r="J23" s="9"/>
      <c r="K23" s="31"/>
      <c r="L23" s="31"/>
      <c r="M23" s="31"/>
      <c r="N23" s="31"/>
      <c r="O23" s="31"/>
      <c r="P23" s="31"/>
      <c r="Q23" s="31"/>
    </row>
    <row r="24" spans="1:17" x14ac:dyDescent="0.25">
      <c r="A24" s="31"/>
      <c r="B24" s="9"/>
      <c r="C24" s="31"/>
      <c r="D24" s="9"/>
      <c r="E24" s="31"/>
      <c r="F24" s="9"/>
      <c r="G24" s="31"/>
      <c r="H24" s="9"/>
      <c r="I24" s="31"/>
      <c r="J24" s="9"/>
      <c r="K24" s="31"/>
      <c r="L24" s="31"/>
      <c r="M24" s="31"/>
      <c r="N24" s="31"/>
      <c r="O24" s="31"/>
      <c r="P24" s="31"/>
      <c r="Q24" s="31"/>
    </row>
    <row r="25" spans="1:17" x14ac:dyDescent="0.25">
      <c r="A25" s="31"/>
      <c r="B25" s="9"/>
      <c r="C25" s="31"/>
      <c r="D25" s="9"/>
      <c r="E25" s="31"/>
      <c r="F25" s="9"/>
      <c r="G25" s="31"/>
      <c r="H25" s="9"/>
      <c r="I25" s="31"/>
      <c r="J25" s="9"/>
      <c r="K25" s="31"/>
      <c r="L25" s="31"/>
      <c r="M25" s="31"/>
      <c r="N25" s="31"/>
      <c r="O25" s="31"/>
      <c r="P25" s="31"/>
      <c r="Q25" s="31"/>
    </row>
    <row r="26" spans="1:17" x14ac:dyDescent="0.25">
      <c r="A26" s="31"/>
      <c r="B26" s="9"/>
      <c r="C26" s="31"/>
      <c r="D26" s="9"/>
      <c r="E26" s="31"/>
      <c r="F26" s="9"/>
      <c r="G26" s="31"/>
      <c r="H26" s="9"/>
      <c r="I26" s="31"/>
      <c r="J26" s="9"/>
      <c r="K26" s="31"/>
      <c r="L26" s="31"/>
      <c r="M26" s="31"/>
      <c r="N26" s="31"/>
      <c r="O26" s="31"/>
      <c r="P26" s="31"/>
      <c r="Q26" s="31"/>
    </row>
    <row r="27" spans="1:17" x14ac:dyDescent="0.25">
      <c r="A27" s="31"/>
      <c r="B27" s="9"/>
      <c r="C27" s="31"/>
      <c r="D27" s="9"/>
      <c r="E27" s="31"/>
      <c r="F27" s="9"/>
      <c r="G27" s="31"/>
      <c r="H27" s="9"/>
      <c r="I27" s="31"/>
      <c r="J27" s="9"/>
      <c r="K27" s="31"/>
      <c r="L27" s="31"/>
      <c r="M27" s="31"/>
      <c r="N27" s="31"/>
      <c r="O27" s="31"/>
      <c r="P27" s="31"/>
      <c r="Q27" s="31"/>
    </row>
    <row r="28" spans="1:17" x14ac:dyDescent="0.25">
      <c r="A28" s="31"/>
      <c r="B28" s="9"/>
      <c r="C28" s="31"/>
      <c r="D28" s="9"/>
      <c r="E28" s="31"/>
      <c r="F28" s="9"/>
      <c r="G28" s="31"/>
      <c r="H28" s="9"/>
      <c r="I28" s="31"/>
      <c r="J28" s="9"/>
      <c r="K28" s="31"/>
      <c r="L28" s="31"/>
      <c r="M28" s="31"/>
      <c r="N28" s="31"/>
      <c r="O28" s="31"/>
      <c r="P28" s="31"/>
      <c r="Q28" s="31"/>
    </row>
  </sheetData>
  <sheetProtection sheet="1" formatCells="0" formatColumns="0" formatRows="0" sort="0" autoFilter="0"/>
  <mergeCells count="2">
    <mergeCell ref="A2:Q2"/>
    <mergeCell ref="A1:Q1"/>
  </mergeCells>
  <dataValidations count="5">
    <dataValidation type="list" allowBlank="1" showErrorMessage="1" errorTitle="قيمة غير موجودة بالقائمة" error="اختر وحدة من قائمة وحدات القياس (يمكن إضافة وحدة جديدة في عمود وحدات القياس)." sqref="B4:B28">
      <formula1>Units</formula1>
    </dataValidation>
    <dataValidation type="list" allowBlank="1" showErrorMessage="1" errorTitle="قيمة غير موجودة بالقائمة" error="اختر وحدة من قائمة وحدات القياس (يمكن إضافة وحدة جديدة في عمود وحدات القياس)." sqref="D4:D28">
      <formula1>Units</formula1>
    </dataValidation>
    <dataValidation type="list" allowBlank="1" showErrorMessage="1" errorTitle="قيمة غير موجودة بالقائمة" error="اختر وحدة من قائمة وحدات القياس (يمكن إضافة وحدة جديدة في عمود وحدات القياس)." sqref="F4:F28">
      <formula1>Units</formula1>
    </dataValidation>
    <dataValidation type="list" allowBlank="1" showErrorMessage="1" errorTitle="قيمة غير موجودة بالقائمة" error="اختر وحدة من قائمة وحدات القياس (يمكن إضافة وحدة جديدة في عمود وحدات القياس)." sqref="H4:H28">
      <formula1>Units</formula1>
    </dataValidation>
    <dataValidation type="list" allowBlank="1" showErrorMessage="1" errorTitle="قيمة غير موجودة بالقائمة" error="اختر وحدة من قائمة وحدات القياس (يمكن إضافة وحدة جديدة في عمود وحدات القياس)." sqref="J4:J28">
      <formula1>Units</formula1>
    </dataValidation>
  </dataValidations>
  <pageMargins left="0.4" right="0.4" top="0.5" bottom="0.5" header="0.5" footer="0.5"/>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55A11"/>
    <pageSetUpPr fitToPage="1"/>
  </sheetPr>
  <dimension ref="A1:J32"/>
  <sheetViews>
    <sheetView rightToLeft="1" workbookViewId="0">
      <pane ySplit="2" topLeftCell="A3" activePane="bottomLeft" state="frozen"/>
      <selection pane="bottomLeft"/>
    </sheetView>
  </sheetViews>
  <sheetFormatPr defaultRowHeight="15" x14ac:dyDescent="0.25"/>
  <cols>
    <col min="1" max="1" width="16" style="34" customWidth="1"/>
    <col min="2" max="2" width="18" style="34" customWidth="1"/>
    <col min="3" max="3" width="20" style="34" customWidth="1"/>
    <col min="4" max="4" width="14" style="34" customWidth="1"/>
    <col min="5" max="7" width="12" style="34" customWidth="1"/>
    <col min="8" max="10" width="16" style="34" customWidth="1"/>
  </cols>
  <sheetData>
    <row r="1" spans="1:10" ht="30" customHeight="1" x14ac:dyDescent="0.25">
      <c r="A1" s="87" t="s">
        <v>305</v>
      </c>
      <c r="B1" s="51"/>
      <c r="C1" s="51"/>
      <c r="D1" s="51"/>
      <c r="E1" s="51"/>
      <c r="F1" s="51"/>
      <c r="G1" s="51"/>
      <c r="H1" s="51"/>
      <c r="I1" s="51"/>
      <c r="J1" s="51"/>
    </row>
    <row r="2" spans="1:10" x14ac:dyDescent="0.25">
      <c r="A2" s="61" t="s">
        <v>306</v>
      </c>
      <c r="B2" s="51"/>
      <c r="C2" s="51"/>
      <c r="D2" s="51"/>
      <c r="E2" s="51"/>
      <c r="F2" s="51"/>
      <c r="G2" s="51"/>
      <c r="H2" s="51"/>
      <c r="I2" s="51"/>
      <c r="J2" s="51"/>
    </row>
    <row r="4" spans="1:10" x14ac:dyDescent="0.25">
      <c r="A4" s="89" t="s">
        <v>307</v>
      </c>
      <c r="B4" s="51"/>
      <c r="C4" s="51"/>
      <c r="D4" s="51"/>
      <c r="E4" s="51"/>
      <c r="F4" s="51"/>
      <c r="G4" s="51"/>
      <c r="H4" s="51"/>
      <c r="I4" s="51"/>
      <c r="J4" s="51"/>
    </row>
    <row r="5" spans="1:10" ht="32.1" customHeight="1" x14ac:dyDescent="0.25">
      <c r="A5" s="21" t="s">
        <v>60</v>
      </c>
      <c r="B5" s="21" t="s">
        <v>308</v>
      </c>
      <c r="C5" s="21" t="s">
        <v>62</v>
      </c>
      <c r="D5" s="21" t="s">
        <v>309</v>
      </c>
      <c r="E5" s="21" t="s">
        <v>310</v>
      </c>
      <c r="F5" s="21" t="s">
        <v>311</v>
      </c>
      <c r="G5" s="21" t="s">
        <v>312</v>
      </c>
      <c r="H5" s="21" t="s">
        <v>68</v>
      </c>
    </row>
    <row r="6" spans="1:10" x14ac:dyDescent="0.25">
      <c r="A6" s="9" t="s">
        <v>313</v>
      </c>
      <c r="B6" s="9" t="s">
        <v>231</v>
      </c>
      <c r="C6" s="9" t="s">
        <v>314</v>
      </c>
      <c r="D6" s="11">
        <v>5</v>
      </c>
      <c r="E6" s="11">
        <v>4</v>
      </c>
      <c r="F6" s="11">
        <v>1</v>
      </c>
      <c r="G6" s="9"/>
      <c r="H6" s="12">
        <f>IF(G6&lt;&gt;"",G6*IF(F6="",1,F6),IF(AND(D6&lt;&gt;"",E6&lt;&gt;""),D6*E6*IF(F6="",1,F6),""))</f>
        <v>20</v>
      </c>
    </row>
    <row r="7" spans="1:10" x14ac:dyDescent="0.25">
      <c r="A7" s="9" t="s">
        <v>313</v>
      </c>
      <c r="B7" s="9" t="s">
        <v>231</v>
      </c>
      <c r="C7" s="9" t="s">
        <v>315</v>
      </c>
      <c r="D7" s="9"/>
      <c r="E7" s="9"/>
      <c r="F7" s="9"/>
      <c r="G7" s="11">
        <v>1.9</v>
      </c>
      <c r="H7" s="12">
        <f>IF(G7&lt;&gt;"",G7*IF(F7="",1,F7),IF(AND(D7&lt;&gt;"",E7&lt;&gt;""),D7*E7*IF(F7="",1,F7),""))</f>
        <v>1.9</v>
      </c>
    </row>
    <row r="8" spans="1:10" x14ac:dyDescent="0.25">
      <c r="A8" s="9"/>
      <c r="B8" s="9"/>
      <c r="C8" s="9" t="s">
        <v>316</v>
      </c>
      <c r="D8" s="9"/>
      <c r="E8" s="9"/>
      <c r="F8" s="9"/>
      <c r="G8" s="9"/>
      <c r="H8" s="12">
        <f>SUM(H6:H7)</f>
        <v>21.9</v>
      </c>
    </row>
    <row r="10" spans="1:10" x14ac:dyDescent="0.25">
      <c r="A10" s="89" t="s">
        <v>317</v>
      </c>
      <c r="B10" s="51"/>
      <c r="C10" s="51"/>
      <c r="D10" s="51"/>
      <c r="E10" s="51"/>
      <c r="F10" s="51"/>
      <c r="G10" s="51"/>
      <c r="H10" s="51"/>
      <c r="I10" s="51"/>
      <c r="J10" s="51"/>
    </row>
    <row r="11" spans="1:10" ht="32.1" customHeight="1" x14ac:dyDescent="0.25">
      <c r="A11" s="21" t="s">
        <v>318</v>
      </c>
      <c r="B11" s="21" t="s">
        <v>60</v>
      </c>
      <c r="C11" s="21" t="s">
        <v>124</v>
      </c>
      <c r="D11" s="21" t="s">
        <v>319</v>
      </c>
      <c r="E11" s="21" t="s">
        <v>310</v>
      </c>
      <c r="F11" s="21" t="s">
        <v>320</v>
      </c>
      <c r="G11" s="21" t="s">
        <v>321</v>
      </c>
      <c r="H11" s="21" t="s">
        <v>322</v>
      </c>
      <c r="I11" s="21" t="s">
        <v>323</v>
      </c>
      <c r="J11" s="21" t="s">
        <v>100</v>
      </c>
    </row>
    <row r="12" spans="1:10" x14ac:dyDescent="0.25">
      <c r="A12" s="9" t="s">
        <v>324</v>
      </c>
      <c r="B12" s="9" t="s">
        <v>313</v>
      </c>
      <c r="C12" s="9" t="s">
        <v>325</v>
      </c>
      <c r="D12" s="9" t="s">
        <v>225</v>
      </c>
      <c r="E12" s="11">
        <v>0.8</v>
      </c>
      <c r="F12" s="11">
        <v>2.35</v>
      </c>
      <c r="G12" s="11">
        <v>1</v>
      </c>
      <c r="H12" s="12">
        <f>E12*F12*IF(G12="",1,G12)</f>
        <v>1.8800000000000001</v>
      </c>
      <c r="I12" s="9" t="s">
        <v>226</v>
      </c>
      <c r="J12" s="9" t="s">
        <v>226</v>
      </c>
    </row>
    <row r="13" spans="1:10" x14ac:dyDescent="0.25">
      <c r="A13" s="9" t="s">
        <v>326</v>
      </c>
      <c r="B13" s="9" t="s">
        <v>313</v>
      </c>
      <c r="C13" s="9" t="s">
        <v>325</v>
      </c>
      <c r="D13" s="9" t="s">
        <v>236</v>
      </c>
      <c r="E13" s="11">
        <v>0.7</v>
      </c>
      <c r="F13" s="11">
        <v>2.5499999999999998</v>
      </c>
      <c r="G13" s="11">
        <v>2</v>
      </c>
      <c r="H13" s="12">
        <f>E13*F13*IF(G13="",1,G13)</f>
        <v>3.5699999999999994</v>
      </c>
      <c r="I13" s="9" t="s">
        <v>226</v>
      </c>
      <c r="J13" s="9" t="s">
        <v>226</v>
      </c>
    </row>
    <row r="14" spans="1:10" x14ac:dyDescent="0.25">
      <c r="A14" s="9"/>
      <c r="B14" s="9"/>
      <c r="C14" s="9"/>
      <c r="D14" s="9" t="s">
        <v>183</v>
      </c>
      <c r="E14" s="9"/>
      <c r="F14" s="9"/>
      <c r="G14" s="9"/>
      <c r="H14" s="12">
        <f>SUM(H12:H13)</f>
        <v>5.4499999999999993</v>
      </c>
      <c r="I14" s="9"/>
      <c r="J14" s="9"/>
    </row>
    <row r="16" spans="1:10" x14ac:dyDescent="0.25">
      <c r="A16" s="89" t="s">
        <v>327</v>
      </c>
      <c r="B16" s="51"/>
      <c r="C16" s="51"/>
      <c r="D16" s="51"/>
      <c r="E16" s="51"/>
      <c r="F16" s="51"/>
      <c r="G16" s="51"/>
      <c r="H16" s="51"/>
      <c r="I16" s="51"/>
      <c r="J16" s="51"/>
    </row>
    <row r="17" spans="1:10" ht="32.1" customHeight="1" x14ac:dyDescent="0.25">
      <c r="A17" s="21" t="s">
        <v>60</v>
      </c>
      <c r="B17" s="21" t="s">
        <v>124</v>
      </c>
      <c r="C17" s="21" t="s">
        <v>308</v>
      </c>
      <c r="D17" s="21" t="s">
        <v>309</v>
      </c>
      <c r="E17" s="21" t="s">
        <v>320</v>
      </c>
      <c r="F17" s="21" t="s">
        <v>311</v>
      </c>
      <c r="G17" s="21" t="s">
        <v>128</v>
      </c>
      <c r="H17" s="21" t="s">
        <v>328</v>
      </c>
      <c r="I17" s="21" t="s">
        <v>86</v>
      </c>
    </row>
    <row r="18" spans="1:10" x14ac:dyDescent="0.25">
      <c r="A18" s="9" t="s">
        <v>313</v>
      </c>
      <c r="B18" s="9" t="s">
        <v>325</v>
      </c>
      <c r="C18" s="9" t="s">
        <v>281</v>
      </c>
      <c r="D18" s="11">
        <v>17.600000000000001</v>
      </c>
      <c r="E18" s="11">
        <v>2.8</v>
      </c>
      <c r="F18" s="11">
        <v>1</v>
      </c>
      <c r="G18" s="12">
        <f>D18*E18*IF(F18="",1,F18)</f>
        <v>49.28</v>
      </c>
      <c r="H18" s="12">
        <f>SUMIFS($H$12:$H$13,$B$12:$B$13,A18,$C$12:$C$13,B18,$I$12:$I$13,"نعم")</f>
        <v>5.4499999999999993</v>
      </c>
      <c r="I18" s="12">
        <f>G18-H18</f>
        <v>43.83</v>
      </c>
    </row>
    <row r="20" spans="1:10" x14ac:dyDescent="0.25">
      <c r="A20" s="89" t="s">
        <v>329</v>
      </c>
      <c r="B20" s="51"/>
      <c r="C20" s="51"/>
      <c r="D20" s="51"/>
      <c r="E20" s="51"/>
      <c r="F20" s="51"/>
      <c r="G20" s="51"/>
      <c r="H20" s="51"/>
      <c r="I20" s="51"/>
      <c r="J20" s="51"/>
    </row>
    <row r="21" spans="1:10" ht="32.1" customHeight="1" x14ac:dyDescent="0.25">
      <c r="A21" s="21" t="s">
        <v>60</v>
      </c>
      <c r="B21" s="21" t="s">
        <v>148</v>
      </c>
      <c r="C21" s="21" t="s">
        <v>330</v>
      </c>
      <c r="D21" s="21" t="s">
        <v>113</v>
      </c>
      <c r="E21" s="21" t="s">
        <v>328</v>
      </c>
      <c r="F21" s="21" t="s">
        <v>331</v>
      </c>
    </row>
    <row r="22" spans="1:10" x14ac:dyDescent="0.25">
      <c r="A22" s="9" t="s">
        <v>313</v>
      </c>
      <c r="B22" s="9" t="s">
        <v>233</v>
      </c>
      <c r="C22" s="11">
        <v>17.600000000000001</v>
      </c>
      <c r="D22" s="12">
        <f>C22</f>
        <v>17.600000000000001</v>
      </c>
      <c r="E22" s="12">
        <f>SUMPRODUCT(($B$12:$B$13=A22)*($J$12:$J$13="نعم")*$E$12:$E$13*$G$12:$G$13)</f>
        <v>2.2000000000000002</v>
      </c>
      <c r="F22" s="12">
        <f>D22-E22</f>
        <v>15.400000000000002</v>
      </c>
    </row>
    <row r="24" spans="1:10" x14ac:dyDescent="0.25">
      <c r="A24" s="89" t="s">
        <v>332</v>
      </c>
      <c r="B24" s="51"/>
      <c r="C24" s="51"/>
      <c r="D24" s="51"/>
      <c r="E24" s="51"/>
      <c r="F24" s="51"/>
      <c r="G24" s="51"/>
      <c r="H24" s="51"/>
      <c r="I24" s="51"/>
      <c r="J24" s="51"/>
    </row>
    <row r="25" spans="1:10" ht="32.1" customHeight="1" x14ac:dyDescent="0.25">
      <c r="A25" s="21" t="s">
        <v>52</v>
      </c>
      <c r="B25" s="21" t="s">
        <v>333</v>
      </c>
      <c r="C25" s="21"/>
      <c r="D25" s="21" t="s">
        <v>334</v>
      </c>
      <c r="E25" s="21" t="s">
        <v>335</v>
      </c>
      <c r="F25" s="21" t="s">
        <v>172</v>
      </c>
    </row>
    <row r="26" spans="1:10" x14ac:dyDescent="0.25">
      <c r="A26" s="8">
        <v>1</v>
      </c>
      <c r="B26" s="88" t="s">
        <v>336</v>
      </c>
      <c r="C26" s="55"/>
      <c r="D26" s="12">
        <v>20</v>
      </c>
      <c r="E26" s="12">
        <f>H6</f>
        <v>20</v>
      </c>
      <c r="F26" s="8" t="str">
        <f t="shared" ref="F26:F32" si="0">IF(ABS(D26-E26)&lt;0.005,"✓ صحيح","✗ خطأ")</f>
        <v>✓ صحيح</v>
      </c>
    </row>
    <row r="27" spans="1:10" x14ac:dyDescent="0.25">
      <c r="A27" s="8">
        <v>2</v>
      </c>
      <c r="B27" s="88" t="s">
        <v>337</v>
      </c>
      <c r="C27" s="55"/>
      <c r="D27" s="12">
        <v>21.9</v>
      </c>
      <c r="E27" s="12">
        <f>H8</f>
        <v>21.9</v>
      </c>
      <c r="F27" s="8" t="str">
        <f t="shared" si="0"/>
        <v>✓ صحيح</v>
      </c>
    </row>
    <row r="28" spans="1:10" x14ac:dyDescent="0.25">
      <c r="A28" s="8">
        <v>3</v>
      </c>
      <c r="B28" s="88" t="s">
        <v>338</v>
      </c>
      <c r="C28" s="55"/>
      <c r="D28" s="12">
        <v>49.28</v>
      </c>
      <c r="E28" s="12">
        <f>G18</f>
        <v>49.28</v>
      </c>
      <c r="F28" s="8" t="str">
        <f t="shared" si="0"/>
        <v>✓ صحيح</v>
      </c>
    </row>
    <row r="29" spans="1:10" x14ac:dyDescent="0.25">
      <c r="A29" s="8">
        <v>4</v>
      </c>
      <c r="B29" s="88" t="s">
        <v>339</v>
      </c>
      <c r="C29" s="55"/>
      <c r="D29" s="12">
        <v>1.88</v>
      </c>
      <c r="E29" s="12">
        <f>H12</f>
        <v>1.8800000000000001</v>
      </c>
      <c r="F29" s="8" t="str">
        <f t="shared" si="0"/>
        <v>✓ صحيح</v>
      </c>
    </row>
    <row r="30" spans="1:10" x14ac:dyDescent="0.25">
      <c r="A30" s="8">
        <v>5</v>
      </c>
      <c r="B30" s="88" t="s">
        <v>340</v>
      </c>
      <c r="C30" s="55"/>
      <c r="D30" s="12">
        <v>3.57</v>
      </c>
      <c r="E30" s="12">
        <f>H13</f>
        <v>3.5699999999999994</v>
      </c>
      <c r="F30" s="8" t="str">
        <f t="shared" si="0"/>
        <v>✓ صحيح</v>
      </c>
    </row>
    <row r="31" spans="1:10" x14ac:dyDescent="0.25">
      <c r="A31" s="8">
        <v>6</v>
      </c>
      <c r="B31" s="88" t="s">
        <v>341</v>
      </c>
      <c r="C31" s="55"/>
      <c r="D31" s="12">
        <v>43.83</v>
      </c>
      <c r="E31" s="12">
        <f>I18</f>
        <v>43.83</v>
      </c>
      <c r="F31" s="8" t="str">
        <f t="shared" si="0"/>
        <v>✓ صحيح</v>
      </c>
    </row>
    <row r="32" spans="1:10" x14ac:dyDescent="0.25">
      <c r="A32" s="8">
        <v>7</v>
      </c>
      <c r="B32" s="88" t="s">
        <v>342</v>
      </c>
      <c r="C32" s="55"/>
      <c r="D32" s="12">
        <v>15.4</v>
      </c>
      <c r="E32" s="12">
        <f>F22</f>
        <v>15.400000000000002</v>
      </c>
      <c r="F32" s="8" t="str">
        <f t="shared" si="0"/>
        <v>✓ صحيح</v>
      </c>
    </row>
  </sheetData>
  <sheetProtection sheet="1" formatCells="0" formatColumns="0" formatRows="0" sort="0" autoFilter="0"/>
  <mergeCells count="14">
    <mergeCell ref="B32:C32"/>
    <mergeCell ref="A20:J20"/>
    <mergeCell ref="A24:J24"/>
    <mergeCell ref="A16:J16"/>
    <mergeCell ref="B27:C27"/>
    <mergeCell ref="B31:C31"/>
    <mergeCell ref="A1:J1"/>
    <mergeCell ref="B30:C30"/>
    <mergeCell ref="B29:C29"/>
    <mergeCell ref="B26:C26"/>
    <mergeCell ref="A2:J2"/>
    <mergeCell ref="B28:C28"/>
    <mergeCell ref="A4:J4"/>
    <mergeCell ref="A10:J10"/>
  </mergeCells>
  <conditionalFormatting sqref="F26:F32">
    <cfRule type="expression" dxfId="1" priority="1" stopIfTrue="1">
      <formula>LEFT(F26,1)="✓"</formula>
    </cfRule>
    <cfRule type="expression" dxfId="0" priority="2" stopIfTrue="1">
      <formula>LEFT(F26,1)="✗"</formula>
    </cfRule>
  </conditionalFormatting>
  <pageMargins left="0.4" right="0.4" top="0.5" bottom="0.5"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87</vt:i4>
      </vt:variant>
    </vt:vector>
  </HeadingPairs>
  <TitlesOfParts>
    <vt:vector size="101" baseType="lpstr">
      <vt:lpstr>تعليمات الاستخدام</vt:lpstr>
      <vt:lpstr>بيانات المشروع</vt:lpstr>
      <vt:lpstr>سجل الفراغات</vt:lpstr>
      <vt:lpstr>حصر الأرضيات</vt:lpstr>
      <vt:lpstr>حصر الحوائط والتشطيبات الرأسية</vt:lpstr>
      <vt:lpstr>حصر الفتحات والخصومات</vt:lpstr>
      <vt:lpstr>حصر الوزرات والبنود الطولية</vt:lpstr>
      <vt:lpstr>حصر الأسقف</vt:lpstr>
      <vt:lpstr>حصر اللياسة والمحارة</vt:lpstr>
      <vt:lpstr>ملخص الكميات حسب الفراغ</vt:lpstr>
      <vt:lpstr>ملخص الكميات حسب البند والخامة</vt:lpstr>
      <vt:lpstr>تقرير الدور</vt:lpstr>
      <vt:lpstr>قوائم الخامات والبنود والوحدات</vt:lpstr>
      <vt:lpstr>مثال توضيحي</vt:lpstr>
      <vt:lpstr>CeilCond</vt:lpstr>
      <vt:lpstr>CeilMat</vt:lpstr>
      <vt:lpstr>CeilUnit</vt:lpstr>
      <vt:lpstr>CL_Gross</vt:lpstr>
      <vt:lpstr>CL_Mat</vt:lpstr>
      <vt:lpstr>CL_Net</vt:lpstr>
      <vt:lpstr>CL_Space</vt:lpstr>
      <vt:lpstr>CL_Status</vt:lpstr>
      <vt:lpstr>CL_Unit</vt:lpstr>
      <vt:lpstr>FL_Gross</vt:lpstr>
      <vt:lpstr>FL_Mat</vt:lpstr>
      <vt:lpstr>FL_Net</vt:lpstr>
      <vt:lpstr>FL_Space</vt:lpstr>
      <vt:lpstr>FL_Status</vt:lpstr>
      <vt:lpstr>FL_Unit</vt:lpstr>
      <vt:lpstr>FloorMat</vt:lpstr>
      <vt:lpstr>FloorUnit</vt:lpstr>
      <vt:lpstr>Levels</vt:lpstr>
      <vt:lpstr>LinMat</vt:lpstr>
      <vt:lpstr>LinUnit</vt:lpstr>
      <vt:lpstr>LN_Auto</vt:lpstr>
      <vt:lpstr>LN_AutoEff</vt:lpstr>
      <vt:lpstr>LN_Ded</vt:lpstr>
      <vt:lpstr>LN_Gross</vt:lpstr>
      <vt:lpstr>LN_Mat</vt:lpstr>
      <vt:lpstr>LN_Net</vt:lpstr>
      <vt:lpstr>LN_Space</vt:lpstr>
      <vt:lpstr>LN_Status</vt:lpstr>
      <vt:lpstr>LN_Unit</vt:lpstr>
      <vt:lpstr>Method</vt:lpstr>
      <vt:lpstr>OP_AppFin</vt:lpstr>
      <vt:lpstr>OP_AppPl</vt:lpstr>
      <vt:lpstr>OP_AppSk</vt:lpstr>
      <vt:lpstr>OP_Area</vt:lpstr>
      <vt:lpstr>OP_Code</vt:lpstr>
      <vt:lpstr>OP_DedFin</vt:lpstr>
      <vt:lpstr>OP_DedPl</vt:lpstr>
      <vt:lpstr>OP_DedSk</vt:lpstr>
      <vt:lpstr>OP_Space</vt:lpstr>
      <vt:lpstr>OP_Status</vt:lpstr>
      <vt:lpstr>OP_Target</vt:lpstr>
      <vt:lpstr>OP_Wall</vt:lpstr>
      <vt:lpstr>OP_Wtot</vt:lpstr>
      <vt:lpstr>OpenTypes</vt:lpstr>
      <vt:lpstr>PL_Auto</vt:lpstr>
      <vt:lpstr>PL_Ded</vt:lpstr>
      <vt:lpstr>PL_FacesEff</vt:lpstr>
      <vt:lpstr>PL_Gross</vt:lpstr>
      <vt:lpstr>PL_Mat</vt:lpstr>
      <vt:lpstr>PL_Net</vt:lpstr>
      <vt:lpstr>PL_Space</vt:lpstr>
      <vt:lpstr>PL_Status</vt:lpstr>
      <vt:lpstr>PL_Unit</vt:lpstr>
      <vt:lpstr>PL_Wall</vt:lpstr>
      <vt:lpstr>PlMat</vt:lpstr>
      <vt:lpstr>PlUnit</vt:lpstr>
      <vt:lpstr>'تقرير الدور'!Print_Area</vt:lpstr>
      <vt:lpstr>'تقرير الدور'!Print_Titles</vt:lpstr>
      <vt:lpstr>'حصر الأرضيات'!Print_Titles</vt:lpstr>
      <vt:lpstr>'حصر الأسقف'!Print_Titles</vt:lpstr>
      <vt:lpstr>'حصر الحوائط والتشطيبات الرأسية'!Print_Titles</vt:lpstr>
      <vt:lpstr>'حصر الفتحات والخصومات'!Print_Titles</vt:lpstr>
      <vt:lpstr>'حصر اللياسة والمحارة'!Print_Titles</vt:lpstr>
      <vt:lpstr>'حصر الوزرات والبنود الطولية'!Print_Titles</vt:lpstr>
      <vt:lpstr>'سجل الفراغات'!Print_Titles</vt:lpstr>
      <vt:lpstr>'قوائم الخامات والبنود والوحدات'!Print_Titles</vt:lpstr>
      <vt:lpstr>'ملخص الكميات حسب البند والخامة'!Print_Titles</vt:lpstr>
      <vt:lpstr>'ملخص الكميات حسب الفراغ'!Print_Titles</vt:lpstr>
      <vt:lpstr>RoomNames</vt:lpstr>
      <vt:lpstr>SpaceCodes</vt:lpstr>
      <vt:lpstr>SpaceLevels</vt:lpstr>
      <vt:lpstr>SpaceNames</vt:lpstr>
      <vt:lpstr>Units</vt:lpstr>
      <vt:lpstr>WallMat</vt:lpstr>
      <vt:lpstr>WallUnit</vt:lpstr>
      <vt:lpstr>WL_Auto</vt:lpstr>
      <vt:lpstr>WL_Ded</vt:lpstr>
      <vt:lpstr>WL_DedOn</vt:lpstr>
      <vt:lpstr>WL_Dup</vt:lpstr>
      <vt:lpstr>WL_Gross</vt:lpstr>
      <vt:lpstr>WL_Mat</vt:lpstr>
      <vt:lpstr>WL_Net</vt:lpstr>
      <vt:lpstr>WL_Space</vt:lpstr>
      <vt:lpstr>WL_Status</vt:lpstr>
      <vt:lpstr>WL_Unit</vt:lpstr>
      <vt:lpstr>WL_Wall</vt:lpstr>
      <vt:lpstr>YesNo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Ashmawy</cp:lastModifiedBy>
  <dcterms:created xsi:type="dcterms:W3CDTF">2026-10-10T19:22:03Z</dcterms:created>
  <dcterms:modified xsi:type="dcterms:W3CDTF">2026-10-11T22:16:45Z</dcterms:modified>
</cp:coreProperties>
</file>